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ftware Classification" sheetId="1" state="visible" r:id="rId1"/>
    <sheet xmlns:r="http://schemas.openxmlformats.org/officeDocument/2006/relationships" name="Labor Classification" sheetId="2" state="visible" r:id="rId2"/>
    <sheet xmlns:r="http://schemas.openxmlformats.org/officeDocument/2006/relationships" name="Contractor Classification" sheetId="3" state="visible" r:id="rId3"/>
    <sheet xmlns:r="http://schemas.openxmlformats.org/officeDocument/2006/relationships" name="Reconciliat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15" customWidth="1" min="3" max="3"/>
    <col width="28" customWidth="1" min="4" max="4"/>
    <col width="18" customWidth="1" min="5" max="5"/>
    <col width="50" customWidth="1" min="6" max="6"/>
  </cols>
  <sheetData>
    <row r="1">
      <c r="A1" s="1" t="inlineStr">
        <is>
          <t>Vendor</t>
        </is>
      </c>
      <c r="B1" s="1" t="inlineStr">
        <is>
          <t>QB Section</t>
        </is>
      </c>
      <c r="C1" s="1" t="inlineStr">
        <is>
          <t>Annual Amount</t>
        </is>
      </c>
      <c r="D1" s="1" t="inlineStr">
        <is>
          <t>Classification Bucket</t>
        </is>
      </c>
      <c r="E1" s="1" t="inlineStr">
        <is>
          <t>Confidence</t>
        </is>
      </c>
      <c r="F1" s="1" t="inlineStr">
        <is>
          <t>Rationale</t>
        </is>
      </c>
    </row>
    <row r="2">
      <c r="A2" t="inlineStr">
        <is>
          <t>ConnectWise, Inc.</t>
        </is>
      </c>
      <c r="B2" t="inlineStr">
        <is>
          <t>Computer and Internet Expenses</t>
        </is>
      </c>
      <c r="C2" t="n">
        <v>89442</v>
      </c>
      <c r="D2" t="inlineStr">
        <is>
          <t>Service Delivery Tool COGS</t>
        </is>
      </c>
      <c r="E2" t="inlineStr">
        <is>
          <t>HIGH</t>
        </is>
      </c>
      <c r="F2" t="inlineStr">
        <is>
          <t>PSA/RMM platform - core service delivery</t>
        </is>
      </c>
    </row>
    <row r="3">
      <c r="A3" t="inlineStr">
        <is>
          <t>Flexis</t>
        </is>
      </c>
      <c r="B3" t="inlineStr">
        <is>
          <t>Computer and Internet Expenses</t>
        </is>
      </c>
      <c r="C3" t="n">
        <v>28800</v>
      </c>
      <c r="D3" t="inlineStr">
        <is>
          <t>Service Delivery Tool COGS</t>
        </is>
      </c>
      <c r="E3" t="inlineStr">
        <is>
          <t>CONFIRMED</t>
        </is>
      </c>
      <c r="F3" t="inlineStr">
        <is>
          <t>Owner confirmed - service delivery</t>
        </is>
      </c>
    </row>
    <row r="4">
      <c r="A4" t="inlineStr">
        <is>
          <t>Kaseya</t>
        </is>
      </c>
      <c r="B4" t="inlineStr">
        <is>
          <t>Computer and Internet Expenses</t>
        </is>
      </c>
      <c r="C4" t="n">
        <v>22000</v>
      </c>
      <c r="D4" t="inlineStr">
        <is>
          <t>Service Delivery Tool COGS</t>
        </is>
      </c>
      <c r="E4" t="inlineStr">
        <is>
          <t>HIGH</t>
        </is>
      </c>
      <c r="F4" t="inlineStr">
        <is>
          <t>RMM/endpoint management</t>
        </is>
      </c>
    </row>
    <row r="5">
      <c r="A5" t="inlineStr">
        <is>
          <t>Samurai Sync</t>
        </is>
      </c>
      <c r="B5" t="inlineStr">
        <is>
          <t>Computer and Internet Expenses</t>
        </is>
      </c>
      <c r="C5" t="n">
        <v>15600</v>
      </c>
      <c r="D5" t="inlineStr">
        <is>
          <t>Service Delivery Tool COGS</t>
        </is>
      </c>
      <c r="E5" t="inlineStr">
        <is>
          <t>CONFIRMED</t>
        </is>
      </c>
      <c r="F5" t="inlineStr">
        <is>
          <t>Owner confirmed - service delivery</t>
        </is>
      </c>
    </row>
    <row r="6">
      <c r="A6" t="inlineStr">
        <is>
          <t>Wasabi Technologies</t>
        </is>
      </c>
      <c r="B6" t="inlineStr">
        <is>
          <t>Computer and Internet Expenses</t>
        </is>
      </c>
      <c r="C6" t="n">
        <v>8400</v>
      </c>
      <c r="D6" t="inlineStr">
        <is>
          <t>Service Delivery Tool COGS</t>
        </is>
      </c>
      <c r="E6" t="inlineStr">
        <is>
          <t>HIGH</t>
        </is>
      </c>
      <c r="F6" t="inlineStr">
        <is>
          <t>Cloud backup for clients</t>
        </is>
      </c>
    </row>
    <row r="7">
      <c r="A7" t="inlineStr">
        <is>
          <t>MSP360</t>
        </is>
      </c>
      <c r="B7" t="inlineStr">
        <is>
          <t>Computer and Internet Expenses</t>
        </is>
      </c>
      <c r="C7" t="n">
        <v>7200</v>
      </c>
      <c r="D7" t="inlineStr">
        <is>
          <t>Service Delivery Tool COGS</t>
        </is>
      </c>
      <c r="E7" t="inlineStr">
        <is>
          <t>HIGH</t>
        </is>
      </c>
      <c r="F7" t="inlineStr">
        <is>
          <t>Backup management platform</t>
        </is>
      </c>
    </row>
    <row r="8">
      <c r="A8" t="inlineStr">
        <is>
          <t>TimeZest</t>
        </is>
      </c>
      <c r="B8" t="inlineStr">
        <is>
          <t>Computer and Internet Expenses</t>
        </is>
      </c>
      <c r="C8" t="n">
        <v>4044</v>
      </c>
      <c r="D8" t="inlineStr">
        <is>
          <t>Service Delivery Tool COGS</t>
        </is>
      </c>
      <c r="E8" t="inlineStr">
        <is>
          <t>HIGH</t>
        </is>
      </c>
      <c r="F8" t="inlineStr">
        <is>
          <t>Client scheduling for service delivery</t>
        </is>
      </c>
    </row>
    <row r="9">
      <c r="A9" t="inlineStr">
        <is>
          <t>CloudBase Services</t>
        </is>
      </c>
      <c r="B9" t="inlineStr">
        <is>
          <t>Computer and Internet Expenses</t>
        </is>
      </c>
      <c r="C9" t="n">
        <v>4800</v>
      </c>
      <c r="D9" t="inlineStr">
        <is>
          <t>Service Delivery Tool COGS</t>
        </is>
      </c>
      <c r="E9" t="inlineStr">
        <is>
          <t>HIGH</t>
        </is>
      </c>
      <c r="F9" t="inlineStr">
        <is>
          <t>Cloud infrastructure for clients</t>
        </is>
      </c>
    </row>
    <row r="10">
      <c r="A10" t="inlineStr">
        <is>
          <t>CyberFox</t>
        </is>
      </c>
      <c r="B10" t="inlineStr">
        <is>
          <t>Computer and Internet Expenses</t>
        </is>
      </c>
      <c r="C10" t="n">
        <v>3600</v>
      </c>
      <c r="D10" t="inlineStr">
        <is>
          <t>Service Delivery Tool COGS</t>
        </is>
      </c>
      <c r="E10" t="inlineStr">
        <is>
          <t>HIGH</t>
        </is>
      </c>
      <c r="F10" t="inlineStr">
        <is>
          <t>Security monitoring tool</t>
        </is>
      </c>
    </row>
    <row r="11">
      <c r="A11" t="inlineStr">
        <is>
          <t>Duo Security</t>
        </is>
      </c>
      <c r="B11" t="inlineStr">
        <is>
          <t>Computer and Internet Expenses</t>
        </is>
      </c>
      <c r="C11" t="n">
        <v>2400</v>
      </c>
      <c r="D11" t="inlineStr">
        <is>
          <t>Service Delivery Tool COGS</t>
        </is>
      </c>
      <c r="E11" t="inlineStr">
        <is>
          <t>HIGH</t>
        </is>
      </c>
      <c r="F11" t="inlineStr">
        <is>
          <t>MFA for client environments</t>
        </is>
      </c>
    </row>
    <row r="12">
      <c r="A12" t="inlineStr">
        <is>
          <t>Qualys</t>
        </is>
      </c>
      <c r="B12" t="inlineStr">
        <is>
          <t>Computer and Internet Expenses</t>
        </is>
      </c>
      <c r="C12" t="n">
        <v>996</v>
      </c>
      <c r="D12" t="inlineStr">
        <is>
          <t>Service Delivery Tool COGS</t>
        </is>
      </c>
      <c r="E12" t="inlineStr">
        <is>
          <t>HIGH</t>
        </is>
      </c>
      <c r="F12" t="inlineStr">
        <is>
          <t>Vulnerability scanning</t>
        </is>
      </c>
    </row>
    <row r="13">
      <c r="A13" t="inlineStr">
        <is>
          <t>Have I Been Pwned</t>
        </is>
      </c>
      <c r="B13" t="inlineStr">
        <is>
          <t>Computer and Internet Expenses</t>
        </is>
      </c>
      <c r="C13" t="n">
        <v>420</v>
      </c>
      <c r="D13" t="inlineStr">
        <is>
          <t>Service Delivery Tool COGS</t>
        </is>
      </c>
      <c r="E13" t="inlineStr">
        <is>
          <t>HIGH</t>
        </is>
      </c>
      <c r="F13" t="inlineStr">
        <is>
          <t>Security monitoring</t>
        </is>
      </c>
    </row>
    <row r="14">
      <c r="A14" t="inlineStr">
        <is>
          <t>IT Glue</t>
        </is>
      </c>
      <c r="B14" t="inlineStr">
        <is>
          <t>Computer and Internet Expenses</t>
        </is>
      </c>
      <c r="C14" t="n">
        <v>2784</v>
      </c>
      <c r="D14" t="inlineStr">
        <is>
          <t>Service Delivery Tool COGS</t>
        </is>
      </c>
      <c r="E14" t="inlineStr">
        <is>
          <t>HIGH</t>
        </is>
      </c>
      <c r="F14" t="inlineStr">
        <is>
          <t>Documentation platform for service delivery</t>
        </is>
      </c>
    </row>
    <row r="15">
      <c r="A15" t="inlineStr">
        <is>
          <t>Cloudwork Pro</t>
        </is>
      </c>
      <c r="B15" t="inlineStr">
        <is>
          <t>Computer and Internet Expenses</t>
        </is>
      </c>
      <c r="C15" t="n">
        <v>3000</v>
      </c>
      <c r="D15" t="inlineStr">
        <is>
          <t>Service Delivery Tool COGS</t>
        </is>
      </c>
      <c r="E15" t="inlineStr">
        <is>
          <t>HIGH</t>
        </is>
      </c>
      <c r="F15" t="inlineStr">
        <is>
          <t>Cloud management tool</t>
        </is>
      </c>
    </row>
    <row r="16">
      <c r="A16" t="inlineStr">
        <is>
          <t>Warrantymaster</t>
        </is>
      </c>
      <c r="B16" t="inlineStr">
        <is>
          <t>Computer and Internet Expenses</t>
        </is>
      </c>
      <c r="C16" t="n">
        <v>5988</v>
      </c>
      <c r="D16" t="inlineStr">
        <is>
          <t>Service Delivery Tool COGS</t>
        </is>
      </c>
      <c r="E16" t="inlineStr">
        <is>
          <t>HIGH</t>
        </is>
      </c>
      <c r="F16" t="inlineStr">
        <is>
          <t>Warranty tracking for client hardware</t>
        </is>
      </c>
    </row>
    <row r="17">
      <c r="A17" t="inlineStr">
        <is>
          <t>Lucidcharts</t>
        </is>
      </c>
      <c r="B17" t="inlineStr">
        <is>
          <t>Computer and Internet Expenses</t>
        </is>
      </c>
      <c r="C17" t="n">
        <v>108</v>
      </c>
      <c r="D17" t="inlineStr">
        <is>
          <t>Service Delivery Tool COGS</t>
        </is>
      </c>
      <c r="E17" t="inlineStr">
        <is>
          <t>MEDIUM</t>
        </is>
      </c>
      <c r="F17" t="inlineStr">
        <is>
          <t>Used for client documentation</t>
        </is>
      </c>
    </row>
    <row r="18">
      <c r="A18" t="inlineStr">
        <is>
          <t>Adobe Software</t>
        </is>
      </c>
      <c r="B18" t="inlineStr">
        <is>
          <t>Computer and Internet Expenses</t>
        </is>
      </c>
      <c r="C18" t="n">
        <v>7200</v>
      </c>
      <c r="D18" t="inlineStr">
        <is>
          <t>Internal SG&amp;A</t>
        </is>
      </c>
      <c r="E18" t="inlineStr">
        <is>
          <t>HIGH</t>
        </is>
      </c>
      <c r="F18" t="inlineStr">
        <is>
          <t>Creative tools for internal use</t>
        </is>
      </c>
    </row>
    <row r="19">
      <c r="A19" t="inlineStr">
        <is>
          <t>Cursor</t>
        </is>
      </c>
      <c r="B19" t="inlineStr">
        <is>
          <t>Computer and Internet Expenses</t>
        </is>
      </c>
      <c r="C19" t="n">
        <v>2400</v>
      </c>
      <c r="D19" t="inlineStr">
        <is>
          <t>Internal SG&amp;A</t>
        </is>
      </c>
      <c r="E19" t="inlineStr">
        <is>
          <t>HIGH</t>
        </is>
      </c>
      <c r="F19" t="inlineStr">
        <is>
          <t>AI coding tool - internal development</t>
        </is>
      </c>
    </row>
    <row r="20">
      <c r="A20" t="inlineStr">
        <is>
          <t>OpenAI</t>
        </is>
      </c>
      <c r="B20" t="inlineStr">
        <is>
          <t>Computer and Internet Expenses</t>
        </is>
      </c>
      <c r="C20" t="n">
        <v>4800</v>
      </c>
      <c r="D20" t="inlineStr">
        <is>
          <t>Internal SG&amp;A</t>
        </is>
      </c>
      <c r="E20" t="inlineStr">
        <is>
          <t>HIGH</t>
        </is>
      </c>
      <c r="F20" t="inlineStr">
        <is>
          <t>AI platform - internal operations</t>
        </is>
      </c>
    </row>
    <row r="21">
      <c r="A21" t="inlineStr">
        <is>
          <t>Anthropic</t>
        </is>
      </c>
      <c r="B21" t="inlineStr">
        <is>
          <t>Computer and Internet Expenses</t>
        </is>
      </c>
      <c r="C21" t="n">
        <v>2400</v>
      </c>
      <c r="D21" t="inlineStr">
        <is>
          <t>Internal SG&amp;A</t>
        </is>
      </c>
      <c r="E21" t="inlineStr">
        <is>
          <t>HIGH</t>
        </is>
      </c>
      <c r="F21" t="inlineStr">
        <is>
          <t>AI platform - internal operations</t>
        </is>
      </c>
    </row>
    <row r="22">
      <c r="A22" t="inlineStr">
        <is>
          <t>Zapier.com</t>
        </is>
      </c>
      <c r="B22" t="inlineStr">
        <is>
          <t>Computer and Internet Expenses</t>
        </is>
      </c>
      <c r="C22" t="n">
        <v>3600</v>
      </c>
      <c r="D22" t="inlineStr">
        <is>
          <t>Internal SG&amp;A</t>
        </is>
      </c>
      <c r="E22" t="inlineStr">
        <is>
          <t>HIGH</t>
        </is>
      </c>
      <c r="F22" t="inlineStr">
        <is>
          <t>Automation - internal workflows</t>
        </is>
      </c>
    </row>
    <row r="23">
      <c r="A23" t="inlineStr">
        <is>
          <t>Google</t>
        </is>
      </c>
      <c r="B23" t="inlineStr">
        <is>
          <t>Computer and Internet Expenses</t>
        </is>
      </c>
      <c r="C23" t="n">
        <v>2400</v>
      </c>
      <c r="D23" t="inlineStr">
        <is>
          <t>Internal SG&amp;A</t>
        </is>
      </c>
      <c r="E23" t="inlineStr">
        <is>
          <t>HIGH</t>
        </is>
      </c>
      <c r="F23" t="inlineStr">
        <is>
          <t>Workspace - internal operations</t>
        </is>
      </c>
    </row>
    <row r="24">
      <c r="A24" t="inlineStr">
        <is>
          <t>Monday.com</t>
        </is>
      </c>
      <c r="B24" t="inlineStr">
        <is>
          <t>Computer and Internet Expenses</t>
        </is>
      </c>
      <c r="C24" t="n">
        <v>240</v>
      </c>
      <c r="D24" t="inlineStr">
        <is>
          <t>Internal SG&amp;A</t>
        </is>
      </c>
      <c r="E24" t="inlineStr">
        <is>
          <t>HIGH</t>
        </is>
      </c>
      <c r="F24" t="inlineStr">
        <is>
          <t>Project management - internal</t>
        </is>
      </c>
    </row>
    <row r="25">
      <c r="A25" t="inlineStr">
        <is>
          <t>Calendy</t>
        </is>
      </c>
      <c r="B25" t="inlineStr">
        <is>
          <t>Computer and Internet Expenses</t>
        </is>
      </c>
      <c r="C25" t="n">
        <v>900</v>
      </c>
      <c r="D25" t="inlineStr">
        <is>
          <t>Internal SG&amp;A</t>
        </is>
      </c>
      <c r="E25" t="inlineStr">
        <is>
          <t>HIGH</t>
        </is>
      </c>
      <c r="F25" t="inlineStr">
        <is>
          <t>Scheduling - internal/sales</t>
        </is>
      </c>
    </row>
    <row r="26">
      <c r="A26" t="inlineStr">
        <is>
          <t>Railway</t>
        </is>
      </c>
      <c r="B26" t="inlineStr">
        <is>
          <t>Computer and Internet Expenses</t>
        </is>
      </c>
      <c r="C26" t="n">
        <v>1200</v>
      </c>
      <c r="D26" t="inlineStr">
        <is>
          <t>Internal SG&amp;A</t>
        </is>
      </c>
      <c r="E26" t="inlineStr">
        <is>
          <t>HIGH</t>
        </is>
      </c>
      <c r="F26" t="inlineStr">
        <is>
          <t>Hosting - internal apps</t>
        </is>
      </c>
    </row>
    <row r="27">
      <c r="A27" t="inlineStr">
        <is>
          <t>Replit, Inc.</t>
        </is>
      </c>
      <c r="B27" t="inlineStr">
        <is>
          <t>Computer and Internet Expenses</t>
        </is>
      </c>
      <c r="C27" t="n">
        <v>1200</v>
      </c>
      <c r="D27" t="inlineStr">
        <is>
          <t>Internal SG&amp;A</t>
        </is>
      </c>
      <c r="E27" t="inlineStr">
        <is>
          <t>HIGH</t>
        </is>
      </c>
      <c r="F27" t="inlineStr">
        <is>
          <t>Development - internal</t>
        </is>
      </c>
    </row>
    <row r="28">
      <c r="A28" t="inlineStr">
        <is>
          <t>Eversign</t>
        </is>
      </c>
      <c r="B28" t="inlineStr">
        <is>
          <t>Computer and Internet Expenses</t>
        </is>
      </c>
      <c r="C28" t="n">
        <v>600</v>
      </c>
      <c r="D28" t="inlineStr">
        <is>
          <t>Internal SG&amp;A</t>
        </is>
      </c>
      <c r="E28" t="inlineStr">
        <is>
          <t>HIGH</t>
        </is>
      </c>
      <c r="F28" t="inlineStr">
        <is>
          <t>E-signatures - internal</t>
        </is>
      </c>
    </row>
    <row r="29">
      <c r="A29" t="inlineStr">
        <is>
          <t>Frame.io</t>
        </is>
      </c>
      <c r="B29" t="inlineStr">
        <is>
          <t>Computer and Internet Expenses</t>
        </is>
      </c>
      <c r="C29" t="n">
        <v>1800</v>
      </c>
      <c r="D29" t="inlineStr">
        <is>
          <t>Internal SG&amp;A</t>
        </is>
      </c>
      <c r="E29" t="inlineStr">
        <is>
          <t>HIGH</t>
        </is>
      </c>
      <c r="F29" t="inlineStr">
        <is>
          <t>Video collaboration - marketing</t>
        </is>
      </c>
    </row>
    <row r="30">
      <c r="A30" t="inlineStr">
        <is>
          <t>Manus AI</t>
        </is>
      </c>
      <c r="B30" t="inlineStr">
        <is>
          <t>Computer and Internet Expenses</t>
        </is>
      </c>
      <c r="C30" t="n">
        <v>1200</v>
      </c>
      <c r="D30" t="inlineStr">
        <is>
          <t>Internal SG&amp;A</t>
        </is>
      </c>
      <c r="E30" t="inlineStr">
        <is>
          <t>HIGH</t>
        </is>
      </c>
      <c r="F30" t="inlineStr">
        <is>
          <t>AI assistant - internal</t>
        </is>
      </c>
    </row>
    <row r="31">
      <c r="A31" t="inlineStr">
        <is>
          <t>Figma</t>
        </is>
      </c>
      <c r="B31" t="inlineStr">
        <is>
          <t>Computer and Internet Expenses</t>
        </is>
      </c>
      <c r="C31" t="n">
        <v>1800</v>
      </c>
      <c r="D31" t="inlineStr">
        <is>
          <t>Internal SG&amp;A</t>
        </is>
      </c>
      <c r="E31" t="inlineStr">
        <is>
          <t>HIGH</t>
        </is>
      </c>
      <c r="F31" t="inlineStr">
        <is>
          <t>Design tool - internal</t>
        </is>
      </c>
    </row>
    <row r="32">
      <c r="A32" t="inlineStr">
        <is>
          <t>Carbonite</t>
        </is>
      </c>
      <c r="B32" t="inlineStr">
        <is>
          <t>Computer and Internet Expenses</t>
        </is>
      </c>
      <c r="C32" t="n">
        <v>1200</v>
      </c>
      <c r="D32" t="inlineStr">
        <is>
          <t>Internal SG&amp;A</t>
        </is>
      </c>
      <c r="E32" t="inlineStr">
        <is>
          <t>HIGH</t>
        </is>
      </c>
      <c r="F32" t="inlineStr">
        <is>
          <t>Internal backup</t>
        </is>
      </c>
    </row>
    <row r="33">
      <c r="A33" t="inlineStr">
        <is>
          <t>Quicken</t>
        </is>
      </c>
      <c r="B33" t="inlineStr">
        <is>
          <t>Computer and Internet Expenses</t>
        </is>
      </c>
      <c r="C33" t="n">
        <v>600</v>
      </c>
      <c r="D33" t="inlineStr">
        <is>
          <t>Internal SG&amp;A</t>
        </is>
      </c>
      <c r="E33" t="inlineStr">
        <is>
          <t>HIGH</t>
        </is>
      </c>
      <c r="F33" t="inlineStr">
        <is>
          <t>Personal finance - internal</t>
        </is>
      </c>
    </row>
    <row r="34">
      <c r="A34" t="inlineStr">
        <is>
          <t>Other internal tools (20+ vendors)</t>
        </is>
      </c>
      <c r="B34" t="inlineStr">
        <is>
          <t>Computer and Internet Expenses</t>
        </is>
      </c>
      <c r="C34" t="n">
        <v>24999</v>
      </c>
      <c r="D34" t="inlineStr">
        <is>
          <t>Internal SG&amp;A</t>
        </is>
      </c>
      <c r="E34" t="inlineStr">
        <is>
          <t>HIGH</t>
        </is>
      </c>
      <c r="F34" t="inlineStr">
        <is>
          <t>Various internal operations tools</t>
        </is>
      </c>
    </row>
    <row r="35">
      <c r="A35" t="inlineStr">
        <is>
          <t>Microsoft Azure</t>
        </is>
      </c>
      <c r="B35" t="inlineStr">
        <is>
          <t>Computer and Internet Expenses</t>
        </is>
      </c>
      <c r="C35" t="n">
        <v>19041</v>
      </c>
      <c r="D35" t="inlineStr">
        <is>
          <t>UNCLASSIFIED</t>
        </is>
      </c>
      <c r="E35" t="inlineStr">
        <is>
          <t>NEEDS CONFIRMATION</t>
        </is>
      </c>
      <c r="F35" t="inlineStr">
        <is>
          <t>Could be client infrastructure or internal dev/test</t>
        </is>
      </c>
    </row>
    <row r="36">
      <c r="A36" t="inlineStr">
        <is>
          <t>GoDaddy.com, Inc.</t>
        </is>
      </c>
      <c r="B36" t="inlineStr">
        <is>
          <t>Computer and Internet Expenses</t>
        </is>
      </c>
      <c r="C36" t="n">
        <v>2880</v>
      </c>
      <c r="D36" t="inlineStr">
        <is>
          <t>UNCLASSIFIED</t>
        </is>
      </c>
      <c r="E36" t="inlineStr">
        <is>
          <t>NEEDS CONFIRMATION</t>
        </is>
      </c>
      <c r="F36" t="inlineStr">
        <is>
          <t>Could be client domains or PulseOne domains</t>
        </is>
      </c>
    </row>
    <row r="37">
      <c r="A37" t="inlineStr">
        <is>
          <t>Pivotal Crew LLC</t>
        </is>
      </c>
      <c r="B37" t="inlineStr">
        <is>
          <t>Computer and Internet Expenses</t>
        </is>
      </c>
      <c r="C37" t="n">
        <v>2000</v>
      </c>
      <c r="D37" t="inlineStr">
        <is>
          <t>UNCLASSIFIED</t>
        </is>
      </c>
      <c r="E37" t="inlineStr">
        <is>
          <t>NEEDS CONFIRMATION</t>
        </is>
      </c>
      <c r="F37" t="inlineStr">
        <is>
          <t>Purpose unclear</t>
        </is>
      </c>
    </row>
    <row r="38">
      <c r="A38" t="inlineStr">
        <is>
          <t>AI MAD FZCO</t>
        </is>
      </c>
      <c r="B38" t="inlineStr">
        <is>
          <t>Computer and Internet Expenses</t>
        </is>
      </c>
      <c r="C38" t="n">
        <v>360</v>
      </c>
      <c r="D38" t="inlineStr">
        <is>
          <t>UNCLASSIFIED</t>
        </is>
      </c>
      <c r="E38" t="inlineStr">
        <is>
          <t>NEEDS CONFIRMATION</t>
        </is>
      </c>
      <c r="F38" t="inlineStr">
        <is>
          <t>Purpose unclear</t>
        </is>
      </c>
    </row>
    <row r="39">
      <c r="A39" t="inlineStr">
        <is>
          <t>Synnex Corp (TD Synnex)</t>
        </is>
      </c>
      <c r="B39" t="inlineStr">
        <is>
          <t>Agreement License Cost</t>
        </is>
      </c>
      <c r="C39" t="n">
        <v>374000</v>
      </c>
      <c r="D39" t="inlineStr">
        <is>
          <t>Client-Delivered Software COGS</t>
        </is>
      </c>
      <c r="E39" t="inlineStr">
        <is>
          <t>HIGH</t>
        </is>
      </c>
      <c r="F39" t="inlineStr">
        <is>
          <t>Microsoft 365 licenses for clients - already in QB COGS</t>
        </is>
      </c>
    </row>
    <row r="40">
      <c r="A40" t="inlineStr">
        <is>
          <t>Barracuda (Skout Cybersecurity)</t>
        </is>
      </c>
      <c r="B40" t="inlineStr">
        <is>
          <t>Agreement License Cost</t>
        </is>
      </c>
      <c r="C40" t="n">
        <v>48000</v>
      </c>
      <c r="D40" t="inlineStr">
        <is>
          <t>Service Delivery Tool COGS</t>
        </is>
      </c>
      <c r="E40" t="inlineStr">
        <is>
          <t>HIGH</t>
        </is>
      </c>
      <c r="F40" t="inlineStr">
        <is>
          <t>Security monitoring - already in QB COGS</t>
        </is>
      </c>
    </row>
    <row r="41">
      <c r="A41" t="inlineStr">
        <is>
          <t>Amazon Web Services</t>
        </is>
      </c>
      <c r="B41" t="inlineStr">
        <is>
          <t>Agreement License Cost</t>
        </is>
      </c>
      <c r="C41" t="n">
        <v>12000</v>
      </c>
      <c r="D41" t="inlineStr">
        <is>
          <t>Service Delivery Tool COGS</t>
        </is>
      </c>
      <c r="E41" t="inlineStr">
        <is>
          <t>HIGH</t>
        </is>
      </c>
      <c r="F41" t="inlineStr">
        <is>
          <t>Client cloud infrastructure - already in QB COGS</t>
        </is>
      </c>
    </row>
    <row r="42">
      <c r="A42" t="inlineStr">
        <is>
          <t>ALL vendors</t>
        </is>
      </c>
      <c r="B42" t="inlineStr">
        <is>
          <t>Purchases - Software for Resale</t>
        </is>
      </c>
      <c r="C42" t="n">
        <v>570987</v>
      </c>
      <c r="D42" t="inlineStr">
        <is>
          <t>Client-Delivered Software COGS</t>
        </is>
      </c>
      <c r="E42" t="inlineStr">
        <is>
          <t>HIGH</t>
        </is>
      </c>
      <c r="F42" t="inlineStr">
        <is>
          <t>Software purchased for specific client resale - already in QB COGS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4" customWidth="1" min="3" max="3"/>
    <col width="10" customWidth="1" min="4" max="4"/>
    <col width="12" customWidth="1" min="5" max="5"/>
    <col width="12" customWidth="1" min="6" max="6"/>
    <col width="14" customWidth="1" min="7" max="7"/>
    <col width="12" customWidth="1" min="8" max="8"/>
    <col width="40" customWidth="1" min="9" max="9"/>
  </cols>
  <sheetData>
    <row r="1">
      <c r="A1" s="1" t="inlineStr">
        <is>
          <t>Employee</t>
        </is>
      </c>
      <c r="B1" s="1" t="inlineStr">
        <is>
          <t>Department</t>
        </is>
      </c>
      <c r="C1" s="1" t="inlineStr">
        <is>
          <t>Gross Pay 2025</t>
        </is>
      </c>
      <c r="D1" s="1" t="inlineStr">
        <is>
          <t>Hours 2025</t>
        </is>
      </c>
      <c r="E1" s="1" t="inlineStr">
        <is>
          <t>Hourly Rate</t>
        </is>
      </c>
      <c r="F1" s="1" t="inlineStr">
        <is>
          <t>Status</t>
        </is>
      </c>
      <c r="G1" s="1" t="inlineStr">
        <is>
          <t>Classification</t>
        </is>
      </c>
      <c r="H1" s="1" t="inlineStr">
        <is>
          <t>Confidence</t>
        </is>
      </c>
      <c r="I1" s="1" t="inlineStr">
        <is>
          <t>Notes</t>
        </is>
      </c>
    </row>
    <row r="2">
      <c r="A2" t="inlineStr">
        <is>
          <t>Stephen Calkins</t>
        </is>
      </c>
      <c r="B2" t="inlineStr">
        <is>
          <t>100 - Services</t>
        </is>
      </c>
      <c r="C2" t="n">
        <v>148960</v>
      </c>
      <c r="D2" t="n">
        <v>1900</v>
      </c>
      <c r="E2" t="n">
        <v>71.62</v>
      </c>
      <c r="F2" t="inlineStr">
        <is>
          <t>Active FT</t>
        </is>
      </c>
      <c r="G2" t="inlineStr">
        <is>
          <t>COGS</t>
        </is>
      </c>
      <c r="H2" t="inlineStr">
        <is>
          <t>HIGH</t>
        </is>
      </c>
      <c r="I2" t="inlineStr">
        <is>
          <t>Senior Engineer - full service delivery</t>
        </is>
      </c>
    </row>
    <row r="3">
      <c r="A3" t="inlineStr">
        <is>
          <t>James Froio</t>
        </is>
      </c>
      <c r="B3" t="inlineStr">
        <is>
          <t>100 - Services</t>
        </is>
      </c>
      <c r="C3" t="n">
        <v>112788</v>
      </c>
      <c r="D3" t="n">
        <v>1960</v>
      </c>
      <c r="E3" t="n">
        <v>54</v>
      </c>
      <c r="F3" t="inlineStr">
        <is>
          <t>Active FT</t>
        </is>
      </c>
      <c r="G3" t="inlineStr">
        <is>
          <t>COGS</t>
        </is>
      </c>
      <c r="H3" t="inlineStr">
        <is>
          <t>HIGH</t>
        </is>
      </c>
      <c r="I3" t="inlineStr">
        <is>
          <t>Engineer - full service delivery</t>
        </is>
      </c>
    </row>
    <row r="4">
      <c r="A4" t="inlineStr">
        <is>
          <t>Laura Walsh</t>
        </is>
      </c>
      <c r="B4" t="inlineStr">
        <is>
          <t>100 - Services</t>
        </is>
      </c>
      <c r="C4" t="n">
        <v>108186</v>
      </c>
      <c r="D4" t="n">
        <v>1904</v>
      </c>
      <c r="E4" t="n">
        <v>52.01</v>
      </c>
      <c r="F4" t="inlineStr">
        <is>
          <t>Active FT</t>
        </is>
      </c>
      <c r="G4" t="inlineStr">
        <is>
          <t>COGS</t>
        </is>
      </c>
      <c r="H4" t="inlineStr">
        <is>
          <t>HIGH</t>
        </is>
      </c>
      <c r="I4" t="inlineStr">
        <is>
          <t>Engineer - full service delivery</t>
        </is>
      </c>
    </row>
    <row r="5">
      <c r="A5" t="inlineStr">
        <is>
          <t>Kaitlin Harris</t>
        </is>
      </c>
      <c r="B5" t="inlineStr">
        <is>
          <t>100 - Services</t>
        </is>
      </c>
      <c r="C5" t="n">
        <v>79760</v>
      </c>
      <c r="D5" t="n">
        <v>1928</v>
      </c>
      <c r="E5" t="n">
        <v>38</v>
      </c>
      <c r="F5" t="inlineStr">
        <is>
          <t>Active FT</t>
        </is>
      </c>
      <c r="G5" t="inlineStr">
        <is>
          <t>COGS</t>
        </is>
      </c>
      <c r="H5" t="inlineStr">
        <is>
          <t>HIGH</t>
        </is>
      </c>
      <c r="I5" t="inlineStr">
        <is>
          <t>Project Manager - full service delivery</t>
        </is>
      </c>
    </row>
    <row r="6">
      <c r="A6" t="inlineStr">
        <is>
          <t>Eric Anzalone</t>
        </is>
      </c>
      <c r="B6" t="inlineStr">
        <is>
          <t>100 - Services</t>
        </is>
      </c>
      <c r="C6" t="n">
        <v>76718</v>
      </c>
      <c r="D6" t="n">
        <v>1960</v>
      </c>
      <c r="E6" t="n">
        <v>36.88</v>
      </c>
      <c r="F6" t="inlineStr">
        <is>
          <t>Active FT</t>
        </is>
      </c>
      <c r="G6" t="inlineStr">
        <is>
          <t>COGS</t>
        </is>
      </c>
      <c r="H6" t="inlineStr">
        <is>
          <t>HIGH</t>
        </is>
      </c>
      <c r="I6" t="inlineStr">
        <is>
          <t>Engineer - full service delivery</t>
        </is>
      </c>
    </row>
    <row r="7">
      <c r="A7" t="inlineStr">
        <is>
          <t>Hagen McDonell</t>
        </is>
      </c>
      <c r="B7" t="inlineStr">
        <is>
          <t>100 - Services</t>
        </is>
      </c>
      <c r="C7" t="n">
        <v>51610</v>
      </c>
      <c r="D7" t="n">
        <v>1945</v>
      </c>
      <c r="E7" t="n">
        <v>22.5</v>
      </c>
      <c r="F7" t="inlineStr">
        <is>
          <t>Active FT</t>
        </is>
      </c>
      <c r="G7" t="inlineStr">
        <is>
          <t>COGS</t>
        </is>
      </c>
      <c r="H7" t="inlineStr">
        <is>
          <t>HIGH</t>
        </is>
      </c>
      <c r="I7" t="inlineStr">
        <is>
          <t>Help Desk - full service delivery</t>
        </is>
      </c>
    </row>
    <row r="8">
      <c r="A8" t="inlineStr">
        <is>
          <t>Nicole Goodwin</t>
        </is>
      </c>
      <c r="B8" t="inlineStr">
        <is>
          <t>100 - Services</t>
        </is>
      </c>
      <c r="C8" t="n">
        <v>38150</v>
      </c>
      <c r="D8" t="n">
        <v>1057</v>
      </c>
      <c r="E8" t="n">
        <v>35</v>
      </c>
      <c r="F8" t="inlineStr">
        <is>
          <t>Active PT</t>
        </is>
      </c>
      <c r="G8" t="inlineStr">
        <is>
          <t>COGS (80%)</t>
        </is>
      </c>
      <c r="H8" t="inlineStr">
        <is>
          <t>HIGH</t>
        </is>
      </c>
      <c r="I8" t="inlineStr">
        <is>
          <t>Split role: 80% Services / 20% POC</t>
        </is>
      </c>
    </row>
    <row r="9">
      <c r="A9" t="inlineStr">
        <is>
          <t>Joel Alvarez</t>
        </is>
      </c>
      <c r="B9" t="inlineStr">
        <is>
          <t>100 - Services</t>
        </is>
      </c>
      <c r="C9" t="n">
        <v>25850</v>
      </c>
      <c r="D9" t="n">
        <v>528</v>
      </c>
      <c r="E9" t="n">
        <v>18</v>
      </c>
      <c r="F9" t="inlineStr">
        <is>
          <t>Active PT</t>
        </is>
      </c>
      <c r="G9" t="inlineStr">
        <is>
          <t>COGS</t>
        </is>
      </c>
      <c r="H9" t="inlineStr">
        <is>
          <t>HIGH</t>
        </is>
      </c>
      <c r="I9" t="inlineStr">
        <is>
          <t>Help Desk - service delivery</t>
        </is>
      </c>
    </row>
    <row r="10">
      <c r="A10" t="inlineStr">
        <is>
          <t>Julia Morte</t>
        </is>
      </c>
      <c r="B10" t="inlineStr">
        <is>
          <t>100 - Services</t>
        </is>
      </c>
      <c r="C10" t="n">
        <v>20322</v>
      </c>
      <c r="D10" t="n">
        <v>1051</v>
      </c>
      <c r="E10" t="n">
        <v>18</v>
      </c>
      <c r="F10" t="inlineStr">
        <is>
          <t>Active PT</t>
        </is>
      </c>
      <c r="G10" t="inlineStr">
        <is>
          <t>COGS</t>
        </is>
      </c>
      <c r="H10" t="inlineStr">
        <is>
          <t>HIGH</t>
        </is>
      </c>
      <c r="I10" t="inlineStr">
        <is>
          <t>Help Desk - service delivery</t>
        </is>
      </c>
    </row>
    <row r="11">
      <c r="A11" t="inlineStr">
        <is>
          <t>Alexandria Calkins</t>
        </is>
      </c>
      <c r="B11" t="inlineStr">
        <is>
          <t>100 - Services</t>
        </is>
      </c>
      <c r="C11" t="n">
        <v>17258</v>
      </c>
      <c r="D11" t="n">
        <v>940</v>
      </c>
      <c r="E11" t="n">
        <v>18</v>
      </c>
      <c r="F11" t="inlineStr">
        <is>
          <t>Active PT</t>
        </is>
      </c>
      <c r="G11" t="inlineStr">
        <is>
          <t>COGS</t>
        </is>
      </c>
      <c r="H11" t="inlineStr">
        <is>
          <t>HIGH</t>
        </is>
      </c>
      <c r="I11" t="inlineStr">
        <is>
          <t>Service delivery support</t>
        </is>
      </c>
    </row>
    <row r="12">
      <c r="A12" t="inlineStr">
        <is>
          <t>Breanna Copeland</t>
        </is>
      </c>
      <c r="B12" t="inlineStr">
        <is>
          <t>100 - Services</t>
        </is>
      </c>
      <c r="C12" t="n">
        <v>11444</v>
      </c>
      <c r="D12" t="n">
        <v>625</v>
      </c>
      <c r="E12" t="n">
        <v>18</v>
      </c>
      <c r="F12" t="inlineStr">
        <is>
          <t>Terminated</t>
        </is>
      </c>
      <c r="G12" t="inlineStr">
        <is>
          <t>COGS</t>
        </is>
      </c>
      <c r="H12" t="inlineStr">
        <is>
          <t>HIGH</t>
        </is>
      </c>
      <c r="I12" t="inlineStr">
        <is>
          <t>Help Desk (terminated mid-year)</t>
        </is>
      </c>
    </row>
    <row r="13">
      <c r="A13" t="inlineStr">
        <is>
          <t>Emily Acker</t>
        </is>
      </c>
      <c r="B13" t="inlineStr">
        <is>
          <t>100 - Services</t>
        </is>
      </c>
      <c r="C13" t="n">
        <v>9690</v>
      </c>
      <c r="D13" t="n">
        <v>264</v>
      </c>
      <c r="E13" t="n">
        <v>30</v>
      </c>
      <c r="F13" t="inlineStr">
        <is>
          <t>Terminated</t>
        </is>
      </c>
      <c r="G13" t="inlineStr">
        <is>
          <t>COGS</t>
        </is>
      </c>
      <c r="H13" t="inlineStr">
        <is>
          <t>HIGH</t>
        </is>
      </c>
      <c r="I13" t="inlineStr">
        <is>
          <t>Services (terminated early 2025)</t>
        </is>
      </c>
    </row>
    <row r="14">
      <c r="A14" t="inlineStr">
        <is>
          <t>Debby Brooke</t>
        </is>
      </c>
      <c r="B14" t="inlineStr">
        <is>
          <t>100 - Services</t>
        </is>
      </c>
      <c r="C14" t="n">
        <v>7928</v>
      </c>
      <c r="D14" t="n">
        <v>380</v>
      </c>
      <c r="E14" t="n">
        <v>19</v>
      </c>
      <c r="F14" t="inlineStr">
        <is>
          <t>Terminated</t>
        </is>
      </c>
      <c r="G14" t="inlineStr">
        <is>
          <t>COGS</t>
        </is>
      </c>
      <c r="H14" t="inlineStr">
        <is>
          <t>HIGH</t>
        </is>
      </c>
      <c r="I14" t="inlineStr">
        <is>
          <t>Services (terminated mid-year)</t>
        </is>
      </c>
    </row>
    <row r="15">
      <c r="A15" t="inlineStr">
        <is>
          <t>Chad Wiggins</t>
        </is>
      </c>
      <c r="B15" t="inlineStr">
        <is>
          <t>200 - Marketing</t>
        </is>
      </c>
      <c r="C15" t="n">
        <v>95000</v>
      </c>
      <c r="D15" t="n">
        <v>1872</v>
      </c>
      <c r="F15" t="inlineStr">
        <is>
          <t>Terminated</t>
        </is>
      </c>
      <c r="G15" t="inlineStr">
        <is>
          <t>SG&amp;A</t>
        </is>
      </c>
      <c r="H15" t="inlineStr">
        <is>
          <t>HIGH</t>
        </is>
      </c>
      <c r="I15" t="inlineStr">
        <is>
          <t>Business Development</t>
        </is>
      </c>
    </row>
    <row r="16">
      <c r="A16" t="inlineStr">
        <is>
          <t>Kyle Carey</t>
        </is>
      </c>
      <c r="B16" t="inlineStr">
        <is>
          <t>200 - Marketing</t>
        </is>
      </c>
      <c r="C16" t="n">
        <v>51800</v>
      </c>
      <c r="D16" t="n">
        <v>1360</v>
      </c>
      <c r="F16" t="inlineStr">
        <is>
          <t>Active FT</t>
        </is>
      </c>
      <c r="G16" t="inlineStr">
        <is>
          <t>SG&amp;A</t>
        </is>
      </c>
      <c r="H16" t="inlineStr">
        <is>
          <t>HIGH</t>
        </is>
      </c>
      <c r="I16" t="inlineStr">
        <is>
          <t>Marketing</t>
        </is>
      </c>
    </row>
    <row r="17">
      <c r="A17" t="inlineStr">
        <is>
          <t>Marcello Moreira</t>
        </is>
      </c>
      <c r="B17" t="inlineStr">
        <is>
          <t>200 - Marketing</t>
        </is>
      </c>
      <c r="C17" t="n">
        <v>33280</v>
      </c>
      <c r="D17" t="n">
        <v>1248</v>
      </c>
      <c r="E17" t="n">
        <v>26</v>
      </c>
      <c r="F17" t="inlineStr">
        <is>
          <t>Terminated</t>
        </is>
      </c>
      <c r="G17" t="inlineStr">
        <is>
          <t>SG&amp;A</t>
        </is>
      </c>
      <c r="H17" t="inlineStr">
        <is>
          <t>HIGH</t>
        </is>
      </c>
      <c r="I17" t="inlineStr">
        <is>
          <t>Marketing</t>
        </is>
      </c>
    </row>
    <row r="18">
      <c r="A18" t="inlineStr">
        <is>
          <t>Heather Kohler</t>
        </is>
      </c>
      <c r="B18" t="inlineStr">
        <is>
          <t>200 - Marketing</t>
        </is>
      </c>
      <c r="C18" t="n">
        <v>13200</v>
      </c>
      <c r="D18" t="n">
        <v>304</v>
      </c>
      <c r="E18" t="n">
        <v>33</v>
      </c>
      <c r="F18" t="inlineStr">
        <is>
          <t>Terminated</t>
        </is>
      </c>
      <c r="G18" t="inlineStr">
        <is>
          <t>SG&amp;A</t>
        </is>
      </c>
      <c r="H18" t="inlineStr">
        <is>
          <t>HIGH</t>
        </is>
      </c>
      <c r="I18" t="inlineStr">
        <is>
          <t>Business Development (terminated)</t>
        </is>
      </c>
    </row>
    <row r="19">
      <c r="A19" t="inlineStr">
        <is>
          <t>Dana Rankin</t>
        </is>
      </c>
      <c r="B19" t="inlineStr">
        <is>
          <t>200 - Marketing</t>
        </is>
      </c>
      <c r="C19" t="n">
        <v>9200</v>
      </c>
      <c r="D19" t="n">
        <v>224</v>
      </c>
      <c r="F19" t="inlineStr">
        <is>
          <t>Terminated</t>
        </is>
      </c>
      <c r="G19" t="inlineStr">
        <is>
          <t>SG&amp;A</t>
        </is>
      </c>
      <c r="H19" t="inlineStr">
        <is>
          <t>HIGH</t>
        </is>
      </c>
      <c r="I19" t="inlineStr">
        <is>
          <t>Marketing (terminated)</t>
        </is>
      </c>
    </row>
    <row r="20">
      <c r="A20" t="inlineStr">
        <is>
          <t>Andrea Carcamo</t>
        </is>
      </c>
      <c r="B20" t="inlineStr">
        <is>
          <t>200 - Marketing</t>
        </is>
      </c>
      <c r="C20" t="n">
        <v>7492</v>
      </c>
      <c r="D20" t="n">
        <v>124</v>
      </c>
      <c r="E20" t="n">
        <v>18</v>
      </c>
      <c r="F20" t="inlineStr">
        <is>
          <t>Active PT</t>
        </is>
      </c>
      <c r="G20" t="inlineStr">
        <is>
          <t>SG&amp;A</t>
        </is>
      </c>
      <c r="H20" t="inlineStr">
        <is>
          <t>HIGH</t>
        </is>
      </c>
      <c r="I20" t="inlineStr">
        <is>
          <t>Marketing support</t>
        </is>
      </c>
    </row>
    <row r="21">
      <c r="A21" t="inlineStr">
        <is>
          <t>Anneliese Rivera</t>
        </is>
      </c>
      <c r="B21" t="inlineStr">
        <is>
          <t>200 - Marketing</t>
        </is>
      </c>
      <c r="C21" t="n">
        <v>4100</v>
      </c>
      <c r="D21" t="n">
        <v>164</v>
      </c>
      <c r="E21" t="n">
        <v>25</v>
      </c>
      <c r="F21" t="inlineStr">
        <is>
          <t>Terminated</t>
        </is>
      </c>
      <c r="G21" t="inlineStr">
        <is>
          <t>SG&amp;A</t>
        </is>
      </c>
      <c r="H21" t="inlineStr">
        <is>
          <t>HIGH</t>
        </is>
      </c>
      <c r="I21" t="inlineStr">
        <is>
          <t>Marketing (terminated)</t>
        </is>
      </c>
    </row>
    <row r="22">
      <c r="A22" t="inlineStr">
        <is>
          <t>Aimee Brock</t>
        </is>
      </c>
      <c r="B22" t="inlineStr">
        <is>
          <t>300 - Operations</t>
        </is>
      </c>
      <c r="C22" t="n">
        <v>23300</v>
      </c>
      <c r="D22" t="n">
        <v>250</v>
      </c>
      <c r="E22" t="n">
        <v>25</v>
      </c>
      <c r="F22" t="inlineStr">
        <is>
          <t>Active PT</t>
        </is>
      </c>
      <c r="G22" t="inlineStr">
        <is>
          <t>SG&amp;A</t>
        </is>
      </c>
      <c r="H22" t="inlineStr">
        <is>
          <t>HIGH</t>
        </is>
      </c>
      <c r="I22" t="inlineStr">
        <is>
          <t>Operations</t>
        </is>
      </c>
    </row>
    <row r="23">
      <c r="A23" t="inlineStr">
        <is>
          <t>Emily Wolf</t>
        </is>
      </c>
      <c r="B23" t="inlineStr">
        <is>
          <t>300 - Operations</t>
        </is>
      </c>
      <c r="C23" t="n">
        <v>18400</v>
      </c>
      <c r="D23" t="n">
        <v>40</v>
      </c>
      <c r="F23" t="inlineStr">
        <is>
          <t>Active PT</t>
        </is>
      </c>
      <c r="G23" t="inlineStr">
        <is>
          <t>SG&amp;A</t>
        </is>
      </c>
      <c r="H23" t="inlineStr">
        <is>
          <t>HIGH</t>
        </is>
      </c>
      <c r="I23" t="inlineStr">
        <is>
          <t>Operations</t>
        </is>
      </c>
    </row>
    <row r="24">
      <c r="A24" t="inlineStr">
        <is>
          <t>Juliet Simpson</t>
        </is>
      </c>
      <c r="B24" t="inlineStr">
        <is>
          <t>300 - Operations</t>
        </is>
      </c>
      <c r="C24" t="n">
        <v>9263</v>
      </c>
      <c r="D24" t="n">
        <v>275</v>
      </c>
      <c r="E24" t="n">
        <v>32.5</v>
      </c>
      <c r="F24" t="inlineStr">
        <is>
          <t>Terminated</t>
        </is>
      </c>
      <c r="G24" t="inlineStr">
        <is>
          <t>SG&amp;A</t>
        </is>
      </c>
      <c r="H24" t="inlineStr">
        <is>
          <t>HIGH</t>
        </is>
      </c>
      <c r="I24" t="inlineStr">
        <is>
          <t>Operations (terminated)</t>
        </is>
      </c>
    </row>
    <row r="25">
      <c r="A25" t="inlineStr">
        <is>
          <t>Jamie Davin</t>
        </is>
      </c>
      <c r="B25" t="inlineStr">
        <is>
          <t>300 - Operations</t>
        </is>
      </c>
      <c r="C25" t="n">
        <v>9911</v>
      </c>
      <c r="D25" t="n">
        <v>0</v>
      </c>
      <c r="F25" t="inlineStr">
        <is>
          <t>Terminated</t>
        </is>
      </c>
      <c r="G25" t="inlineStr">
        <is>
          <t>SG&amp;A</t>
        </is>
      </c>
      <c r="H25" t="inlineStr">
        <is>
          <t>HIGH</t>
        </is>
      </c>
      <c r="I25" t="inlineStr">
        <is>
          <t>Operations (terminated)</t>
        </is>
      </c>
    </row>
    <row r="26">
      <c r="A26" t="inlineStr">
        <is>
          <t>Ashley Holmes</t>
        </is>
      </c>
      <c r="B26" t="inlineStr">
        <is>
          <t>300 - Operations</t>
        </is>
      </c>
      <c r="C26" t="n">
        <v>725</v>
      </c>
      <c r="D26" t="n">
        <v>29</v>
      </c>
      <c r="E26" t="n">
        <v>25</v>
      </c>
      <c r="F26" t="inlineStr">
        <is>
          <t>Terminated</t>
        </is>
      </c>
      <c r="G26" t="inlineStr">
        <is>
          <t>SG&amp;A</t>
        </is>
      </c>
      <c r="H26" t="inlineStr">
        <is>
          <t>HIGH</t>
        </is>
      </c>
      <c r="I26" t="inlineStr">
        <is>
          <t>Operations (terminated)</t>
        </is>
      </c>
    </row>
    <row r="27">
      <c r="A27" t="inlineStr">
        <is>
          <t>Tracy Freeman</t>
        </is>
      </c>
      <c r="B27" t="inlineStr">
        <is>
          <t>900 - POC</t>
        </is>
      </c>
      <c r="C27" t="n">
        <v>12889</v>
      </c>
      <c r="D27" t="n">
        <v>368</v>
      </c>
      <c r="E27" t="n">
        <v>35</v>
      </c>
      <c r="F27" t="inlineStr">
        <is>
          <t>Active PT</t>
        </is>
      </c>
      <c r="G27" t="inlineStr">
        <is>
          <t>SG&amp;A</t>
        </is>
      </c>
      <c r="H27" t="inlineStr">
        <is>
          <t>HIGH</t>
        </is>
      </c>
      <c r="I27" t="inlineStr">
        <is>
          <t>POC - owner compensation</t>
        </is>
      </c>
    </row>
    <row r="28">
      <c r="A28" t="inlineStr">
        <is>
          <t>Nicole Goodwin (POC)</t>
        </is>
      </c>
      <c r="B28" t="inlineStr">
        <is>
          <t>900 - POC</t>
        </is>
      </c>
      <c r="C28" t="n">
        <v>12950</v>
      </c>
      <c r="D28" t="n">
        <v>362</v>
      </c>
      <c r="E28" t="n">
        <v>35</v>
      </c>
      <c r="F28" t="inlineStr">
        <is>
          <t>Active PT</t>
        </is>
      </c>
      <c r="G28" t="inlineStr">
        <is>
          <t>SG&amp;A</t>
        </is>
      </c>
      <c r="H28" t="inlineStr">
        <is>
          <t>HIGH</t>
        </is>
      </c>
      <c r="I28" t="inlineStr">
        <is>
          <t>POC portion of split role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15" customWidth="1" min="3" max="3"/>
    <col width="14" customWidth="1" min="4" max="4"/>
    <col width="14" customWidth="1" min="5" max="5"/>
    <col width="12" customWidth="1" min="6" max="6"/>
    <col width="15" customWidth="1" min="7" max="7"/>
    <col width="50" customWidth="1" min="8" max="8"/>
  </cols>
  <sheetData>
    <row r="1">
      <c r="A1" s="1" t="inlineStr">
        <is>
          <t>Contractor/Vendor</t>
        </is>
      </c>
      <c r="B1" s="1" t="inlineStr">
        <is>
          <t>Department</t>
        </is>
      </c>
      <c r="C1" s="1" t="inlineStr">
        <is>
          <t>Payment Method</t>
        </is>
      </c>
      <c r="D1" s="1" t="inlineStr">
        <is>
          <t>Budget Annual</t>
        </is>
      </c>
      <c r="E1" s="1" t="inlineStr">
        <is>
          <t>Actual 2025</t>
        </is>
      </c>
      <c r="F1" s="1" t="inlineStr">
        <is>
          <t>Classification</t>
        </is>
      </c>
      <c r="G1" s="1" t="inlineStr">
        <is>
          <t>Confidence</t>
        </is>
      </c>
      <c r="H1" s="1" t="inlineStr">
        <is>
          <t>Notes</t>
        </is>
      </c>
    </row>
    <row r="2">
      <c r="A2" t="inlineStr">
        <is>
          <t>Blue Pisces - Ruben</t>
        </is>
      </c>
      <c r="B2" t="inlineStr">
        <is>
          <t>Services</t>
        </is>
      </c>
      <c r="C2" t="inlineStr">
        <is>
          <t>BILL</t>
        </is>
      </c>
      <c r="D2" t="n">
        <v>196950</v>
      </c>
      <c r="F2" t="inlineStr">
        <is>
          <t>COGS</t>
        </is>
      </c>
      <c r="G2" t="inlineStr">
        <is>
          <t>MEDIUM</t>
        </is>
      </c>
      <c r="H2" t="inlineStr">
        <is>
          <t>Large project contractor - needs actuals confirmation</t>
        </is>
      </c>
    </row>
    <row r="3">
      <c r="A3" t="inlineStr">
        <is>
          <t>David Fredrick</t>
        </is>
      </c>
      <c r="B3" t="inlineStr">
        <is>
          <t>Help Desk</t>
        </is>
      </c>
      <c r="C3" t="inlineStr">
        <is>
          <t>BILL</t>
        </is>
      </c>
      <c r="D3" t="n">
        <v>182770</v>
      </c>
      <c r="F3" t="inlineStr">
        <is>
          <t>COGS</t>
        </is>
      </c>
      <c r="G3" t="inlineStr">
        <is>
          <t>HIGH</t>
        </is>
      </c>
      <c r="H3" t="inlineStr">
        <is>
          <t>ARC client - explicitly typed as COGS</t>
        </is>
      </c>
    </row>
    <row r="4">
      <c r="A4" t="inlineStr">
        <is>
          <t>Basim Mashni</t>
        </is>
      </c>
      <c r="B4" t="inlineStr">
        <is>
          <t>Services</t>
        </is>
      </c>
      <c r="C4" t="inlineStr">
        <is>
          <t>Upwork</t>
        </is>
      </c>
      <c r="D4" t="n">
        <v>161616</v>
      </c>
      <c r="E4" t="n">
        <v>5906</v>
      </c>
      <c r="F4" t="inlineStr">
        <is>
          <t>COGS</t>
        </is>
      </c>
      <c r="G4" t="inlineStr">
        <is>
          <t>HIGH</t>
        </is>
      </c>
      <c r="H4" t="inlineStr">
        <is>
          <t>ARC - Upwork actual much lower than budget</t>
        </is>
      </c>
    </row>
    <row r="5">
      <c r="A5" t="inlineStr">
        <is>
          <t>Vincent Williams</t>
        </is>
      </c>
      <c r="B5" t="inlineStr">
        <is>
          <t>Help Desk</t>
        </is>
      </c>
      <c r="C5" t="inlineStr">
        <is>
          <t>Upwork</t>
        </is>
      </c>
      <c r="D5" t="n">
        <v>65520</v>
      </c>
      <c r="E5" t="n">
        <v>104740</v>
      </c>
      <c r="F5" t="inlineStr">
        <is>
          <t>COGS</t>
        </is>
      </c>
      <c r="G5" t="inlineStr">
        <is>
          <t>HIGH</t>
        </is>
      </c>
      <c r="H5" t="inlineStr">
        <is>
          <t>IT/Network escalations - actual exceeds budget</t>
        </is>
      </c>
    </row>
    <row r="6">
      <c r="A6" t="inlineStr">
        <is>
          <t>Blaine Mulligan</t>
        </is>
      </c>
      <c r="B6" t="inlineStr">
        <is>
          <t>Help Desk</t>
        </is>
      </c>
      <c r="C6" t="inlineStr">
        <is>
          <t>BILL</t>
        </is>
      </c>
      <c r="D6" t="n">
        <v>98278</v>
      </c>
      <c r="F6" t="inlineStr">
        <is>
          <t>COGS</t>
        </is>
      </c>
      <c r="G6" t="inlineStr">
        <is>
          <t>HIGH</t>
        </is>
      </c>
      <c r="H6" t="inlineStr">
        <is>
          <t>Help Desk contractor</t>
        </is>
      </c>
    </row>
    <row r="7">
      <c r="A7" t="inlineStr">
        <is>
          <t>CharlesDoone Castro</t>
        </is>
      </c>
      <c r="B7" t="inlineStr">
        <is>
          <t>Help Desk</t>
        </is>
      </c>
      <c r="C7" t="inlineStr">
        <is>
          <t>Upwork</t>
        </is>
      </c>
      <c r="D7" t="n">
        <v>82992</v>
      </c>
      <c r="E7" t="n">
        <v>38228</v>
      </c>
      <c r="F7" t="inlineStr">
        <is>
          <t>COGS</t>
        </is>
      </c>
      <c r="G7" t="inlineStr">
        <is>
          <t>HIGH</t>
        </is>
      </c>
      <c r="H7" t="inlineStr">
        <is>
          <t>Amiri Help Desk - reduced in 2025</t>
        </is>
      </c>
    </row>
    <row r="8">
      <c r="A8" t="inlineStr">
        <is>
          <t>Matt Barnett</t>
        </is>
      </c>
      <c r="B8" t="inlineStr">
        <is>
          <t>Help Desk</t>
        </is>
      </c>
      <c r="C8" t="inlineStr">
        <is>
          <t>Upwork</t>
        </is>
      </c>
      <c r="D8" t="n">
        <v>73712</v>
      </c>
      <c r="E8" t="n">
        <v>83390</v>
      </c>
      <c r="F8" t="inlineStr">
        <is>
          <t>COGS</t>
        </is>
      </c>
      <c r="G8" t="inlineStr">
        <is>
          <t>HIGH</t>
        </is>
      </c>
      <c r="H8" t="inlineStr">
        <is>
          <t>ARC - fixed price</t>
        </is>
      </c>
    </row>
    <row r="9">
      <c r="A9" t="inlineStr">
        <is>
          <t>AJ Mulligan</t>
        </is>
      </c>
      <c r="B9" t="inlineStr">
        <is>
          <t>Help Desk</t>
        </is>
      </c>
      <c r="C9" t="inlineStr">
        <is>
          <t>BILL</t>
        </is>
      </c>
      <c r="D9" t="n">
        <v>78780</v>
      </c>
      <c r="F9" t="inlineStr">
        <is>
          <t>COGS</t>
        </is>
      </c>
      <c r="G9" t="inlineStr">
        <is>
          <t>HIGH</t>
        </is>
      </c>
      <c r="H9" t="inlineStr">
        <is>
          <t>Extended hours for Milan/Amiri</t>
        </is>
      </c>
    </row>
    <row r="10">
      <c r="A10" t="inlineStr">
        <is>
          <t>Jeremy Roe</t>
        </is>
      </c>
      <c r="B10" t="inlineStr">
        <is>
          <t>Help Desk</t>
        </is>
      </c>
      <c r="C10" t="inlineStr">
        <is>
          <t>Upwork</t>
        </is>
      </c>
      <c r="D10" t="n">
        <v>59850</v>
      </c>
      <c r="E10" t="n">
        <v>6476</v>
      </c>
      <c r="F10" t="inlineStr">
        <is>
          <t>COGS</t>
        </is>
      </c>
      <c r="G10" t="inlineStr">
        <is>
          <t>HIGH</t>
        </is>
      </c>
      <c r="H10" t="inlineStr">
        <is>
          <t>Drastically reduced from budget</t>
        </is>
      </c>
    </row>
    <row r="11">
      <c r="A11" t="inlineStr">
        <is>
          <t>Omar Avalos</t>
        </is>
      </c>
      <c r="B11" t="inlineStr">
        <is>
          <t>Help Desk</t>
        </is>
      </c>
      <c r="C11" t="inlineStr">
        <is>
          <t>Upwork</t>
        </is>
      </c>
      <c r="D11" t="n">
        <v>54600</v>
      </c>
      <c r="E11" t="n">
        <v>49442</v>
      </c>
      <c r="F11" t="inlineStr">
        <is>
          <t>COGS</t>
        </is>
      </c>
      <c r="G11" t="inlineStr">
        <is>
          <t>HIGH</t>
        </is>
      </c>
      <c r="H11" t="inlineStr">
        <is>
          <t>Help Desk - close to budget</t>
        </is>
      </c>
    </row>
    <row r="12">
      <c r="A12" t="inlineStr">
        <is>
          <t>Dare Olusanjo</t>
        </is>
      </c>
      <c r="B12" t="inlineStr">
        <is>
          <t>Help Desk</t>
        </is>
      </c>
      <c r="C12" t="inlineStr">
        <is>
          <t>Payoneer</t>
        </is>
      </c>
      <c r="D12" t="n">
        <v>52520</v>
      </c>
      <c r="F12" t="inlineStr">
        <is>
          <t>COGS</t>
        </is>
      </c>
      <c r="G12" t="inlineStr">
        <is>
          <t>HIGH</t>
        </is>
      </c>
      <c r="H12" t="inlineStr">
        <is>
          <t>Help Desk - reduced hours</t>
        </is>
      </c>
    </row>
    <row r="13">
      <c r="A13" t="inlineStr">
        <is>
          <t>George Oracion</t>
        </is>
      </c>
      <c r="B13" t="inlineStr">
        <is>
          <t>Help Desk</t>
        </is>
      </c>
      <c r="C13" t="inlineStr">
        <is>
          <t>Payoneer</t>
        </is>
      </c>
      <c r="D13" t="n">
        <v>42016</v>
      </c>
      <c r="F13" t="inlineStr">
        <is>
          <t>COGS</t>
        </is>
      </c>
      <c r="G13" t="inlineStr">
        <is>
          <t>HIGH</t>
        </is>
      </c>
      <c r="H13" t="inlineStr">
        <is>
          <t>Help Desk</t>
        </is>
      </c>
    </row>
    <row r="14">
      <c r="A14" t="inlineStr">
        <is>
          <t>Brendan Roe</t>
        </is>
      </c>
      <c r="B14" t="inlineStr">
        <is>
          <t>Help Desk</t>
        </is>
      </c>
      <c r="C14" t="inlineStr">
        <is>
          <t>Upwork</t>
        </is>
      </c>
      <c r="E14" t="n">
        <v>6476</v>
      </c>
      <c r="F14" t="inlineStr">
        <is>
          <t>COGS</t>
        </is>
      </c>
      <c r="G14" t="inlineStr">
        <is>
          <t>HIGH</t>
        </is>
      </c>
      <c r="H14" t="inlineStr">
        <is>
          <t>Help Desk Support + Cordova project</t>
        </is>
      </c>
    </row>
    <row r="15">
      <c r="A15" t="inlineStr">
        <is>
          <t>William McMillan</t>
        </is>
      </c>
      <c r="B15" t="inlineStr">
        <is>
          <t>Help Desk</t>
        </is>
      </c>
      <c r="C15" t="inlineStr">
        <is>
          <t>Upwork</t>
        </is>
      </c>
      <c r="E15" t="n">
        <v>4444</v>
      </c>
      <c r="F15" t="inlineStr">
        <is>
          <t>COGS</t>
        </is>
      </c>
      <c r="G15" t="inlineStr">
        <is>
          <t>HIGH</t>
        </is>
      </c>
      <c r="H15" t="inlineStr">
        <is>
          <t>AvePoint, Bunzl, Help Desk</t>
        </is>
      </c>
    </row>
    <row r="16">
      <c r="A16" t="inlineStr">
        <is>
          <t>Dustin Hagemeier</t>
        </is>
      </c>
      <c r="B16" t="inlineStr">
        <is>
          <t>Help Desk</t>
        </is>
      </c>
      <c r="C16" t="inlineStr">
        <is>
          <t>Upwork</t>
        </is>
      </c>
      <c r="D16" t="n">
        <v>0</v>
      </c>
      <c r="E16" t="n">
        <v>500</v>
      </c>
      <c r="F16" t="inlineStr">
        <is>
          <t>COGS</t>
        </is>
      </c>
      <c r="G16" t="inlineStr">
        <is>
          <t>HIGH</t>
        </is>
      </c>
      <c r="H16" t="inlineStr">
        <is>
          <t>2025 reduction - minimal</t>
        </is>
      </c>
    </row>
    <row r="17">
      <c r="A17" t="inlineStr">
        <is>
          <t>Daniyal Arif</t>
        </is>
      </c>
      <c r="B17" t="inlineStr">
        <is>
          <t>MKTG</t>
        </is>
      </c>
      <c r="C17" t="inlineStr">
        <is>
          <t>Payoneer</t>
        </is>
      </c>
      <c r="D17" t="n">
        <v>44117</v>
      </c>
      <c r="F17" t="inlineStr">
        <is>
          <t>SG&amp;A</t>
        </is>
      </c>
      <c r="G17" t="inlineStr">
        <is>
          <t>MEDIUM</t>
        </is>
      </c>
      <c r="H17" t="inlineStr">
        <is>
          <t>Expense Tracker shows MKTG; COGS doc says Services - NEEDS CONFIRMATION</t>
        </is>
      </c>
    </row>
    <row r="18">
      <c r="A18" t="inlineStr">
        <is>
          <t>Marcello Moreira</t>
        </is>
      </c>
      <c r="B18" t="inlineStr">
        <is>
          <t>MKTG</t>
        </is>
      </c>
      <c r="C18" t="inlineStr">
        <is>
          <t>Payoneer</t>
        </is>
      </c>
      <c r="D18" t="n">
        <v>59488</v>
      </c>
      <c r="F18" t="inlineStr">
        <is>
          <t>SG&amp;A</t>
        </is>
      </c>
      <c r="G18" t="inlineStr">
        <is>
          <t>HIGH</t>
        </is>
      </c>
      <c r="H18" t="inlineStr">
        <is>
          <t>Marketing content</t>
        </is>
      </c>
    </row>
    <row r="19">
      <c r="A19" t="inlineStr">
        <is>
          <t>Kirill Hovansky</t>
        </is>
      </c>
      <c r="B19" t="inlineStr">
        <is>
          <t>MKTG</t>
        </is>
      </c>
      <c r="C19" t="inlineStr">
        <is>
          <t>Upwork</t>
        </is>
      </c>
      <c r="E19" t="n">
        <v>3660</v>
      </c>
      <c r="F19" t="inlineStr">
        <is>
          <t>SG&amp;A</t>
        </is>
      </c>
      <c r="G19" t="inlineStr">
        <is>
          <t>HIGH</t>
        </is>
      </c>
      <c r="H19" t="inlineStr">
        <is>
          <t>Thrive video editing</t>
        </is>
      </c>
    </row>
    <row r="20">
      <c r="A20" t="inlineStr">
        <is>
          <t>Sabah Razaq</t>
        </is>
      </c>
      <c r="B20" t="inlineStr">
        <is>
          <t>MKTG</t>
        </is>
      </c>
      <c r="C20" t="inlineStr">
        <is>
          <t>Upwork</t>
        </is>
      </c>
      <c r="E20" t="n">
        <v>2438</v>
      </c>
      <c r="F20" t="inlineStr">
        <is>
          <t>SG&amp;A</t>
        </is>
      </c>
      <c r="G20" t="inlineStr">
        <is>
          <t>HIGH</t>
        </is>
      </c>
      <c r="H20" t="inlineStr">
        <is>
          <t>Thrive LearnDash</t>
        </is>
      </c>
    </row>
    <row r="21">
      <c r="A21" t="inlineStr">
        <is>
          <t>Yana Kosenko</t>
        </is>
      </c>
      <c r="B21" t="inlineStr">
        <is>
          <t>MKTG</t>
        </is>
      </c>
      <c r="C21" t="inlineStr">
        <is>
          <t>Upwork</t>
        </is>
      </c>
      <c r="E21" t="n">
        <v>700</v>
      </c>
      <c r="F21" t="inlineStr">
        <is>
          <t>SG&amp;A</t>
        </is>
      </c>
      <c r="G21" t="inlineStr">
        <is>
          <t>HIGH</t>
        </is>
      </c>
      <c r="H21" t="inlineStr">
        <is>
          <t>Tech Talk video editing</t>
        </is>
      </c>
    </row>
    <row r="22">
      <c r="A22" t="inlineStr">
        <is>
          <t>Badar</t>
        </is>
      </c>
      <c r="B22" t="inlineStr">
        <is>
          <t>MKTG</t>
        </is>
      </c>
      <c r="C22" t="inlineStr">
        <is>
          <t>Payoneer</t>
        </is>
      </c>
      <c r="D22" t="n">
        <v>30300</v>
      </c>
      <c r="F22" t="inlineStr">
        <is>
          <t>SG&amp;A</t>
        </is>
      </c>
      <c r="G22" t="inlineStr">
        <is>
          <t>HIGH</t>
        </is>
      </c>
      <c r="H22" t="inlineStr">
        <is>
          <t>Marketing</t>
        </is>
      </c>
    </row>
    <row r="23">
      <c r="A23" t="inlineStr">
        <is>
          <t>Heather Kohler</t>
        </is>
      </c>
      <c r="B23" t="inlineStr">
        <is>
          <t>Biz Dev</t>
        </is>
      </c>
      <c r="C23" t="inlineStr">
        <is>
          <t>W2 ADP</t>
        </is>
      </c>
      <c r="E23" t="n">
        <v>13200</v>
      </c>
      <c r="F23" t="inlineStr">
        <is>
          <t>SG&amp;A</t>
        </is>
      </c>
      <c r="G23" t="inlineStr">
        <is>
          <t>HIGH</t>
        </is>
      </c>
      <c r="H23" t="inlineStr">
        <is>
          <t>Business Development</t>
        </is>
      </c>
    </row>
    <row r="24">
      <c r="A24" t="inlineStr">
        <is>
          <t>Chad Wiggins</t>
        </is>
      </c>
      <c r="B24" t="inlineStr">
        <is>
          <t>Biz Dev</t>
        </is>
      </c>
      <c r="C24" t="inlineStr">
        <is>
          <t>W2 ADP</t>
        </is>
      </c>
      <c r="D24" t="n">
        <v>106393</v>
      </c>
      <c r="E24" t="n">
        <v>95000</v>
      </c>
      <c r="F24" t="inlineStr">
        <is>
          <t>SG&amp;A</t>
        </is>
      </c>
      <c r="G24" t="inlineStr">
        <is>
          <t>HIGH</t>
        </is>
      </c>
      <c r="H24" t="inlineStr">
        <is>
          <t>Business Development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5" customWidth="1" min="1" max="1"/>
    <col width="50" customWidth="1" min="2" max="2"/>
    <col width="14" customWidth="1" min="3" max="3"/>
    <col width="12" customWidth="1" min="4" max="4"/>
    <col width="14" customWidth="1" min="5" max="5"/>
    <col width="55" customWidth="1" min="6" max="6"/>
  </cols>
  <sheetData>
    <row r="1">
      <c r="A1" s="1" t="inlineStr">
        <is>
          <t>Line</t>
        </is>
      </c>
      <c r="B1" s="1" t="inlineStr">
        <is>
          <t>Description</t>
        </is>
      </c>
      <c r="C1" s="1" t="inlineStr">
        <is>
          <t>Amount</t>
        </is>
      </c>
      <c r="D1" s="1" t="inlineStr">
        <is>
          <t>Confidence</t>
        </is>
      </c>
      <c r="E1" s="1" t="inlineStr">
        <is>
          <t>Status</t>
        </is>
      </c>
      <c r="F1" s="1" t="inlineStr">
        <is>
          <t>Notes</t>
        </is>
      </c>
    </row>
    <row r="2">
      <c r="A2" t="inlineStr">
        <is>
          <t>A</t>
        </is>
      </c>
      <c r="B2" t="inlineStr">
        <is>
          <t>Original QB COGS (Consulting Services - Cost)</t>
        </is>
      </c>
      <c r="C2" t="n">
        <v>1044424</v>
      </c>
      <c r="D2" t="inlineStr">
        <is>
          <t>ACTUAL</t>
        </is>
      </c>
      <c r="E2" t="inlineStr">
        <is>
          <t>QB Verified</t>
        </is>
      </c>
      <c r="F2" t="inlineStr">
        <is>
          <t>QuickBooks actual for CY2025</t>
        </is>
      </c>
    </row>
    <row r="3">
      <c r="A3" t="inlineStr">
        <is>
          <t>B</t>
        </is>
      </c>
      <c r="B3" t="inlineStr">
        <is>
          <t>+ Adjustment A: W-2 Service Delivery Labor</t>
        </is>
      </c>
      <c r="C3" t="n">
        <v>708879</v>
      </c>
      <c r="D3" t="inlineStr">
        <is>
          <t>HIGH</t>
        </is>
      </c>
      <c r="E3" t="inlineStr">
        <is>
          <t>VALIDATED</t>
        </is>
      </c>
      <c r="F3" t="inlineStr">
        <is>
          <t>Matches Dept 100 payroll ($708,663) within $216</t>
        </is>
      </c>
    </row>
    <row r="4">
      <c r="A4" t="inlineStr">
        <is>
          <t>C</t>
        </is>
      </c>
      <c r="B4" t="inlineStr">
        <is>
          <t>+ Adjustment B: Service Delivery Software Tools</t>
        </is>
      </c>
      <c r="C4" t="n">
        <v>197693</v>
      </c>
      <c r="D4" t="inlineStr">
        <is>
          <t>HIGH</t>
        </is>
      </c>
      <c r="E4" t="inlineStr">
        <is>
          <t>VALIDATED</t>
        </is>
      </c>
      <c r="F4" t="inlineStr">
        <is>
          <t>Line-item classified from software detail file</t>
        </is>
      </c>
    </row>
    <row r="5">
      <c r="A5" t="inlineStr">
        <is>
          <t>D</t>
        </is>
      </c>
      <c r="B5" t="inlineStr">
        <is>
          <t>+ Adjustment B: Pending items (Azure, GoDaddy, etc.)</t>
        </is>
      </c>
      <c r="C5" t="n">
        <v>24281</v>
      </c>
      <c r="D5" t="inlineStr">
        <is>
          <t>LOW</t>
        </is>
      </c>
      <c r="E5" t="inlineStr">
        <is>
          <t>PENDING</t>
        </is>
      </c>
      <c r="F5" t="inlineStr">
        <is>
          <t>Awaiting Paul confirmation</t>
        </is>
      </c>
    </row>
    <row r="6">
      <c r="A6" t="inlineStr">
        <is>
          <t>E</t>
        </is>
      </c>
      <c r="B6" t="inlineStr">
        <is>
          <t>+ Adjustment C: Upwork COGS from non-COGS lines</t>
        </is>
      </c>
      <c r="C6" t="n">
        <v>147053</v>
      </c>
      <c r="D6" t="inlineStr">
        <is>
          <t>MEDIUM</t>
        </is>
      </c>
      <c r="E6" t="inlineStr">
        <is>
          <t>PLAUSIBLE</t>
        </is>
      </c>
      <c r="F6" t="inlineStr">
        <is>
          <t>Cannot verify without QB transaction detail</t>
        </is>
      </c>
    </row>
    <row r="7">
      <c r="A7" t="inlineStr">
        <is>
          <t>F</t>
        </is>
      </c>
      <c r="B7" t="inlineStr">
        <is>
          <t>- Internal SG&amp;A incorrectly in original Adj B</t>
        </is>
      </c>
      <c r="C7" t="n">
        <v>-60277</v>
      </c>
      <c r="D7" t="inlineStr">
        <is>
          <t>HIGH</t>
        </is>
      </c>
      <c r="E7" t="inlineStr">
        <is>
          <t>CORRECTION</t>
        </is>
      </c>
      <c r="F7" t="inlineStr">
        <is>
          <t>$58,539 SG&amp;A software + $1,738 rounding</t>
        </is>
      </c>
    </row>
    <row r="8">
      <c r="A8" t="inlineStr"/>
      <c r="B8" t="inlineStr"/>
      <c r="C8" t="inlineStr"/>
      <c r="D8" t="inlineStr"/>
      <c r="E8" t="inlineStr"/>
      <c r="F8" t="inlineStr"/>
    </row>
    <row r="9">
      <c r="A9" t="inlineStr">
        <is>
          <t>G</t>
        </is>
      </c>
      <c r="B9">
        <f> Corrected COGS (conservative, validated only)</f>
        <v/>
      </c>
      <c r="C9" t="n">
        <v>1950996</v>
      </c>
      <c r="D9" t="inlineStr"/>
      <c r="E9" t="inlineStr">
        <is>
          <t>BASELINE</t>
        </is>
      </c>
      <c r="F9" t="inlineStr">
        <is>
          <t>Lines A+B+C only</t>
        </is>
      </c>
    </row>
    <row r="10">
      <c r="A10" t="inlineStr">
        <is>
          <t>H</t>
        </is>
      </c>
      <c r="B10">
        <f> Corrected COGS (with plausible items)</f>
        <v/>
      </c>
      <c r="C10" t="n">
        <v>2098049</v>
      </c>
      <c r="D10" t="inlineStr"/>
      <c r="E10" t="inlineStr">
        <is>
          <t>LIKELY</t>
        </is>
      </c>
      <c r="F10" t="inlineStr">
        <is>
          <t>Lines A+B+C+D+E+F</t>
        </is>
      </c>
    </row>
    <row r="11">
      <c r="A11" t="inlineStr">
        <is>
          <t>I</t>
        </is>
      </c>
      <c r="B11">
        <f> Definitive P&amp;L v3.0 Corrected COGS</f>
        <v/>
      </c>
      <c r="C11" t="n">
        <v>2158326</v>
      </c>
      <c r="D11" t="inlineStr"/>
      <c r="E11" t="inlineStr">
        <is>
          <t>REFERENCE</t>
        </is>
      </c>
      <c r="F11" t="inlineStr">
        <is>
          <t>For comparison</t>
        </is>
      </c>
    </row>
    <row r="12">
      <c r="A12" t="inlineStr">
        <is>
          <t>J</t>
        </is>
      </c>
      <c r="B12">
        <f> Gap (Definitive P&amp;L vs. conservative)</f>
        <v/>
      </c>
      <c r="C12" t="n">
        <v>207330</v>
      </c>
      <c r="D12" t="inlineStr"/>
      <c r="E12" t="inlineStr">
        <is>
          <t>EXPLAINED</t>
        </is>
      </c>
      <c r="F12" t="inlineStr">
        <is>
          <t>Adj B overstatement + unverified Adj 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2026-04-20T23:58:42Z</dcterms:created>
  <dcterms:modified xmlns:dcterms="http://purl.org/dc/terms/" xmlns:xsi="http://www.w3.org/2001/XMLSchema-instance" xsi:type="dcterms:W3CDTF">2026-04-20T23:58:42Z</dcterms:modified>
</cp:coreProperties>
</file>