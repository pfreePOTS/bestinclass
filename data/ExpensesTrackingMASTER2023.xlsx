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free\Downloads\"/>
    </mc:Choice>
  </mc:AlternateContent>
  <xr:revisionPtr revIDLastSave="0" documentId="13_ncr:1_{41762CE2-6C5E-4E22-85B9-7261A5450C24}" xr6:coauthVersionLast="47" xr6:coauthVersionMax="47" xr10:uidLastSave="{00000000-0000-0000-0000-000000000000}"/>
  <bookViews>
    <workbookView xWindow="-103" yWindow="-103" windowWidth="33120" windowHeight="18000" xr2:uid="{ACC517C5-9632-46A8-95F7-612E26B6A98E}"/>
  </bookViews>
  <sheets>
    <sheet name="Expenses 2026" sheetId="7" r:id="rId1"/>
    <sheet name="Expenses 2025" sheetId="6" r:id="rId2"/>
    <sheet name="Expenses 2024" sheetId="4" r:id="rId3"/>
    <sheet name="Expenses 2023" sheetId="2" r:id="rId4"/>
    <sheet name="Model" sheetId="3" r:id="rId5"/>
    <sheet name="Sheet1" sheetId="5" r:id="rId6"/>
  </sheets>
  <definedNames>
    <definedName name="_xlnm._FilterDatabase" localSheetId="3" hidden="1">'Expenses 2023'!$B$2:$O$98</definedName>
    <definedName name="_xlnm._FilterDatabase" localSheetId="2" hidden="1">'Expenses 2024'!$B$2:$O$110</definedName>
    <definedName name="_xlnm._FilterDatabase" localSheetId="1" hidden="1">'Expenses 2025'!$B$2:$O$133</definedName>
    <definedName name="_xlnm._FilterDatabase" localSheetId="0" hidden="1">'Expenses 2026'!$C$2:$P$124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5" i="7" l="1"/>
  <c r="L15" i="7"/>
  <c r="K13" i="7"/>
  <c r="L13" i="7" s="1"/>
  <c r="M13" i="7" s="1"/>
  <c r="N13" i="7" s="1"/>
  <c r="K59" i="7"/>
  <c r="L59" i="7" s="1"/>
  <c r="M59" i="7" s="1"/>
  <c r="N59" i="7" s="1"/>
  <c r="N15" i="7" l="1"/>
  <c r="K27" i="7" l="1"/>
  <c r="L27" i="7" s="1"/>
  <c r="M27" i="7" s="1"/>
  <c r="N27" i="7" s="1"/>
  <c r="K8" i="7"/>
  <c r="L8" i="7" s="1"/>
  <c r="M8" i="7" s="1"/>
  <c r="N8" i="7" s="1"/>
  <c r="K17" i="7"/>
  <c r="L17" i="7" s="1"/>
  <c r="M17" i="7" s="1"/>
  <c r="N17" i="7" s="1"/>
  <c r="K45" i="7"/>
  <c r="L45" i="7" s="1"/>
  <c r="M45" i="7" s="1"/>
  <c r="N45" i="7" s="1"/>
  <c r="K25" i="7"/>
  <c r="L25" i="7" s="1"/>
  <c r="M25" i="7" s="1"/>
  <c r="N25" i="7" s="1"/>
  <c r="K22" i="7"/>
  <c r="L22" i="7" s="1"/>
  <c r="M22" i="7" s="1"/>
  <c r="N22" i="7" s="1"/>
  <c r="K12" i="7"/>
  <c r="L12" i="7" s="1"/>
  <c r="M12" i="7" s="1"/>
  <c r="M149" i="7"/>
  <c r="N149" i="7" s="1"/>
  <c r="N162" i="7"/>
  <c r="N164" i="7" s="1"/>
  <c r="N12" i="7" l="1"/>
  <c r="N147" i="7"/>
  <c r="I34" i="7"/>
  <c r="K57" i="7"/>
  <c r="N75" i="7" l="1"/>
  <c r="K54" i="7"/>
  <c r="L54" i="7" s="1"/>
  <c r="M54" i="7" s="1"/>
  <c r="N54" i="7" s="1"/>
  <c r="K32" i="7"/>
  <c r="L32" i="7" s="1"/>
  <c r="M32" i="7" s="1"/>
  <c r="N32" i="7" s="1"/>
  <c r="K6" i="7"/>
  <c r="L6" i="7" s="1"/>
  <c r="M6" i="7" s="1"/>
  <c r="N6" i="7" s="1"/>
  <c r="N146" i="7" l="1"/>
  <c r="K53" i="7"/>
  <c r="L53" i="7" s="1"/>
  <c r="M53" i="7" s="1"/>
  <c r="N53" i="7" s="1"/>
  <c r="K51" i="7"/>
  <c r="K42" i="7"/>
  <c r="L42" i="7" s="1"/>
  <c r="M42" i="7" s="1"/>
  <c r="N42" i="7" s="1"/>
  <c r="K40" i="7"/>
  <c r="L40" i="7" s="1"/>
  <c r="M40" i="7" s="1"/>
  <c r="N40" i="7" s="1"/>
  <c r="K38" i="7"/>
  <c r="L38" i="7" s="1"/>
  <c r="M38" i="7" s="1"/>
  <c r="N38" i="7" s="1"/>
  <c r="K36" i="7"/>
  <c r="L36" i="7" s="1"/>
  <c r="M36" i="7" s="1"/>
  <c r="N36" i="7" s="1"/>
  <c r="K34" i="7"/>
  <c r="L34" i="7" s="1"/>
  <c r="M34" i="7" s="1"/>
  <c r="N34" i="7" s="1"/>
  <c r="K31" i="7"/>
  <c r="L31" i="7" s="1"/>
  <c r="K29" i="7"/>
  <c r="I51" i="7"/>
  <c r="I29" i="7"/>
  <c r="K55" i="7"/>
  <c r="L55" i="7" s="1"/>
  <c r="M55" i="7" s="1"/>
  <c r="N55" i="7" s="1"/>
  <c r="N143" i="7"/>
  <c r="M130" i="7"/>
  <c r="M131" i="7" s="1"/>
  <c r="M129" i="7"/>
  <c r="O121" i="7"/>
  <c r="N112" i="7"/>
  <c r="N111" i="7"/>
  <c r="N110" i="7"/>
  <c r="N109" i="7"/>
  <c r="N108" i="7"/>
  <c r="N107" i="7"/>
  <c r="N106" i="7"/>
  <c r="N105" i="7"/>
  <c r="N104" i="7"/>
  <c r="N103" i="7"/>
  <c r="N102" i="7"/>
  <c r="N101" i="7"/>
  <c r="N100" i="7"/>
  <c r="N99" i="7"/>
  <c r="N98" i="7"/>
  <c r="N97" i="7"/>
  <c r="N96" i="7"/>
  <c r="N95" i="7"/>
  <c r="N94" i="7"/>
  <c r="N93" i="7"/>
  <c r="N92" i="7"/>
  <c r="N91" i="7"/>
  <c r="N90" i="7"/>
  <c r="N89" i="7"/>
  <c r="N88" i="7"/>
  <c r="N87" i="7"/>
  <c r="N86" i="7"/>
  <c r="N85" i="7"/>
  <c r="N84" i="7"/>
  <c r="N83" i="7"/>
  <c r="N82" i="7"/>
  <c r="N81" i="7"/>
  <c r="N80" i="7"/>
  <c r="N79" i="7"/>
  <c r="N78" i="7"/>
  <c r="N77" i="7"/>
  <c r="N76" i="7"/>
  <c r="N74" i="7"/>
  <c r="N73" i="7"/>
  <c r="N72" i="7"/>
  <c r="N71" i="7"/>
  <c r="N70" i="7"/>
  <c r="N69" i="7"/>
  <c r="N68" i="7"/>
  <c r="N67" i="7"/>
  <c r="N66" i="7"/>
  <c r="N65" i="7"/>
  <c r="N64" i="7"/>
  <c r="N63" i="7"/>
  <c r="N62" i="7"/>
  <c r="N61" i="7"/>
  <c r="N60" i="7"/>
  <c r="K58" i="7"/>
  <c r="L58" i="7" s="1"/>
  <c r="M58" i="7" s="1"/>
  <c r="N58" i="7" s="1"/>
  <c r="L57" i="7"/>
  <c r="M57" i="7" s="1"/>
  <c r="N57" i="7" s="1"/>
  <c r="S56" i="7"/>
  <c r="K56" i="7"/>
  <c r="L56" i="7" s="1"/>
  <c r="M56" i="7" s="1"/>
  <c r="N56" i="7" s="1"/>
  <c r="S52" i="7"/>
  <c r="K52" i="7"/>
  <c r="L52" i="7" s="1"/>
  <c r="M52" i="7" s="1"/>
  <c r="N52" i="7" s="1"/>
  <c r="K50" i="7"/>
  <c r="L50" i="7" s="1"/>
  <c r="M50" i="7" s="1"/>
  <c r="N50" i="7" s="1"/>
  <c r="S49" i="7"/>
  <c r="K49" i="7"/>
  <c r="L49" i="7" s="1"/>
  <c r="M49" i="7" s="1"/>
  <c r="N49" i="7" s="1"/>
  <c r="S48" i="7"/>
  <c r="K48" i="7"/>
  <c r="L48" i="7" s="1"/>
  <c r="M48" i="7" s="1"/>
  <c r="N48" i="7" s="1"/>
  <c r="K47" i="7"/>
  <c r="L47" i="7" s="1"/>
  <c r="M47" i="7" s="1"/>
  <c r="N47" i="7" s="1"/>
  <c r="K46" i="7"/>
  <c r="L46" i="7" s="1"/>
  <c r="M46" i="7" s="1"/>
  <c r="N46" i="7" s="1"/>
  <c r="S44" i="7"/>
  <c r="K44" i="7"/>
  <c r="L44" i="7" s="1"/>
  <c r="M44" i="7" s="1"/>
  <c r="N44" i="7" s="1"/>
  <c r="S43" i="7"/>
  <c r="K43" i="7"/>
  <c r="L43" i="7" s="1"/>
  <c r="M43" i="7" s="1"/>
  <c r="N43" i="7" s="1"/>
  <c r="S41" i="7"/>
  <c r="K41" i="7"/>
  <c r="L41" i="7" s="1"/>
  <c r="M41" i="7" s="1"/>
  <c r="N41" i="7" s="1"/>
  <c r="S39" i="7"/>
  <c r="K39" i="7"/>
  <c r="L39" i="7" s="1"/>
  <c r="M39" i="7" s="1"/>
  <c r="N39" i="7" s="1"/>
  <c r="S37" i="7"/>
  <c r="K37" i="7"/>
  <c r="L37" i="7" s="1"/>
  <c r="M37" i="7" s="1"/>
  <c r="N37" i="7" s="1"/>
  <c r="S35" i="7"/>
  <c r="K35" i="7"/>
  <c r="L35" i="7" s="1"/>
  <c r="M35" i="7" s="1"/>
  <c r="N35" i="7" s="1"/>
  <c r="S33" i="7"/>
  <c r="K33" i="7"/>
  <c r="L33" i="7" s="1"/>
  <c r="M33" i="7" s="1"/>
  <c r="N33" i="7" s="1"/>
  <c r="S30" i="7"/>
  <c r="K30" i="7"/>
  <c r="L30" i="7" s="1"/>
  <c r="M30" i="7" s="1"/>
  <c r="N30" i="7" s="1"/>
  <c r="S28" i="7"/>
  <c r="K28" i="7"/>
  <c r="L28" i="7" s="1"/>
  <c r="M28" i="7" s="1"/>
  <c r="N28" i="7" s="1"/>
  <c r="K26" i="7"/>
  <c r="L26" i="7" s="1"/>
  <c r="M26" i="7" s="1"/>
  <c r="N26" i="7" s="1"/>
  <c r="K24" i="7"/>
  <c r="L24" i="7" s="1"/>
  <c r="M24" i="7" s="1"/>
  <c r="N24" i="7" s="1"/>
  <c r="S23" i="7"/>
  <c r="K23" i="7"/>
  <c r="L23" i="7" s="1"/>
  <c r="M23" i="7" s="1"/>
  <c r="N23" i="7" s="1"/>
  <c r="S21" i="7"/>
  <c r="K21" i="7"/>
  <c r="L21" i="7" s="1"/>
  <c r="M21" i="7" s="1"/>
  <c r="N21" i="7" s="1"/>
  <c r="S20" i="7"/>
  <c r="K20" i="7"/>
  <c r="L20" i="7" s="1"/>
  <c r="M20" i="7" s="1"/>
  <c r="N20" i="7" s="1"/>
  <c r="S19" i="7"/>
  <c r="K19" i="7"/>
  <c r="L19" i="7" s="1"/>
  <c r="M19" i="7" s="1"/>
  <c r="N19" i="7" s="1"/>
  <c r="S18" i="7"/>
  <c r="K18" i="7"/>
  <c r="L18" i="7" s="1"/>
  <c r="M18" i="7" s="1"/>
  <c r="N18" i="7" s="1"/>
  <c r="S16" i="7"/>
  <c r="K16" i="7"/>
  <c r="L16" i="7" s="1"/>
  <c r="M16" i="7" s="1"/>
  <c r="N16" i="7" s="1"/>
  <c r="S14" i="7"/>
  <c r="K14" i="7"/>
  <c r="L14" i="7" s="1"/>
  <c r="M14" i="7" s="1"/>
  <c r="N14" i="7" s="1"/>
  <c r="S11" i="7"/>
  <c r="K11" i="7"/>
  <c r="L11" i="7" s="1"/>
  <c r="M11" i="7" s="1"/>
  <c r="N11" i="7" s="1"/>
  <c r="M10" i="7"/>
  <c r="N10" i="7" s="1"/>
  <c r="S9" i="7"/>
  <c r="K9" i="7"/>
  <c r="L9" i="7" s="1"/>
  <c r="M9" i="7" s="1"/>
  <c r="N9" i="7" s="1"/>
  <c r="S7" i="7"/>
  <c r="K7" i="7"/>
  <c r="L7" i="7" s="1"/>
  <c r="M7" i="7" s="1"/>
  <c r="N7" i="7" s="1"/>
  <c r="L5" i="7"/>
  <c r="M5" i="7" s="1"/>
  <c r="N5" i="7" s="1"/>
  <c r="S4" i="7"/>
  <c r="L4" i="7"/>
  <c r="M4" i="7" s="1"/>
  <c r="N4" i="7" s="1"/>
  <c r="S3" i="7"/>
  <c r="K3" i="7"/>
  <c r="L3" i="7" s="1"/>
  <c r="M3" i="7" s="1"/>
  <c r="J63" i="6"/>
  <c r="K63" i="6" s="1"/>
  <c r="L63" i="6" s="1"/>
  <c r="M63" i="6" s="1"/>
  <c r="J62" i="6"/>
  <c r="K62" i="6" s="1"/>
  <c r="L62" i="6" s="1"/>
  <c r="M62" i="6" s="1"/>
  <c r="R62" i="6"/>
  <c r="J6" i="6"/>
  <c r="K6" i="6" s="1"/>
  <c r="L6" i="6" s="1"/>
  <c r="M6" i="6" s="1"/>
  <c r="K40" i="6"/>
  <c r="L40" i="6" s="1"/>
  <c r="M40" i="6" s="1"/>
  <c r="M84" i="6"/>
  <c r="M83" i="6"/>
  <c r="M82" i="6"/>
  <c r="J64" i="6"/>
  <c r="K64" i="6" s="1"/>
  <c r="L64" i="6" s="1"/>
  <c r="J65" i="6"/>
  <c r="K65" i="6" s="1"/>
  <c r="L65" i="6" s="1"/>
  <c r="M65" i="6" s="1"/>
  <c r="K66" i="6"/>
  <c r="J29" i="6"/>
  <c r="K29" i="6" s="1"/>
  <c r="L29" i="6" s="1"/>
  <c r="N3" i="7" l="1"/>
  <c r="L29" i="7"/>
  <c r="M29" i="7" s="1"/>
  <c r="N29" i="7" s="1"/>
  <c r="L51" i="7"/>
  <c r="M51" i="7" s="1"/>
  <c r="N51" i="7" s="1"/>
  <c r="M31" i="7"/>
  <c r="N31" i="7" s="1"/>
  <c r="J32" i="6"/>
  <c r="K32" i="6" s="1"/>
  <c r="M119" i="7" l="1"/>
  <c r="J51" i="6"/>
  <c r="K51" i="6" s="1"/>
  <c r="L51" i="6" s="1"/>
  <c r="M51" i="6" s="1"/>
  <c r="J28" i="6"/>
  <c r="K28" i="6" s="1"/>
  <c r="L28" i="6" s="1"/>
  <c r="M28" i="6" s="1"/>
  <c r="J59" i="6"/>
  <c r="K59" i="6" s="1"/>
  <c r="L59" i="6" s="1"/>
  <c r="M59" i="6" s="1"/>
  <c r="M122" i="7" l="1"/>
  <c r="K119" i="7"/>
  <c r="M121" i="7"/>
  <c r="M122" i="6"/>
  <c r="M152" i="6"/>
  <c r="L138" i="6"/>
  <c r="J50" i="6"/>
  <c r="K50" i="6" s="1"/>
  <c r="L50" i="6" s="1"/>
  <c r="M50" i="6" s="1"/>
  <c r="J53" i="6"/>
  <c r="K53" i="6" s="1"/>
  <c r="L53" i="6" s="1"/>
  <c r="M53" i="6" s="1"/>
  <c r="M115" i="6" l="1"/>
  <c r="M116" i="6"/>
  <c r="M70" i="6"/>
  <c r="J38" i="6"/>
  <c r="K38" i="6" s="1"/>
  <c r="L38" i="6" s="1"/>
  <c r="M38" i="6" s="1"/>
  <c r="J56" i="6"/>
  <c r="K56" i="6" s="1"/>
  <c r="L56" i="6" s="1"/>
  <c r="M56" i="6" s="1"/>
  <c r="J54" i="6"/>
  <c r="K54" i="6" s="1"/>
  <c r="M54" i="6" s="1"/>
  <c r="J52" i="6"/>
  <c r="K52" i="6" s="1"/>
  <c r="L52" i="6" s="1"/>
  <c r="M52" i="6" s="1"/>
  <c r="J49" i="6"/>
  <c r="K49" i="6" s="1"/>
  <c r="L49" i="6" s="1"/>
  <c r="M49" i="6" s="1"/>
  <c r="K67" i="6"/>
  <c r="L67" i="6" s="1"/>
  <c r="M67" i="6" s="1"/>
  <c r="J47" i="6" l="1"/>
  <c r="K47" i="6" s="1"/>
  <c r="L47" i="6" s="1"/>
  <c r="M47" i="6" s="1"/>
  <c r="J44" i="6" l="1"/>
  <c r="K44" i="6" s="1"/>
  <c r="L44" i="6" s="1"/>
  <c r="M44" i="6" s="1"/>
  <c r="M95" i="6"/>
  <c r="J17" i="6"/>
  <c r="K17" i="6" s="1"/>
  <c r="L17" i="6" s="1"/>
  <c r="M17" i="6" s="1"/>
  <c r="J12" i="6"/>
  <c r="K12" i="6" s="1"/>
  <c r="L12" i="6" s="1"/>
  <c r="M12" i="6" s="1"/>
  <c r="R8" i="6"/>
  <c r="J8" i="6"/>
  <c r="K8" i="6" s="1"/>
  <c r="L8" i="6" s="1"/>
  <c r="M8" i="6" s="1"/>
  <c r="L139" i="6" l="1"/>
  <c r="L140" i="6" s="1"/>
  <c r="L131" i="6"/>
  <c r="N130" i="6"/>
  <c r="L130" i="6"/>
  <c r="J128" i="6"/>
  <c r="M126" i="6"/>
  <c r="M125" i="6"/>
  <c r="M124" i="6"/>
  <c r="M123" i="6"/>
  <c r="M121" i="6"/>
  <c r="M120" i="6"/>
  <c r="M119" i="6"/>
  <c r="M118" i="6"/>
  <c r="M117" i="6"/>
  <c r="M114" i="6"/>
  <c r="M113" i="6"/>
  <c r="M112" i="6"/>
  <c r="M111" i="6"/>
  <c r="M110" i="6"/>
  <c r="M109" i="6"/>
  <c r="M108" i="6"/>
  <c r="M107" i="6"/>
  <c r="M106" i="6"/>
  <c r="M105" i="6"/>
  <c r="M104" i="6"/>
  <c r="M103" i="6"/>
  <c r="M102" i="6"/>
  <c r="M101" i="6"/>
  <c r="M100" i="6"/>
  <c r="M99" i="6"/>
  <c r="M98" i="6"/>
  <c r="M97" i="6"/>
  <c r="M96" i="6"/>
  <c r="M94" i="6"/>
  <c r="M93" i="6"/>
  <c r="M92" i="6"/>
  <c r="M91" i="6"/>
  <c r="M90" i="6"/>
  <c r="M89" i="6"/>
  <c r="M88" i="6"/>
  <c r="M87" i="6"/>
  <c r="M86" i="6"/>
  <c r="M85" i="6"/>
  <c r="M81" i="6"/>
  <c r="M80" i="6"/>
  <c r="M79" i="6"/>
  <c r="M78" i="6"/>
  <c r="M77" i="6"/>
  <c r="M76" i="6"/>
  <c r="M75" i="6"/>
  <c r="M74" i="6"/>
  <c r="M73" i="6"/>
  <c r="M72" i="6"/>
  <c r="M71" i="6"/>
  <c r="M69" i="6"/>
  <c r="J68" i="6"/>
  <c r="K68" i="6" s="1"/>
  <c r="L68" i="6" s="1"/>
  <c r="M68" i="6" s="1"/>
  <c r="L66" i="6"/>
  <c r="M66" i="6" s="1"/>
  <c r="M64" i="6"/>
  <c r="R61" i="6"/>
  <c r="J61" i="6"/>
  <c r="K61" i="6" s="1"/>
  <c r="L61" i="6" s="1"/>
  <c r="M61" i="6" s="1"/>
  <c r="R60" i="6"/>
  <c r="J60" i="6"/>
  <c r="K60" i="6" s="1"/>
  <c r="L60" i="6" s="1"/>
  <c r="M60" i="6" s="1"/>
  <c r="R58" i="6"/>
  <c r="J58" i="6"/>
  <c r="K58" i="6" s="1"/>
  <c r="L58" i="6" s="1"/>
  <c r="M58" i="6" s="1"/>
  <c r="R57" i="6"/>
  <c r="J57" i="6"/>
  <c r="K57" i="6" s="1"/>
  <c r="L57" i="6" s="1"/>
  <c r="M57" i="6" s="1"/>
  <c r="R55" i="6"/>
  <c r="J55" i="6"/>
  <c r="K55" i="6" s="1"/>
  <c r="L55" i="6" s="1"/>
  <c r="M55" i="6" s="1"/>
  <c r="R48" i="6"/>
  <c r="J48" i="6"/>
  <c r="K48" i="6" s="1"/>
  <c r="L48" i="6" s="1"/>
  <c r="M48" i="6" s="1"/>
  <c r="R46" i="6"/>
  <c r="J46" i="6"/>
  <c r="K46" i="6" s="1"/>
  <c r="L46" i="6" s="1"/>
  <c r="M46" i="6" s="1"/>
  <c r="R45" i="6"/>
  <c r="J45" i="6"/>
  <c r="K45" i="6" s="1"/>
  <c r="L45" i="6" s="1"/>
  <c r="M45" i="6" s="1"/>
  <c r="R43" i="6"/>
  <c r="J43" i="6"/>
  <c r="K43" i="6" s="1"/>
  <c r="L43" i="6" s="1"/>
  <c r="M43" i="6" s="1"/>
  <c r="R42" i="6"/>
  <c r="J42" i="6"/>
  <c r="K42" i="6" s="1"/>
  <c r="L42" i="6" s="1"/>
  <c r="M42" i="6" s="1"/>
  <c r="R41" i="6"/>
  <c r="J41" i="6"/>
  <c r="K41" i="6" s="1"/>
  <c r="L41" i="6" s="1"/>
  <c r="M41" i="6" s="1"/>
  <c r="R39" i="6"/>
  <c r="J39" i="6"/>
  <c r="K39" i="6" s="1"/>
  <c r="L39" i="6" s="1"/>
  <c r="M39" i="6" s="1"/>
  <c r="R37" i="6"/>
  <c r="J37" i="6"/>
  <c r="K37" i="6" s="1"/>
  <c r="L37" i="6" s="1"/>
  <c r="M37" i="6" s="1"/>
  <c r="R36" i="6"/>
  <c r="J36" i="6"/>
  <c r="K36" i="6" s="1"/>
  <c r="L36" i="6" s="1"/>
  <c r="M36" i="6" s="1"/>
  <c r="R35" i="6"/>
  <c r="J35" i="6"/>
  <c r="K35" i="6" s="1"/>
  <c r="L35" i="6" s="1"/>
  <c r="M35" i="6" s="1"/>
  <c r="R34" i="6"/>
  <c r="J34" i="6"/>
  <c r="K34" i="6" s="1"/>
  <c r="L34" i="6" s="1"/>
  <c r="M34" i="6" s="1"/>
  <c r="R33" i="6"/>
  <c r="J33" i="6"/>
  <c r="K33" i="6" s="1"/>
  <c r="L33" i="6" s="1"/>
  <c r="M33" i="6" s="1"/>
  <c r="R31" i="6"/>
  <c r="J31" i="6"/>
  <c r="K31" i="6" s="1"/>
  <c r="L31" i="6" s="1"/>
  <c r="M31" i="6" s="1"/>
  <c r="R30" i="6"/>
  <c r="J30" i="6"/>
  <c r="K30" i="6" s="1"/>
  <c r="L30" i="6" s="1"/>
  <c r="M30" i="6" s="1"/>
  <c r="R27" i="6"/>
  <c r="J27" i="6"/>
  <c r="K27" i="6" s="1"/>
  <c r="L27" i="6" s="1"/>
  <c r="M27" i="6" s="1"/>
  <c r="L26" i="6"/>
  <c r="M26" i="6" s="1"/>
  <c r="L25" i="6"/>
  <c r="R25" i="6" s="1"/>
  <c r="J24" i="6"/>
  <c r="K24" i="6" s="1"/>
  <c r="L24" i="6" s="1"/>
  <c r="M24" i="6" s="1"/>
  <c r="R23" i="6"/>
  <c r="J23" i="6"/>
  <c r="K23" i="6" s="1"/>
  <c r="L23" i="6" s="1"/>
  <c r="M23" i="6" s="1"/>
  <c r="R22" i="6"/>
  <c r="J22" i="6"/>
  <c r="K22" i="6" s="1"/>
  <c r="L22" i="6" s="1"/>
  <c r="M22" i="6" s="1"/>
  <c r="R21" i="6"/>
  <c r="J21" i="6"/>
  <c r="K21" i="6" s="1"/>
  <c r="L21" i="6" s="1"/>
  <c r="M21" i="6" s="1"/>
  <c r="R20" i="6"/>
  <c r="J20" i="6"/>
  <c r="K20" i="6" s="1"/>
  <c r="L20" i="6" s="1"/>
  <c r="M20" i="6" s="1"/>
  <c r="R19" i="6"/>
  <c r="J19" i="6"/>
  <c r="K19" i="6" s="1"/>
  <c r="L19" i="6" s="1"/>
  <c r="M19" i="6" s="1"/>
  <c r="R18" i="6"/>
  <c r="J18" i="6"/>
  <c r="K18" i="6" s="1"/>
  <c r="L18" i="6" s="1"/>
  <c r="M18" i="6" s="1"/>
  <c r="R16" i="6"/>
  <c r="J16" i="6"/>
  <c r="K16" i="6" s="1"/>
  <c r="L16" i="6" s="1"/>
  <c r="M16" i="6" s="1"/>
  <c r="R15" i="6"/>
  <c r="J15" i="6"/>
  <c r="K15" i="6" s="1"/>
  <c r="L15" i="6" s="1"/>
  <c r="M15" i="6" s="1"/>
  <c r="R14" i="6"/>
  <c r="J14" i="6"/>
  <c r="K14" i="6" s="1"/>
  <c r="L14" i="6" s="1"/>
  <c r="M14" i="6" s="1"/>
  <c r="R13" i="6"/>
  <c r="J13" i="6"/>
  <c r="K13" i="6" s="1"/>
  <c r="L13" i="6" s="1"/>
  <c r="M13" i="6" s="1"/>
  <c r="R11" i="6"/>
  <c r="J11" i="6"/>
  <c r="K11" i="6" s="1"/>
  <c r="L11" i="6" s="1"/>
  <c r="M11" i="6" s="1"/>
  <c r="L10" i="6"/>
  <c r="M10" i="6" s="1"/>
  <c r="R9" i="6"/>
  <c r="J9" i="6"/>
  <c r="K9" i="6" s="1"/>
  <c r="L9" i="6" s="1"/>
  <c r="M9" i="6" s="1"/>
  <c r="R7" i="6"/>
  <c r="J7" i="6"/>
  <c r="K7" i="6" s="1"/>
  <c r="L7" i="6" s="1"/>
  <c r="M7" i="6" s="1"/>
  <c r="K5" i="6"/>
  <c r="L5" i="6" s="1"/>
  <c r="M5" i="6" s="1"/>
  <c r="R4" i="6"/>
  <c r="K4" i="6"/>
  <c r="L4" i="6" s="1"/>
  <c r="M4" i="6" s="1"/>
  <c r="R3" i="6"/>
  <c r="J3" i="6"/>
  <c r="K3" i="6" s="1"/>
  <c r="L3" i="6" s="1"/>
  <c r="M3" i="6" s="1"/>
  <c r="M58" i="4"/>
  <c r="M59" i="4"/>
  <c r="M60" i="4"/>
  <c r="M61" i="4"/>
  <c r="M62" i="4"/>
  <c r="L116" i="4"/>
  <c r="L117" i="4" s="1"/>
  <c r="L115" i="4"/>
  <c r="M103" i="4"/>
  <c r="M25" i="6" l="1"/>
  <c r="K49" i="4"/>
  <c r="L49" i="4" s="1"/>
  <c r="M49" i="4" s="1"/>
  <c r="K6" i="4" l="1"/>
  <c r="L6" i="4" s="1"/>
  <c r="M6" i="4" s="1"/>
  <c r="J38" i="4" l="1"/>
  <c r="K38" i="4" s="1"/>
  <c r="L38" i="4" s="1"/>
  <c r="M38" i="4" s="1"/>
  <c r="R38" i="4"/>
  <c r="M93" i="4" l="1"/>
  <c r="M73" i="4"/>
  <c r="C2" i="5"/>
  <c r="B2" i="5"/>
  <c r="M102" i="4" l="1"/>
  <c r="N107" i="4"/>
  <c r="J50" i="4"/>
  <c r="K50" i="4" s="1"/>
  <c r="L50" i="4" s="1"/>
  <c r="M50" i="4" s="1"/>
  <c r="M101" i="4"/>
  <c r="K48" i="4"/>
  <c r="L48" i="4" s="1"/>
  <c r="M48" i="4" s="1"/>
  <c r="M100" i="4" l="1"/>
  <c r="K47" i="4"/>
  <c r="L47" i="4" s="1"/>
  <c r="M47" i="4" s="1"/>
  <c r="J21" i="4"/>
  <c r="K21" i="4" s="1"/>
  <c r="L21" i="4" s="1"/>
  <c r="M21" i="4" s="1"/>
  <c r="M91" i="4"/>
  <c r="M99" i="4"/>
  <c r="M98" i="4"/>
  <c r="M97" i="4"/>
  <c r="M96" i="4"/>
  <c r="M95" i="4"/>
  <c r="M94" i="4"/>
  <c r="M92" i="4"/>
  <c r="M90" i="4"/>
  <c r="M89" i="4"/>
  <c r="M88" i="4"/>
  <c r="M87" i="4"/>
  <c r="M86" i="4"/>
  <c r="M85" i="4"/>
  <c r="M84" i="4"/>
  <c r="M83" i="4"/>
  <c r="M82" i="4"/>
  <c r="M81" i="4"/>
  <c r="M79" i="4"/>
  <c r="M78" i="4"/>
  <c r="M77" i="4"/>
  <c r="M76" i="4"/>
  <c r="M75" i="4"/>
  <c r="M74" i="4"/>
  <c r="M72" i="4"/>
  <c r="M71" i="4"/>
  <c r="M70" i="4"/>
  <c r="M69" i="4"/>
  <c r="M68" i="4"/>
  <c r="M67" i="4"/>
  <c r="M66" i="4"/>
  <c r="M65" i="4"/>
  <c r="M64" i="4"/>
  <c r="M63" i="4"/>
  <c r="M57" i="4"/>
  <c r="M56" i="4"/>
  <c r="M55" i="4"/>
  <c r="M54" i="4"/>
  <c r="M53" i="4"/>
  <c r="M52" i="4"/>
  <c r="M51" i="4"/>
  <c r="R46" i="4"/>
  <c r="J46" i="4"/>
  <c r="K46" i="4" s="1"/>
  <c r="L46" i="4" s="1"/>
  <c r="M46" i="4" s="1"/>
  <c r="R45" i="4"/>
  <c r="J45" i="4"/>
  <c r="K45" i="4" s="1"/>
  <c r="L45" i="4" s="1"/>
  <c r="M45" i="4" s="1"/>
  <c r="R44" i="4"/>
  <c r="J44" i="4"/>
  <c r="K44" i="4" s="1"/>
  <c r="L44" i="4" s="1"/>
  <c r="M44" i="4" s="1"/>
  <c r="R43" i="4"/>
  <c r="K43" i="4"/>
  <c r="L43" i="4" s="1"/>
  <c r="M43" i="4" s="1"/>
  <c r="R42" i="4"/>
  <c r="J42" i="4"/>
  <c r="K42" i="4" s="1"/>
  <c r="L42" i="4" s="1"/>
  <c r="M42" i="4" s="1"/>
  <c r="R41" i="4"/>
  <c r="J41" i="4"/>
  <c r="R40" i="4"/>
  <c r="J40" i="4"/>
  <c r="K40" i="4" s="1"/>
  <c r="L40" i="4" s="1"/>
  <c r="M40" i="4" s="1"/>
  <c r="R39" i="4"/>
  <c r="J39" i="4"/>
  <c r="K39" i="4" s="1"/>
  <c r="L39" i="4" s="1"/>
  <c r="M39" i="4" s="1"/>
  <c r="R37" i="4"/>
  <c r="J37" i="4"/>
  <c r="K37" i="4" s="1"/>
  <c r="L37" i="4" s="1"/>
  <c r="M37" i="4" s="1"/>
  <c r="R36" i="4"/>
  <c r="J36" i="4"/>
  <c r="K36" i="4" s="1"/>
  <c r="L36" i="4" s="1"/>
  <c r="M36" i="4" s="1"/>
  <c r="R35" i="4"/>
  <c r="J35" i="4"/>
  <c r="K35" i="4" s="1"/>
  <c r="L35" i="4" s="1"/>
  <c r="M35" i="4" s="1"/>
  <c r="R34" i="4"/>
  <c r="J34" i="4"/>
  <c r="K34" i="4" s="1"/>
  <c r="L34" i="4" s="1"/>
  <c r="M34" i="4" s="1"/>
  <c r="R33" i="4"/>
  <c r="J33" i="4"/>
  <c r="K33" i="4" s="1"/>
  <c r="L33" i="4" s="1"/>
  <c r="M33" i="4" s="1"/>
  <c r="R32" i="4"/>
  <c r="J32" i="4"/>
  <c r="K32" i="4" s="1"/>
  <c r="L32" i="4" s="1"/>
  <c r="M32" i="4" s="1"/>
  <c r="R31" i="4"/>
  <c r="J31" i="4"/>
  <c r="K31" i="4" s="1"/>
  <c r="L31" i="4" s="1"/>
  <c r="M31" i="4" s="1"/>
  <c r="R30" i="4"/>
  <c r="J30" i="4"/>
  <c r="K30" i="4" s="1"/>
  <c r="L30" i="4" s="1"/>
  <c r="M30" i="4" s="1"/>
  <c r="R29" i="4"/>
  <c r="J29" i="4"/>
  <c r="K29" i="4" s="1"/>
  <c r="L29" i="4" s="1"/>
  <c r="M29" i="4" s="1"/>
  <c r="R28" i="4"/>
  <c r="J28" i="4"/>
  <c r="K28" i="4" s="1"/>
  <c r="L28" i="4" s="1"/>
  <c r="M28" i="4" s="1"/>
  <c r="R27" i="4"/>
  <c r="J27" i="4"/>
  <c r="K27" i="4" s="1"/>
  <c r="L27" i="4" s="1"/>
  <c r="M27" i="4" s="1"/>
  <c r="R26" i="4"/>
  <c r="J26" i="4"/>
  <c r="K26" i="4" s="1"/>
  <c r="L26" i="4" s="1"/>
  <c r="M26" i="4" s="1"/>
  <c r="R25" i="4"/>
  <c r="J25" i="4"/>
  <c r="K25" i="4" s="1"/>
  <c r="L25" i="4" s="1"/>
  <c r="M25" i="4" s="1"/>
  <c r="R24" i="4"/>
  <c r="J24" i="4"/>
  <c r="K24" i="4" s="1"/>
  <c r="L24" i="4" s="1"/>
  <c r="M24" i="4" s="1"/>
  <c r="L23" i="4"/>
  <c r="M23" i="4" s="1"/>
  <c r="L22" i="4"/>
  <c r="M22" i="4" s="1"/>
  <c r="R20" i="4"/>
  <c r="J20" i="4"/>
  <c r="K20" i="4" s="1"/>
  <c r="L20" i="4" s="1"/>
  <c r="M20" i="4" s="1"/>
  <c r="R19" i="4"/>
  <c r="J19" i="4"/>
  <c r="K19" i="4" s="1"/>
  <c r="L19" i="4" s="1"/>
  <c r="M19" i="4" s="1"/>
  <c r="R18" i="4"/>
  <c r="J18" i="4"/>
  <c r="K18" i="4" s="1"/>
  <c r="L18" i="4" s="1"/>
  <c r="M18" i="4" s="1"/>
  <c r="R17" i="4"/>
  <c r="J17" i="4"/>
  <c r="K17" i="4" s="1"/>
  <c r="L17" i="4" s="1"/>
  <c r="M17" i="4" s="1"/>
  <c r="R16" i="4"/>
  <c r="J16" i="4"/>
  <c r="K16" i="4" s="1"/>
  <c r="L16" i="4" s="1"/>
  <c r="M16" i="4" s="1"/>
  <c r="R15" i="4"/>
  <c r="J15" i="4"/>
  <c r="K15" i="4" s="1"/>
  <c r="L15" i="4" s="1"/>
  <c r="M15" i="4" s="1"/>
  <c r="R14" i="4"/>
  <c r="J14" i="4"/>
  <c r="K14" i="4" s="1"/>
  <c r="L14" i="4" s="1"/>
  <c r="M14" i="4" s="1"/>
  <c r="R13" i="4"/>
  <c r="J13" i="4"/>
  <c r="K13" i="4" s="1"/>
  <c r="L13" i="4" s="1"/>
  <c r="M13" i="4" s="1"/>
  <c r="R12" i="4"/>
  <c r="J12" i="4"/>
  <c r="K12" i="4" s="1"/>
  <c r="L12" i="4" s="1"/>
  <c r="M12" i="4" s="1"/>
  <c r="R11" i="4"/>
  <c r="J11" i="4"/>
  <c r="K11" i="4" s="1"/>
  <c r="L11" i="4" s="1"/>
  <c r="M11" i="4" s="1"/>
  <c r="R10" i="4"/>
  <c r="J10" i="4"/>
  <c r="K10" i="4" s="1"/>
  <c r="L10" i="4" s="1"/>
  <c r="M10" i="4" s="1"/>
  <c r="L9" i="4"/>
  <c r="M9" i="4" s="1"/>
  <c r="R8" i="4"/>
  <c r="J8" i="4"/>
  <c r="K8" i="4" s="1"/>
  <c r="L8" i="4" s="1"/>
  <c r="M8" i="4" s="1"/>
  <c r="R7" i="4"/>
  <c r="J7" i="4"/>
  <c r="K7" i="4" s="1"/>
  <c r="L7" i="4" s="1"/>
  <c r="M7" i="4" s="1"/>
  <c r="R5" i="4"/>
  <c r="J5" i="4"/>
  <c r="K5" i="4" s="1"/>
  <c r="L5" i="4" s="1"/>
  <c r="M5" i="4" s="1"/>
  <c r="R4" i="4"/>
  <c r="K4" i="4"/>
  <c r="L4" i="4" s="1"/>
  <c r="M4" i="4" s="1"/>
  <c r="R3" i="4"/>
  <c r="J3" i="4"/>
  <c r="K3" i="4" s="1"/>
  <c r="L3" i="4" s="1"/>
  <c r="J19" i="2"/>
  <c r="K19" i="2" s="1"/>
  <c r="L19" i="2" s="1"/>
  <c r="M19" i="2" s="1"/>
  <c r="R19" i="2"/>
  <c r="R22" i="4" l="1"/>
  <c r="M3" i="4"/>
  <c r="M52" i="2"/>
  <c r="M90" i="2"/>
  <c r="M91" i="2"/>
  <c r="J47" i="2"/>
  <c r="K47" i="2" s="1"/>
  <c r="L47" i="2" s="1"/>
  <c r="M47" i="2" s="1"/>
  <c r="R47" i="2"/>
  <c r="J46" i="2"/>
  <c r="K46" i="2" s="1"/>
  <c r="L46" i="2" s="1"/>
  <c r="M46" i="2" s="1"/>
  <c r="R46" i="2"/>
  <c r="J44" i="2"/>
  <c r="K44" i="2" s="1"/>
  <c r="L44" i="2" s="1"/>
  <c r="M44" i="2" s="1"/>
  <c r="R44" i="2"/>
  <c r="L108" i="4" l="1"/>
  <c r="L107" i="4"/>
  <c r="J105" i="4"/>
  <c r="M89" i="2"/>
  <c r="L20" i="2"/>
  <c r="J9" i="3"/>
  <c r="O10" i="3" l="1"/>
  <c r="H10" i="3"/>
  <c r="J12" i="3"/>
  <c r="J20" i="3" s="1"/>
  <c r="J21" i="3" s="1"/>
  <c r="O9" i="3"/>
  <c r="N6" i="3"/>
  <c r="I12" i="3"/>
  <c r="J7" i="3"/>
  <c r="J6" i="3"/>
  <c r="F6" i="3"/>
  <c r="M88" i="2"/>
  <c r="K7" i="3"/>
  <c r="K9" i="3"/>
  <c r="K12" i="3" s="1"/>
  <c r="E12" i="3"/>
  <c r="G12" i="3"/>
  <c r="H12" i="3"/>
  <c r="K21" i="2"/>
  <c r="L21" i="2" s="1"/>
  <c r="M21" i="2" s="1"/>
  <c r="L24" i="2"/>
  <c r="L23" i="2"/>
  <c r="L22" i="2"/>
  <c r="R17" i="2"/>
  <c r="J17" i="2"/>
  <c r="K17" i="2" s="1"/>
  <c r="L17" i="2" s="1"/>
  <c r="M17" i="2" s="1"/>
  <c r="L8" i="2"/>
  <c r="M8" i="2" s="1"/>
  <c r="M87" i="2"/>
  <c r="M86" i="2"/>
  <c r="N13" i="3" l="1"/>
  <c r="F12" i="3"/>
  <c r="M55" i="2" l="1"/>
  <c r="M23" i="2" l="1"/>
  <c r="R18" i="2"/>
  <c r="J18" i="2"/>
  <c r="K18" i="2" s="1"/>
  <c r="L18" i="2" s="1"/>
  <c r="M18" i="2" s="1"/>
  <c r="M85" i="2" l="1"/>
  <c r="M84" i="2"/>
  <c r="M83" i="2"/>
  <c r="M82" i="2"/>
  <c r="M81" i="2"/>
  <c r="M80" i="2"/>
  <c r="M79" i="2"/>
  <c r="M78" i="2"/>
  <c r="M77" i="2"/>
  <c r="M76" i="2"/>
  <c r="M72" i="2"/>
  <c r="M75" i="2"/>
  <c r="M74" i="2"/>
  <c r="M73" i="2"/>
  <c r="M71" i="2" l="1"/>
  <c r="M68" i="2"/>
  <c r="M67" i="2"/>
  <c r="M66" i="2" l="1"/>
  <c r="M65" i="2"/>
  <c r="M64" i="2"/>
  <c r="M63" i="2"/>
  <c r="M62" i="2"/>
  <c r="M61" i="2"/>
  <c r="M59" i="2"/>
  <c r="M60" i="2"/>
  <c r="M58" i="2"/>
  <c r="M57" i="2"/>
  <c r="M49" i="2"/>
  <c r="M50" i="2"/>
  <c r="M51" i="2"/>
  <c r="M53" i="2"/>
  <c r="M54" i="2"/>
  <c r="M56" i="2"/>
  <c r="M48" i="2"/>
  <c r="R24" i="2"/>
  <c r="R4" i="2"/>
  <c r="R5" i="2"/>
  <c r="R6" i="2"/>
  <c r="R7" i="2"/>
  <c r="R9" i="2"/>
  <c r="R10" i="2"/>
  <c r="R11" i="2"/>
  <c r="R12" i="2"/>
  <c r="R13" i="2"/>
  <c r="R14" i="2"/>
  <c r="R15" i="2"/>
  <c r="R16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5" i="2"/>
  <c r="R3" i="2"/>
  <c r="J45" i="2"/>
  <c r="K45" i="2" s="1"/>
  <c r="L45" i="2" s="1"/>
  <c r="M45" i="2" s="1"/>
  <c r="J43" i="2"/>
  <c r="K43" i="2" s="1"/>
  <c r="L43" i="2" s="1"/>
  <c r="M43" i="2" s="1"/>
  <c r="J42" i="2"/>
  <c r="K42" i="2" s="1"/>
  <c r="L42" i="2" s="1"/>
  <c r="M42" i="2" s="1"/>
  <c r="J41" i="2"/>
  <c r="K41" i="2" s="1"/>
  <c r="L41" i="2" s="1"/>
  <c r="M41" i="2" s="1"/>
  <c r="J40" i="2"/>
  <c r="K40" i="2" s="1"/>
  <c r="L40" i="2" s="1"/>
  <c r="M40" i="2" s="1"/>
  <c r="J39" i="2"/>
  <c r="K39" i="2" s="1"/>
  <c r="L39" i="2" s="1"/>
  <c r="M39" i="2" s="1"/>
  <c r="J38" i="2"/>
  <c r="K38" i="2" s="1"/>
  <c r="L38" i="2" s="1"/>
  <c r="M38" i="2" s="1"/>
  <c r="J33" i="2"/>
  <c r="K33" i="2" s="1"/>
  <c r="L33" i="2" s="1"/>
  <c r="M33" i="2" s="1"/>
  <c r="J34" i="2"/>
  <c r="K34" i="2" s="1"/>
  <c r="L34" i="2" s="1"/>
  <c r="M34" i="2" s="1"/>
  <c r="J35" i="2"/>
  <c r="K35" i="2" s="1"/>
  <c r="L35" i="2" s="1"/>
  <c r="M35" i="2" s="1"/>
  <c r="J36" i="2"/>
  <c r="K36" i="2" s="1"/>
  <c r="L36" i="2" s="1"/>
  <c r="M36" i="2" s="1"/>
  <c r="J37" i="2"/>
  <c r="K37" i="2" s="1"/>
  <c r="L37" i="2" s="1"/>
  <c r="M37" i="2" s="1"/>
  <c r="J26" i="2"/>
  <c r="K26" i="2" s="1"/>
  <c r="L26" i="2" s="1"/>
  <c r="M26" i="2" s="1"/>
  <c r="J27" i="2"/>
  <c r="K27" i="2" s="1"/>
  <c r="L27" i="2" s="1"/>
  <c r="M27" i="2" s="1"/>
  <c r="J28" i="2"/>
  <c r="K28" i="2" s="1"/>
  <c r="L28" i="2" s="1"/>
  <c r="M28" i="2" s="1"/>
  <c r="J29" i="2"/>
  <c r="K29" i="2" s="1"/>
  <c r="L29" i="2" s="1"/>
  <c r="J30" i="2"/>
  <c r="K30" i="2" s="1"/>
  <c r="L30" i="2" s="1"/>
  <c r="M30" i="2" s="1"/>
  <c r="J31" i="2"/>
  <c r="K31" i="2" s="1"/>
  <c r="L31" i="2" s="1"/>
  <c r="M31" i="2" s="1"/>
  <c r="J32" i="2"/>
  <c r="K32" i="2" s="1"/>
  <c r="L32" i="2" s="1"/>
  <c r="M32" i="2" s="1"/>
  <c r="M20" i="2"/>
  <c r="M22" i="2"/>
  <c r="M24" i="2"/>
  <c r="K4" i="2"/>
  <c r="L4" i="2" s="1"/>
  <c r="M4" i="2" s="1"/>
  <c r="J25" i="2"/>
  <c r="K25" i="2" s="1"/>
  <c r="L25" i="2" s="1"/>
  <c r="M25" i="2" s="1"/>
  <c r="J16" i="2"/>
  <c r="K16" i="2" s="1"/>
  <c r="L16" i="2" s="1"/>
  <c r="M16" i="2" s="1"/>
  <c r="J15" i="2"/>
  <c r="K15" i="2" s="1"/>
  <c r="L15" i="2" s="1"/>
  <c r="M15" i="2" s="1"/>
  <c r="J14" i="2"/>
  <c r="K14" i="2" s="1"/>
  <c r="L14" i="2" s="1"/>
  <c r="M14" i="2" s="1"/>
  <c r="J13" i="2"/>
  <c r="K13" i="2" s="1"/>
  <c r="L13" i="2" s="1"/>
  <c r="M13" i="2" s="1"/>
  <c r="J12" i="2"/>
  <c r="K12" i="2" s="1"/>
  <c r="L12" i="2" s="1"/>
  <c r="M12" i="2" s="1"/>
  <c r="J9" i="2"/>
  <c r="K9" i="2" s="1"/>
  <c r="L9" i="2" s="1"/>
  <c r="M9" i="2" s="1"/>
  <c r="J10" i="2"/>
  <c r="K10" i="2" s="1"/>
  <c r="L10" i="2" s="1"/>
  <c r="J11" i="2"/>
  <c r="K11" i="2" s="1"/>
  <c r="L11" i="2" s="1"/>
  <c r="M11" i="2" s="1"/>
  <c r="J7" i="2"/>
  <c r="K7" i="2" s="1"/>
  <c r="L7" i="2" s="1"/>
  <c r="M7" i="2" s="1"/>
  <c r="J5" i="2"/>
  <c r="K5" i="2" s="1"/>
  <c r="L5" i="2" s="1"/>
  <c r="M5" i="2" s="1"/>
  <c r="J6" i="2"/>
  <c r="K6" i="2" s="1"/>
  <c r="L6" i="2" s="1"/>
  <c r="M6" i="2" s="1"/>
  <c r="J3" i="2"/>
  <c r="K3" i="2" s="1"/>
  <c r="L3" i="2" s="1"/>
  <c r="L93" i="2" l="1"/>
  <c r="J93" i="2"/>
  <c r="M10" i="2"/>
  <c r="R20" i="2"/>
  <c r="R22" i="2"/>
  <c r="M29" i="2"/>
  <c r="M3" i="2"/>
  <c r="L95" i="2" l="1"/>
  <c r="L9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Charles Batsford</author>
  </authors>
  <commentList>
    <comment ref="K2" authorId="0" shapeId="0" xr:uid="{8F1E825E-155A-49E6-8E73-A95480736A06}">
      <text>
        <r>
          <rPr>
            <b/>
            <sz val="9"/>
            <color indexed="81"/>
            <rFont val="Tahoma"/>
            <family val="2"/>
          </rPr>
          <t>Charles Batsford:</t>
        </r>
        <r>
          <rPr>
            <sz val="9"/>
            <color indexed="81"/>
            <rFont val="Tahoma"/>
            <family val="2"/>
          </rPr>
          <t xml:space="preserve">
normalized for annual true hours of 2080 / 12 = 173.333 hrs per month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Charles Batsford</author>
  </authors>
  <commentList>
    <comment ref="J2" authorId="0" shapeId="0" xr:uid="{11B260EA-AB11-459C-835C-3A92966324DD}">
      <text>
        <r>
          <rPr>
            <b/>
            <sz val="9"/>
            <color indexed="81"/>
            <rFont val="Tahoma"/>
            <family val="2"/>
          </rPr>
          <t>Charles Batsford:</t>
        </r>
        <r>
          <rPr>
            <sz val="9"/>
            <color indexed="81"/>
            <rFont val="Tahoma"/>
            <family val="2"/>
          </rPr>
          <t xml:space="preserve">
normalized for annual true hours of 2080 / 12 = 173.333 hrs per month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Charles Batsford</author>
  </authors>
  <commentList>
    <comment ref="J2" authorId="0" shapeId="0" xr:uid="{897C1E68-0647-41FF-972F-C73ECB0D3D6A}">
      <text>
        <r>
          <rPr>
            <b/>
            <sz val="9"/>
            <color indexed="81"/>
            <rFont val="Tahoma"/>
            <family val="2"/>
          </rPr>
          <t>Charles Batsford:</t>
        </r>
        <r>
          <rPr>
            <sz val="9"/>
            <color indexed="81"/>
            <rFont val="Tahoma"/>
            <family val="2"/>
          </rPr>
          <t xml:space="preserve">
normalized for annual true hours of 2080 / 12 = 173.333 hrs per month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Charles Batsford</author>
  </authors>
  <commentList>
    <comment ref="J2" authorId="0" shapeId="0" xr:uid="{0D9C6999-F53B-49BD-A5FD-6FEE6DD2343F}">
      <text>
        <r>
          <rPr>
            <b/>
            <sz val="9"/>
            <color indexed="81"/>
            <rFont val="Tahoma"/>
            <family val="2"/>
          </rPr>
          <t>Charles Batsford:</t>
        </r>
        <r>
          <rPr>
            <sz val="9"/>
            <color indexed="81"/>
            <rFont val="Tahoma"/>
            <family val="2"/>
          </rPr>
          <t xml:space="preserve">
normalized for annual true hours of 2080 / 12 = 173.333 hrs per month
</t>
        </r>
      </text>
    </comment>
  </commentList>
</comments>
</file>

<file path=xl/sharedStrings.xml><?xml version="1.0" encoding="utf-8"?>
<sst xmlns="http://schemas.openxmlformats.org/spreadsheetml/2006/main" count="2470" uniqueCount="380">
  <si>
    <t>EXPENSES - Recurring</t>
  </si>
  <si>
    <t>Operations &gt; Accounting</t>
  </si>
  <si>
    <t>NAME</t>
  </si>
  <si>
    <t>Anniversary (Start Date)</t>
  </si>
  <si>
    <t>Type</t>
  </si>
  <si>
    <t>Department</t>
  </si>
  <si>
    <t>Pay Method</t>
  </si>
  <si>
    <t>Fees/Burden</t>
  </si>
  <si>
    <t>Rate</t>
  </si>
  <si>
    <t>INPUT Weekly Hours</t>
  </si>
  <si>
    <t>Mo. Hours</t>
  </si>
  <si>
    <t>Sub Total</t>
  </si>
  <si>
    <t>MONTHLY Total w fees/Burden</t>
  </si>
  <si>
    <t>Bi-weekly</t>
  </si>
  <si>
    <t>Comments</t>
  </si>
  <si>
    <t>Updated</t>
  </si>
  <si>
    <t>Standard Month Expenses</t>
  </si>
  <si>
    <t>Matt Barnett</t>
  </si>
  <si>
    <t>Payroll</t>
  </si>
  <si>
    <t>Help Desk</t>
  </si>
  <si>
    <t>Upwork</t>
  </si>
  <si>
    <t>ARC</t>
  </si>
  <si>
    <t>Matt Barnett - COGS Reimbursement</t>
  </si>
  <si>
    <t>Credit for 10 hours a week</t>
  </si>
  <si>
    <t>Shabir Chowdhury</t>
  </si>
  <si>
    <t>Last day 6/14/24, Reduce by $9464/mo</t>
  </si>
  <si>
    <t>Blaine Mulligan</t>
  </si>
  <si>
    <t>BILL</t>
  </si>
  <si>
    <t>Start Date 6/24/24</t>
  </si>
  <si>
    <t>CharlesDoone Castro</t>
  </si>
  <si>
    <t>Jeremy Roe</t>
  </si>
  <si>
    <t>reduced from 2023 - $2500</t>
  </si>
  <si>
    <t>COGS</t>
  </si>
  <si>
    <t>ARC time</t>
  </si>
  <si>
    <t>Dustin Hagemeier</t>
  </si>
  <si>
    <t xml:space="preserve">8/15/24 updated rate from $80 to $70 (was put in incorrectly) </t>
  </si>
  <si>
    <t>Basim Mashni</t>
  </si>
  <si>
    <t>Services</t>
  </si>
  <si>
    <t>Vincent Williams</t>
  </si>
  <si>
    <t>Omar Avalos</t>
  </si>
  <si>
    <t>George Oracion</t>
  </si>
  <si>
    <t>Payoneer</t>
  </si>
  <si>
    <t>4/15/24: increased from $15 to $18/hr +$320/mo</t>
  </si>
  <si>
    <t>Dare Olusanjo</t>
  </si>
  <si>
    <t>Reduced hours to 40-42hrs/wk</t>
  </si>
  <si>
    <t>Dare Olusanjo - COGS Reimbursement</t>
  </si>
  <si>
    <t>RWB dropped - so this dropped</t>
  </si>
  <si>
    <t>RWB</t>
  </si>
  <si>
    <t>Daniyal Arif</t>
  </si>
  <si>
    <t>MKTG</t>
  </si>
  <si>
    <t xml:space="preserve">David Fredrick </t>
  </si>
  <si>
    <t>RS</t>
  </si>
  <si>
    <t>AJ Mulligan</t>
  </si>
  <si>
    <t>extended hours to support Milan (Amiri) +2200</t>
  </si>
  <si>
    <t>Blue Pisces - Ruben</t>
  </si>
  <si>
    <t>Badar</t>
  </si>
  <si>
    <t>Paid monthly x 12</t>
  </si>
  <si>
    <t>Joel Alvarez</t>
  </si>
  <si>
    <t>W2 ADP</t>
  </si>
  <si>
    <t>Incl Healthcare costs - but not RWB after hours</t>
  </si>
  <si>
    <t>Eric Anzalone</t>
  </si>
  <si>
    <t>Incl Healthcare costs</t>
  </si>
  <si>
    <t>Debby Brooke</t>
  </si>
  <si>
    <t>No healthcare</t>
  </si>
  <si>
    <t>Alexandria Calkins</t>
  </si>
  <si>
    <t>Stephen Calkins</t>
  </si>
  <si>
    <t>No healthcare - inc pay to offset</t>
  </si>
  <si>
    <t>Rebecca Ensom</t>
  </si>
  <si>
    <t>No longer with us.</t>
  </si>
  <si>
    <t>James Froio</t>
  </si>
  <si>
    <t>Kaitlin Harris</t>
  </si>
  <si>
    <t>Projects</t>
  </si>
  <si>
    <t>Incl Healthcare costs - but does not use</t>
  </si>
  <si>
    <t>Heather Kohler</t>
  </si>
  <si>
    <t>Biz Dev</t>
  </si>
  <si>
    <t>Hagen McDonell</t>
  </si>
  <si>
    <t>Laura Walsh</t>
  </si>
  <si>
    <t>Kyle Carey</t>
  </si>
  <si>
    <t>No healthcare. Up $1500 from 2023</t>
  </si>
  <si>
    <t>Dana Rankin</t>
  </si>
  <si>
    <t>Chad Wiggins</t>
  </si>
  <si>
    <t>Emily Acker</t>
  </si>
  <si>
    <t>increased hours</t>
  </si>
  <si>
    <t>Jamie Davin</t>
  </si>
  <si>
    <t>Operations</t>
  </si>
  <si>
    <t>Juliet Simpson</t>
  </si>
  <si>
    <t>Mariette Wingard</t>
  </si>
  <si>
    <t>Was $1191 fully burdened monthly</t>
  </si>
  <si>
    <t>Tracy Freeman</t>
  </si>
  <si>
    <t>POC</t>
  </si>
  <si>
    <t>Red Horse (Robyn)</t>
  </si>
  <si>
    <t>ACH</t>
  </si>
  <si>
    <t>11/11/24 $2908.80 per month all in</t>
  </si>
  <si>
    <t>Nicole Goodwin</t>
  </si>
  <si>
    <t>Julia Morte</t>
  </si>
  <si>
    <t>Breanna Copeland</t>
  </si>
  <si>
    <t>Asad Raza</t>
  </si>
  <si>
    <t>new expense $825</t>
  </si>
  <si>
    <t>Peal Miah</t>
  </si>
  <si>
    <t>new expense $1408</t>
  </si>
  <si>
    <t>Marcy Dorman-Chandler</t>
  </si>
  <si>
    <t>Not new but moving over to pay via BILL</t>
  </si>
  <si>
    <t>Marcello Moreira</t>
  </si>
  <si>
    <t>Lab Tech Ninjas</t>
  </si>
  <si>
    <t>Expense</t>
  </si>
  <si>
    <t>AMEX</t>
  </si>
  <si>
    <t>n/a</t>
  </si>
  <si>
    <t>LabTech/Automate Admin support</t>
  </si>
  <si>
    <t>Flexis</t>
  </si>
  <si>
    <t>Is this accurate? Up $78 from 2023</t>
  </si>
  <si>
    <t>Melrose - Ventura Office/Warehouse</t>
  </si>
  <si>
    <t>General</t>
  </si>
  <si>
    <t>ACH Portal</t>
  </si>
  <si>
    <t>Office rent - up $500 from 2023</t>
  </si>
  <si>
    <t>United Healthcare</t>
  </si>
  <si>
    <t>Healthcare costs employees</t>
  </si>
  <si>
    <t>United Healthcare - deductions/reimbursement Employees</t>
  </si>
  <si>
    <t>Healthcare costs employees - reimbursement</t>
  </si>
  <si>
    <t>First Insurance Funding</t>
  </si>
  <si>
    <t>Check</t>
  </si>
  <si>
    <t>Cyber Insurance</t>
  </si>
  <si>
    <t>Connectwise - Manage</t>
  </si>
  <si>
    <t>ERP monthly expense - Automate, Manage, Etc</t>
  </si>
  <si>
    <t>Connectwise - Automate</t>
  </si>
  <si>
    <t>Connectwise - Webroot</t>
  </si>
  <si>
    <t>Connectwise - Wisepay</t>
  </si>
  <si>
    <t>Connectwise - Procurement</t>
  </si>
  <si>
    <t>Connectwise - Sell</t>
  </si>
  <si>
    <t>S2S</t>
  </si>
  <si>
    <t>Internet for Maple Ct office</t>
  </si>
  <si>
    <t>Dexcomm</t>
  </si>
  <si>
    <t>Excel Micro</t>
  </si>
  <si>
    <t>Software</t>
  </si>
  <si>
    <t>TURNN OFF - no MORE EXCHANGE SERVERS</t>
  </si>
  <si>
    <t>AWS</t>
  </si>
  <si>
    <t>Server Collo COGS</t>
  </si>
  <si>
    <t>TD Synnex</t>
  </si>
  <si>
    <t>Azure, MS License, AvePoint, etc. COGS</t>
  </si>
  <si>
    <t>Microsoft</t>
  </si>
  <si>
    <t>Reserve instance server for SLS</t>
  </si>
  <si>
    <t>Verizon Wireless</t>
  </si>
  <si>
    <t>AMEX Portal</t>
  </si>
  <si>
    <t>cell phones</t>
  </si>
  <si>
    <t>Britevault</t>
  </si>
  <si>
    <t>SNAP Server Collocation</t>
  </si>
  <si>
    <t>PulseOne Communications</t>
  </si>
  <si>
    <t>Office telephone VoIP</t>
  </si>
  <si>
    <t>PulseOne Communications - Amiri</t>
  </si>
  <si>
    <t>Office telephone VoIP - Amiri Milan Tech. Laura checking if we still need this.</t>
  </si>
  <si>
    <t>SBA</t>
  </si>
  <si>
    <t>SBA Loan</t>
  </si>
  <si>
    <t>Travelers - Workmans Comp</t>
  </si>
  <si>
    <t>Need correct figure - Rod</t>
  </si>
  <si>
    <t>ADP - payroll, 401k</t>
  </si>
  <si>
    <t>Starlink</t>
  </si>
  <si>
    <t>Admin</t>
  </si>
  <si>
    <t>turned off as of sept 1, 2023</t>
  </si>
  <si>
    <t>Kaseya - Dark Web and Security/Network Assessment</t>
  </si>
  <si>
    <t>E-Folder Axcient</t>
  </si>
  <si>
    <t>GOOGLE adwords</t>
  </si>
  <si>
    <t>Do we still buy these?  I think we can drop this. Dropped</t>
  </si>
  <si>
    <t>Hootsuite</t>
  </si>
  <si>
    <t>Scalepad - Warrantymaster</t>
  </si>
  <si>
    <t>Do we need this?</t>
  </si>
  <si>
    <t>Password Boss</t>
  </si>
  <si>
    <t>Calendly</t>
  </si>
  <si>
    <t>LinkedIn</t>
  </si>
  <si>
    <t>TimeZest</t>
  </si>
  <si>
    <t>Hubspot 1</t>
  </si>
  <si>
    <t>Hubspot 2</t>
  </si>
  <si>
    <t>Mail Chimp</t>
  </si>
  <si>
    <t>Fly Wheel</t>
  </si>
  <si>
    <t>Ampl Tagis</t>
  </si>
  <si>
    <t>new 2024 expense plus $527</t>
  </si>
  <si>
    <t>Bay Alarm</t>
  </si>
  <si>
    <t>paid quarterly via check/BILL</t>
  </si>
  <si>
    <t>PivotalCrew</t>
  </si>
  <si>
    <t>CloudBase Services</t>
  </si>
  <si>
    <t>annually - $4800 - $250/month increase from 2023</t>
  </si>
  <si>
    <t>Qualys</t>
  </si>
  <si>
    <t>PEN test software. annual fee of $995</t>
  </si>
  <si>
    <t>BILL.COM</t>
  </si>
  <si>
    <t>Barracuda</t>
  </si>
  <si>
    <t>Monday.com</t>
  </si>
  <si>
    <t>IT Glue</t>
  </si>
  <si>
    <t>New 2024 expense $232</t>
  </si>
  <si>
    <t>Avalara</t>
  </si>
  <si>
    <t>new 2024 expense $239</t>
  </si>
  <si>
    <t>Cloudwork Pro</t>
  </si>
  <si>
    <t>this is being cancelled</t>
  </si>
  <si>
    <t>Lucidcharts</t>
  </si>
  <si>
    <t>Robyn - Amiri Docs</t>
  </si>
  <si>
    <t>Big Green</t>
  </si>
  <si>
    <t>monthly amount for weekly office cleaning</t>
  </si>
  <si>
    <t>Monthly expenses = No COGS and No RS or POC</t>
  </si>
  <si>
    <t>Work with Paul on SG&amp;A target</t>
  </si>
  <si>
    <t>non 3 payroll mo</t>
  </si>
  <si>
    <t>25 - 35% of revenue</t>
  </si>
  <si>
    <t>… of Revenue</t>
  </si>
  <si>
    <t>diff</t>
  </si>
  <si>
    <t>… of Managed Services</t>
  </si>
  <si>
    <t>How much to deduct for RS and POC - Daniyal team</t>
  </si>
  <si>
    <t>and how should I categorize?</t>
  </si>
  <si>
    <t>Revenue</t>
  </si>
  <si>
    <t>SGD&amp;A</t>
  </si>
  <si>
    <t>Managed Services</t>
  </si>
  <si>
    <t>Service/Help Desk Expense</t>
  </si>
  <si>
    <t>Sales</t>
  </si>
  <si>
    <t xml:space="preserve">  should be 60% or less of MS Revenue</t>
  </si>
  <si>
    <t>General = Overhead</t>
  </si>
  <si>
    <t>60% Target</t>
  </si>
  <si>
    <t>Delivery</t>
  </si>
  <si>
    <t>Overage</t>
  </si>
  <si>
    <t>Admin = Operations</t>
  </si>
  <si>
    <t>18-20%</t>
  </si>
  <si>
    <t>Net Profit</t>
  </si>
  <si>
    <t>CA Biz Taxes</t>
  </si>
  <si>
    <t>EXPENSE Threshold</t>
  </si>
  <si>
    <t>Mo Expense</t>
  </si>
  <si>
    <t>…as of 7/31/24</t>
  </si>
  <si>
    <t>Rev</t>
  </si>
  <si>
    <t>Range</t>
  </si>
  <si>
    <t>ACTUAL</t>
  </si>
  <si>
    <t>8/4/2024 - with Marcello increase</t>
  </si>
  <si>
    <t>25-35</t>
  </si>
  <si>
    <t>GM</t>
  </si>
  <si>
    <t>11/11/2024 (Redhorse drop and Emily removal finally)</t>
  </si>
  <si>
    <t>People</t>
  </si>
  <si>
    <t>32-35</t>
  </si>
  <si>
    <t>OH</t>
  </si>
  <si>
    <t>Profit</t>
  </si>
  <si>
    <t>18-20</t>
  </si>
  <si>
    <t>Taxes</t>
  </si>
  <si>
    <t>Project</t>
  </si>
  <si>
    <t>Ricardo Martinez</t>
  </si>
  <si>
    <t>Credit for 2 hours a week</t>
  </si>
  <si>
    <t>Roland Sadiku</t>
  </si>
  <si>
    <t>Paid $1k per month</t>
  </si>
  <si>
    <t>Adam Luchs [ALHI Media Services]</t>
  </si>
  <si>
    <t>Paid weekly x 52</t>
  </si>
  <si>
    <t>Seani Rankin</t>
  </si>
  <si>
    <t>Server Support monthly dooubled due to bunzl servers added</t>
  </si>
  <si>
    <t>Maple  - Moss &amp; Co.</t>
  </si>
  <si>
    <t>Office rent</t>
  </si>
  <si>
    <t>Blue Shield</t>
  </si>
  <si>
    <t>Blue Shield - deductions/reimbursement for better plans</t>
  </si>
  <si>
    <t>Advanced Telecomm</t>
  </si>
  <si>
    <t>Spam Soap COGS Fire Sprinkler</t>
  </si>
  <si>
    <t>Alassian - COGS BUNZL</t>
  </si>
  <si>
    <t>Alassian Expense</t>
  </si>
  <si>
    <t>annual fee of $1800</t>
  </si>
  <si>
    <t>PEN test software. annual fee of $1995</t>
  </si>
  <si>
    <t>Monday.com (need info)</t>
  </si>
  <si>
    <t>10 of 12 months</t>
  </si>
  <si>
    <t>MSP (100%GM)</t>
  </si>
  <si>
    <t>Projects – Agreement (50%?)</t>
  </si>
  <si>
    <t>Projects (?%GM)</t>
  </si>
  <si>
    <t>Hardware (?%GM)</t>
  </si>
  <si>
    <t>Software (?%GM)</t>
  </si>
  <si>
    <t>Total GM</t>
  </si>
  <si>
    <t>Blended Margin/Cogs</t>
  </si>
  <si>
    <t>MS</t>
  </si>
  <si>
    <t>100/0</t>
  </si>
  <si>
    <t>BUNZL in STD</t>
  </si>
  <si>
    <t>ARC+RWB</t>
  </si>
  <si>
    <t>45/55</t>
  </si>
  <si>
    <t>Projects – Milestones</t>
  </si>
  <si>
    <t>Software – Renewals</t>
  </si>
  <si>
    <t>?</t>
  </si>
  <si>
    <t>Software – Agreement</t>
  </si>
  <si>
    <t>25/75</t>
  </si>
  <si>
    <t>STD</t>
  </si>
  <si>
    <t>Hardware</t>
  </si>
  <si>
    <t>27/73</t>
  </si>
  <si>
    <t>ITMS</t>
  </si>
  <si>
    <t>TOTAL</t>
  </si>
  <si>
    <t>Profitability Line</t>
  </si>
  <si>
    <t>12/1/24 - Ending monthly service ($900)</t>
  </si>
  <si>
    <t>Charles reduction</t>
  </si>
  <si>
    <t>George Oracion increase</t>
  </si>
  <si>
    <t>2025 increase</t>
  </si>
  <si>
    <t>Jan 1 2025 - bunzl reduction</t>
  </si>
  <si>
    <t>drop to 1k per month</t>
  </si>
  <si>
    <t>Human Resources</t>
  </si>
  <si>
    <t>Dustin Hagemeier reduction</t>
  </si>
  <si>
    <t>2025 reduction</t>
  </si>
  <si>
    <t>Jamie Davin - reduction</t>
  </si>
  <si>
    <t>Ashley Holmes</t>
  </si>
  <si>
    <t>2025 addition</t>
  </si>
  <si>
    <t>BUNZL MS</t>
  </si>
  <si>
    <t xml:space="preserve">2025 reduction </t>
  </si>
  <si>
    <t>Until Sept 25</t>
  </si>
  <si>
    <t>2025 resignation</t>
  </si>
  <si>
    <t>Aimee Brock</t>
  </si>
  <si>
    <t>Quickbooks Online</t>
  </si>
  <si>
    <t>Operations - replacement (not yet hired/used)</t>
  </si>
  <si>
    <t>Joel found another job</t>
  </si>
  <si>
    <t>Take  this expense total and add 30k</t>
  </si>
  <si>
    <t>Emily Wolf</t>
  </si>
  <si>
    <t>ADP  - Workmans Comp</t>
  </si>
  <si>
    <t>Level 2 Engineer</t>
  </si>
  <si>
    <t>Laura want Neal in Memphis TN</t>
  </si>
  <si>
    <t>Joel came back 2025</t>
  </si>
  <si>
    <t>Seedpod Cyber</t>
  </si>
  <si>
    <t>Oct goes away</t>
  </si>
  <si>
    <t>Goes away in Oct</t>
  </si>
  <si>
    <t>updated 5.7.2025</t>
  </si>
  <si>
    <t>updated 5.12.2025</t>
  </si>
  <si>
    <t>updated 5.1.2025</t>
  </si>
  <si>
    <t>Connectwise - Manage sandbox</t>
  </si>
  <si>
    <t>Connectwise - Automate Remote</t>
  </si>
  <si>
    <t>Connectwise - Wisepay/Wise Sync</t>
  </si>
  <si>
    <t>Connectwise - Wise Sync Addon</t>
  </si>
  <si>
    <t>Connectwise - PSA Cloud Data</t>
  </si>
  <si>
    <t>updated all CW 05/15/2025</t>
  </si>
  <si>
    <t>added when Joel left</t>
  </si>
  <si>
    <t>100/week on call</t>
  </si>
  <si>
    <t>Technical Staff - After Hours</t>
  </si>
  <si>
    <t>correct?</t>
  </si>
  <si>
    <t>Lucy Carcamo</t>
  </si>
  <si>
    <t xml:space="preserve">Anneliese </t>
  </si>
  <si>
    <t>Eric Anzalone - raise</t>
  </si>
  <si>
    <t>Alexandria Calkins - raise</t>
  </si>
  <si>
    <t>Stephen Calkins - raise</t>
  </si>
  <si>
    <t>James Froio - raise</t>
  </si>
  <si>
    <t>Kaitlin Harris - raise</t>
  </si>
  <si>
    <t>Hagen McDonell - raise</t>
  </si>
  <si>
    <t>Laura Walsh - raise</t>
  </si>
  <si>
    <t>Nicole Goodwin - raise</t>
  </si>
  <si>
    <t>Julia Morte - raise</t>
  </si>
  <si>
    <t>Lucy Carcamo - increase hours</t>
  </si>
  <si>
    <t>2026 Increase</t>
  </si>
  <si>
    <t>UPDATED Initials</t>
  </si>
  <si>
    <t>PF</t>
  </si>
  <si>
    <t>Kendo</t>
  </si>
  <si>
    <t>new 2024 expense plus $527, cancelled 2026</t>
  </si>
  <si>
    <t>Apollo.io</t>
  </si>
  <si>
    <t>Hosting (Railway, Sendgrid, Mailgun)</t>
  </si>
  <si>
    <t>AI tools (Cursor, Warp, Droid, Manus, Scrapefly, RapidAP, Replit, Figma, Factory, Frame.io )</t>
  </si>
  <si>
    <t>Replaced Amplemarket</t>
  </si>
  <si>
    <t>Added Jan 26</t>
  </si>
  <si>
    <t>Brendon Roe</t>
  </si>
  <si>
    <t>hours in crease 2026</t>
  </si>
  <si>
    <t>Kaseya</t>
  </si>
  <si>
    <t>Connectwise reduction</t>
  </si>
  <si>
    <t>reduced amount - half price</t>
  </si>
  <si>
    <t>Alexandria Calkins - Increase hrs</t>
  </si>
  <si>
    <t>Julia Morte - Increase hrs</t>
  </si>
  <si>
    <t>2026 - new pricing adjustment</t>
  </si>
  <si>
    <t>Grown by 10k w raises</t>
  </si>
  <si>
    <t>confirm this is all we pay him</t>
  </si>
  <si>
    <t>confirm amount</t>
  </si>
  <si>
    <t>updated 2/26</t>
  </si>
  <si>
    <t>Approx $800/year</t>
  </si>
  <si>
    <t>updated 2/2026</t>
  </si>
  <si>
    <t>Chad</t>
  </si>
  <si>
    <t>partners</t>
  </si>
  <si>
    <t>Hinkley</t>
  </si>
  <si>
    <t>Target</t>
  </si>
  <si>
    <t>True Ups</t>
  </si>
  <si>
    <t>New Biz</t>
  </si>
  <si>
    <t>NET</t>
  </si>
  <si>
    <t>BUNZL</t>
  </si>
  <si>
    <t>3500-5000</t>
  </si>
  <si>
    <t>TOTAL cash-need reduction</t>
  </si>
  <si>
    <t>Cuts from Services</t>
  </si>
  <si>
    <t>updated 3/25/26</t>
  </si>
  <si>
    <t>David Fredrick - end of ARC</t>
  </si>
  <si>
    <t>Basim - end of ARC</t>
  </si>
  <si>
    <t>Blue Pisces - Ruben - end of ARC</t>
  </si>
  <si>
    <t>updated 2026</t>
  </si>
  <si>
    <t>$200k in blended margin expected.</t>
  </si>
  <si>
    <t>A reduction of 30k</t>
  </si>
  <si>
    <t>$171k in epxenses</t>
  </si>
  <si>
    <t>2026 furlough</t>
  </si>
  <si>
    <t>Charles Doone Castro</t>
  </si>
  <si>
    <t>updated 4.2026</t>
  </si>
  <si>
    <t>Paolo Gian Interlandi</t>
  </si>
  <si>
    <t>end of ARC</t>
  </si>
  <si>
    <t>On Call Technician - weekly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</si>
</sst>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_(* #,##0_);_(* \(#,##0\);_(* &quot;-&quot;??_);_(@_)"/>
    <numFmt numFmtId="166" formatCode="0.0%"/>
    <numFmt numFmtId="167" formatCode="_(&quot;$&quot;* #,##0.0_);_(&quot;$&quot;* \(#,##0.0\);_(&quot;$&quot;* &quot;-&quot;?_);_(@_)"/>
    <numFmt numFmtId="168" formatCode="_(* #,##0.0_);_(* \(#,##0.0\);_(* &quot;-&quot;??_);_(@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8"/>
      <name val="Arial"/>
      <family val="2"/>
    </font>
    <font>
      <sz val="14"/>
      <color rgb="FF000000"/>
      <name val="Calibri"/>
      <family val="2"/>
    </font>
    <font>
      <sz val="14"/>
      <name val="Calibri"/>
      <family val="2"/>
      <scheme val="minor"/>
    </font>
    <font>
      <b/>
      <sz val="14"/>
      <color rgb="FFFFFFFF"/>
      <name val="Calibri"/>
      <family val="2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rgb="FF00B0F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E9EBF5"/>
        <bgColor indexed="64"/>
      </patternFill>
    </fill>
    <fill>
      <patternFill patternType="solid">
        <fgColor rgb="FFCFD5EA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32">
    <xf numFmtId="0" fontId="0" fillId="0" borderId="0" xfId="0"/>
    <xf numFmtId="0" fontId="0" fillId="0" borderId="0" xfId="0" applyAlignment="1">
      <alignment horizontal="center"/>
    </xf>
    <xf numFmtId="44" fontId="0" fillId="0" borderId="0" xfId="2" applyFont="1" applyFill="1"/>
    <xf numFmtId="164" fontId="0" fillId="0" borderId="0" xfId="0" applyNumberFormat="1"/>
    <xf numFmtId="164" fontId="2" fillId="0" borderId="1" xfId="0" applyNumberFormat="1" applyFont="1" applyBorder="1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wrapText="1"/>
    </xf>
    <xf numFmtId="0" fontId="2" fillId="2" borderId="0" xfId="0" applyFont="1" applyFill="1" applyAlignment="1">
      <alignment horizontal="center" wrapText="1"/>
    </xf>
    <xf numFmtId="0" fontId="2" fillId="2" borderId="0" xfId="0" applyFont="1" applyFill="1"/>
    <xf numFmtId="44" fontId="0" fillId="0" borderId="0" xfId="0" applyNumberFormat="1" applyAlignment="1">
      <alignment horizontal="left"/>
    </xf>
    <xf numFmtId="0" fontId="0" fillId="3" borderId="0" xfId="0" applyFill="1" applyAlignment="1">
      <alignment horizontal="center"/>
    </xf>
    <xf numFmtId="0" fontId="0" fillId="3" borderId="0" xfId="0" applyFill="1"/>
    <xf numFmtId="9" fontId="0" fillId="3" borderId="0" xfId="3" applyFont="1" applyFill="1" applyAlignment="1">
      <alignment horizontal="center"/>
    </xf>
    <xf numFmtId="44" fontId="0" fillId="3" borderId="0" xfId="2" applyFont="1" applyFill="1"/>
    <xf numFmtId="165" fontId="0" fillId="3" borderId="0" xfId="1" applyNumberFormat="1" applyFont="1" applyFill="1" applyAlignment="1"/>
    <xf numFmtId="2" fontId="0" fillId="3" borderId="0" xfId="0" applyNumberFormat="1" applyFill="1" applyAlignment="1">
      <alignment horizontal="center"/>
    </xf>
    <xf numFmtId="44" fontId="0" fillId="3" borderId="0" xfId="0" applyNumberFormat="1" applyFill="1"/>
    <xf numFmtId="44" fontId="2" fillId="3" borderId="0" xfId="0" applyNumberFormat="1" applyFont="1" applyFill="1"/>
    <xf numFmtId="164" fontId="0" fillId="3" borderId="0" xfId="2" applyNumberFormat="1" applyFont="1" applyFill="1"/>
    <xf numFmtId="2" fontId="5" fillId="3" borderId="0" xfId="0" applyNumberFormat="1" applyFont="1" applyFill="1" applyAlignment="1">
      <alignment horizontal="center"/>
    </xf>
    <xf numFmtId="44" fontId="5" fillId="3" borderId="0" xfId="0" applyNumberFormat="1" applyFont="1" applyFill="1"/>
    <xf numFmtId="0" fontId="5" fillId="3" borderId="0" xfId="0" applyFont="1" applyFill="1" applyAlignment="1">
      <alignment horizontal="center"/>
    </xf>
    <xf numFmtId="0" fontId="5" fillId="3" borderId="0" xfId="0" applyFont="1" applyFill="1"/>
    <xf numFmtId="0" fontId="0" fillId="4" borderId="0" xfId="0" applyFill="1" applyAlignment="1">
      <alignment horizontal="center"/>
    </xf>
    <xf numFmtId="0" fontId="0" fillId="4" borderId="0" xfId="0" applyFill="1"/>
    <xf numFmtId="44" fontId="2" fillId="4" borderId="0" xfId="2" applyFont="1" applyFill="1"/>
    <xf numFmtId="44" fontId="0" fillId="4" borderId="0" xfId="0" applyNumberFormat="1" applyFill="1"/>
    <xf numFmtId="44" fontId="0" fillId="4" borderId="0" xfId="0" applyNumberFormat="1" applyFill="1" applyAlignment="1">
      <alignment horizontal="left"/>
    </xf>
    <xf numFmtId="0" fontId="0" fillId="5" borderId="0" xfId="0" applyFill="1"/>
    <xf numFmtId="10" fontId="1" fillId="0" borderId="0" xfId="3" applyNumberFormat="1" applyFont="1"/>
    <xf numFmtId="9" fontId="5" fillId="3" borderId="0" xfId="3" applyFont="1" applyFill="1" applyAlignment="1">
      <alignment horizontal="center"/>
    </xf>
    <xf numFmtId="44" fontId="5" fillId="3" borderId="0" xfId="2" applyFont="1" applyFill="1"/>
    <xf numFmtId="165" fontId="5" fillId="3" borderId="0" xfId="1" applyNumberFormat="1" applyFont="1" applyFill="1" applyAlignment="1"/>
    <xf numFmtId="44" fontId="6" fillId="3" borderId="0" xfId="0" applyNumberFormat="1" applyFont="1" applyFill="1"/>
    <xf numFmtId="164" fontId="5" fillId="3" borderId="0" xfId="2" applyNumberFormat="1" applyFont="1" applyFill="1"/>
    <xf numFmtId="10" fontId="0" fillId="0" borderId="0" xfId="3" applyNumberFormat="1" applyFont="1"/>
    <xf numFmtId="164" fontId="0" fillId="0" borderId="0" xfId="2" applyNumberFormat="1" applyFont="1"/>
    <xf numFmtId="0" fontId="0" fillId="0" borderId="0" xfId="0" applyAlignment="1">
      <alignment horizontal="left"/>
    </xf>
    <xf numFmtId="0" fontId="2" fillId="0" borderId="2" xfId="0" applyFont="1" applyBorder="1"/>
    <xf numFmtId="9" fontId="0" fillId="0" borderId="0" xfId="0" applyNumberFormat="1" applyAlignment="1">
      <alignment horizontal="center"/>
    </xf>
    <xf numFmtId="0" fontId="0" fillId="0" borderId="0" xfId="0" applyAlignment="1">
      <alignment vertical="center" wrapText="1"/>
    </xf>
    <xf numFmtId="9" fontId="0" fillId="0" borderId="0" xfId="3" applyFont="1" applyAlignment="1">
      <alignment vertical="center" wrapText="1"/>
    </xf>
    <xf numFmtId="44" fontId="0" fillId="0" borderId="0" xfId="0" applyNumberFormat="1"/>
    <xf numFmtId="43" fontId="0" fillId="0" borderId="0" xfId="1" applyFont="1" applyAlignment="1">
      <alignment vertical="center" wrapText="1"/>
    </xf>
    <xf numFmtId="9" fontId="0" fillId="6" borderId="0" xfId="3" applyFont="1" applyFill="1" applyAlignment="1">
      <alignment vertical="center" wrapText="1"/>
    </xf>
    <xf numFmtId="0" fontId="0" fillId="6" borderId="0" xfId="0" applyFill="1" applyAlignment="1">
      <alignment vertical="center" wrapText="1"/>
    </xf>
    <xf numFmtId="9" fontId="8" fillId="0" borderId="0" xfId="3" applyFont="1" applyAlignment="1">
      <alignment vertical="center" wrapText="1"/>
    </xf>
    <xf numFmtId="0" fontId="2" fillId="0" borderId="0" xfId="0" applyFont="1"/>
    <xf numFmtId="165" fontId="0" fillId="5" borderId="0" xfId="1" applyNumberFormat="1" applyFont="1" applyFill="1" applyAlignment="1"/>
    <xf numFmtId="44" fontId="2" fillId="5" borderId="0" xfId="0" applyNumberFormat="1" applyFont="1" applyFill="1"/>
    <xf numFmtId="0" fontId="9" fillId="7" borderId="3" xfId="0" applyFont="1" applyFill="1" applyBorder="1" applyAlignment="1">
      <alignment vertical="top" wrapText="1"/>
    </xf>
    <xf numFmtId="164" fontId="9" fillId="7" borderId="3" xfId="4" applyNumberFormat="1" applyFont="1" applyFill="1" applyBorder="1" applyAlignment="1">
      <alignment vertical="top" wrapText="1"/>
    </xf>
    <xf numFmtId="0" fontId="10" fillId="7" borderId="3" xfId="0" applyFont="1" applyFill="1" applyBorder="1" applyAlignment="1">
      <alignment horizontal="left" vertical="center" wrapText="1" readingOrder="1"/>
    </xf>
    <xf numFmtId="0" fontId="9" fillId="8" borderId="3" xfId="0" applyFont="1" applyFill="1" applyBorder="1" applyAlignment="1">
      <alignment vertical="top" wrapText="1"/>
    </xf>
    <xf numFmtId="164" fontId="10" fillId="8" borderId="3" xfId="4" applyNumberFormat="1" applyFont="1" applyFill="1" applyBorder="1" applyAlignment="1">
      <alignment horizontal="left" vertical="center" wrapText="1" readingOrder="1"/>
    </xf>
    <xf numFmtId="164" fontId="9" fillId="8" borderId="3" xfId="4" applyNumberFormat="1" applyFont="1" applyFill="1" applyBorder="1" applyAlignment="1">
      <alignment vertical="top" wrapText="1"/>
    </xf>
    <xf numFmtId="0" fontId="10" fillId="8" borderId="3" xfId="0" applyFont="1" applyFill="1" applyBorder="1" applyAlignment="1">
      <alignment horizontal="left" vertical="center" wrapText="1" readingOrder="1"/>
    </xf>
    <xf numFmtId="164" fontId="10" fillId="7" borderId="3" xfId="4" applyNumberFormat="1" applyFont="1" applyFill="1" applyBorder="1" applyAlignment="1">
      <alignment horizontal="left" vertical="center" wrapText="1" readingOrder="1"/>
    </xf>
    <xf numFmtId="0" fontId="11" fillId="7" borderId="3" xfId="0" applyFont="1" applyFill="1" applyBorder="1" applyAlignment="1">
      <alignment vertical="top" wrapText="1"/>
    </xf>
    <xf numFmtId="0" fontId="10" fillId="8" borderId="4" xfId="0" applyFont="1" applyFill="1" applyBorder="1" applyAlignment="1">
      <alignment horizontal="left" vertical="center" wrapText="1" readingOrder="1"/>
    </xf>
    <xf numFmtId="164" fontId="10" fillId="8" borderId="4" xfId="4" applyNumberFormat="1" applyFont="1" applyFill="1" applyBorder="1" applyAlignment="1">
      <alignment horizontal="left" vertical="center" wrapText="1" readingOrder="1"/>
    </xf>
    <xf numFmtId="164" fontId="9" fillId="8" borderId="4" xfId="4" applyNumberFormat="1" applyFont="1" applyFill="1" applyBorder="1" applyAlignment="1">
      <alignment vertical="top" wrapText="1"/>
    </xf>
    <xf numFmtId="0" fontId="12" fillId="9" borderId="5" xfId="0" applyFont="1" applyFill="1" applyBorder="1" applyAlignment="1">
      <alignment horizontal="left" vertical="center" wrapText="1" readingOrder="1"/>
    </xf>
    <xf numFmtId="0" fontId="9" fillId="9" borderId="5" xfId="0" applyFont="1" applyFill="1" applyBorder="1" applyAlignment="1">
      <alignment vertical="top" wrapText="1"/>
    </xf>
    <xf numFmtId="44" fontId="0" fillId="0" borderId="0" xfId="2" applyFont="1"/>
    <xf numFmtId="166" fontId="0" fillId="0" borderId="0" xfId="3" applyNumberFormat="1" applyFont="1"/>
    <xf numFmtId="0" fontId="12" fillId="9" borderId="6" xfId="0" applyFont="1" applyFill="1" applyBorder="1" applyAlignment="1">
      <alignment horizontal="left" vertical="center" wrapText="1" readingOrder="1"/>
    </xf>
    <xf numFmtId="164" fontId="9" fillId="5" borderId="3" xfId="4" applyNumberFormat="1" applyFont="1" applyFill="1" applyBorder="1" applyAlignment="1">
      <alignment vertical="top" wrapText="1"/>
    </xf>
    <xf numFmtId="10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10" borderId="0" xfId="0" applyFill="1" applyAlignment="1">
      <alignment horizontal="center"/>
    </xf>
    <xf numFmtId="0" fontId="0" fillId="10" borderId="0" xfId="0" applyFill="1"/>
    <xf numFmtId="9" fontId="0" fillId="10" borderId="0" xfId="3" applyFont="1" applyFill="1" applyAlignment="1">
      <alignment horizontal="center"/>
    </xf>
    <xf numFmtId="44" fontId="0" fillId="10" borderId="0" xfId="2" applyFont="1" applyFill="1"/>
    <xf numFmtId="165" fontId="0" fillId="10" borderId="0" xfId="1" applyNumberFormat="1" applyFont="1" applyFill="1" applyAlignment="1"/>
    <xf numFmtId="0" fontId="5" fillId="10" borderId="0" xfId="0" applyFont="1" applyFill="1" applyAlignment="1">
      <alignment horizontal="center"/>
    </xf>
    <xf numFmtId="44" fontId="5" fillId="10" borderId="0" xfId="2" applyFont="1" applyFill="1"/>
    <xf numFmtId="44" fontId="2" fillId="10" borderId="0" xfId="0" applyNumberFormat="1" applyFont="1" applyFill="1"/>
    <xf numFmtId="44" fontId="5" fillId="10" borderId="0" xfId="0" applyNumberFormat="1" applyFont="1" applyFill="1"/>
    <xf numFmtId="164" fontId="0" fillId="10" borderId="0" xfId="2" applyNumberFormat="1" applyFont="1" applyFill="1"/>
    <xf numFmtId="9" fontId="0" fillId="0" borderId="0" xfId="3" applyFont="1" applyFill="1" applyAlignment="1">
      <alignment horizontal="center"/>
    </xf>
    <xf numFmtId="165" fontId="0" fillId="0" borderId="0" xfId="1" applyNumberFormat="1" applyFont="1" applyFill="1" applyAlignment="1"/>
    <xf numFmtId="0" fontId="5" fillId="0" borderId="0" xfId="0" applyFont="1" applyAlignment="1">
      <alignment horizontal="center"/>
    </xf>
    <xf numFmtId="44" fontId="5" fillId="0" borderId="0" xfId="2" applyFont="1" applyFill="1"/>
    <xf numFmtId="44" fontId="2" fillId="0" borderId="0" xfId="0" applyNumberFormat="1" applyFont="1"/>
    <xf numFmtId="44" fontId="5" fillId="0" borderId="0" xfId="0" applyNumberFormat="1" applyFont="1"/>
    <xf numFmtId="164" fontId="0" fillId="0" borderId="0" xfId="2" applyNumberFormat="1" applyFont="1" applyFill="1"/>
    <xf numFmtId="44" fontId="2" fillId="0" borderId="0" xfId="2" applyFont="1" applyFill="1"/>
    <xf numFmtId="0" fontId="2" fillId="11" borderId="0" xfId="0" applyFont="1" applyFill="1" applyAlignment="1">
      <alignment horizontal="center"/>
    </xf>
    <xf numFmtId="0" fontId="2" fillId="11" borderId="0" xfId="0" applyFont="1" applyFill="1" applyAlignment="1">
      <alignment wrapText="1"/>
    </xf>
    <xf numFmtId="0" fontId="2" fillId="11" borderId="0" xfId="0" applyFont="1" applyFill="1" applyAlignment="1">
      <alignment horizontal="center" wrapText="1"/>
    </xf>
    <xf numFmtId="0" fontId="2" fillId="11" borderId="0" xfId="0" applyFont="1" applyFill="1"/>
    <xf numFmtId="0" fontId="0" fillId="5" borderId="0" xfId="0" applyFill="1" applyAlignment="1">
      <alignment horizontal="center"/>
    </xf>
    <xf numFmtId="9" fontId="0" fillId="5" borderId="0" xfId="3" applyFont="1" applyFill="1" applyAlignment="1">
      <alignment horizontal="center"/>
    </xf>
    <xf numFmtId="44" fontId="0" fillId="5" borderId="0" xfId="2" applyFont="1" applyFill="1"/>
    <xf numFmtId="164" fontId="0" fillId="5" borderId="0" xfId="2" applyNumberFormat="1" applyFont="1" applyFill="1"/>
    <xf numFmtId="0" fontId="13" fillId="12" borderId="0" xfId="0" applyFont="1" applyFill="1"/>
    <xf numFmtId="6" fontId="0" fillId="12" borderId="0" xfId="0" applyNumberFormat="1" applyFill="1" applyAlignment="1">
      <alignment horizontal="left"/>
    </xf>
    <xf numFmtId="0" fontId="8" fillId="0" borderId="0" xfId="0" applyFont="1"/>
    <xf numFmtId="44" fontId="8" fillId="0" borderId="0" xfId="2" applyFont="1" applyAlignment="1">
      <alignment horizontal="right"/>
    </xf>
    <xf numFmtId="44" fontId="0" fillId="5" borderId="0" xfId="0" applyNumberFormat="1" applyFill="1"/>
    <xf numFmtId="2" fontId="0" fillId="5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0" fontId="5" fillId="0" borderId="0" xfId="0" applyFont="1"/>
    <xf numFmtId="9" fontId="5" fillId="0" borderId="0" xfId="3" applyFont="1" applyFill="1" applyAlignment="1">
      <alignment horizontal="center"/>
    </xf>
    <xf numFmtId="165" fontId="5" fillId="0" borderId="0" xfId="1" applyNumberFormat="1" applyFont="1" applyFill="1" applyAlignment="1"/>
    <xf numFmtId="44" fontId="6" fillId="0" borderId="0" xfId="0" applyNumberFormat="1" applyFont="1"/>
    <xf numFmtId="164" fontId="5" fillId="0" borderId="0" xfId="2" applyNumberFormat="1" applyFont="1" applyFill="1"/>
    <xf numFmtId="2" fontId="5" fillId="0" borderId="0" xfId="0" applyNumberFormat="1" applyFont="1" applyAlignment="1">
      <alignment horizontal="center"/>
    </xf>
    <xf numFmtId="0" fontId="0" fillId="12" borderId="0" xfId="0" applyFill="1"/>
    <xf numFmtId="164" fontId="1" fillId="12" borderId="0" xfId="2" applyNumberFormat="1" applyFont="1" applyFill="1"/>
    <xf numFmtId="0" fontId="0" fillId="12" borderId="0" xfId="0" applyFill="1" applyAlignment="1">
      <alignment horizontal="left"/>
    </xf>
    <xf numFmtId="164" fontId="0" fillId="12" borderId="0" xfId="2" applyNumberFormat="1" applyFont="1" applyFill="1"/>
    <xf numFmtId="14" fontId="0" fillId="12" borderId="0" xfId="0" applyNumberFormat="1" applyFill="1" applyAlignment="1">
      <alignment horizontal="left"/>
    </xf>
    <xf numFmtId="166" fontId="8" fillId="0" borderId="0" xfId="3" applyNumberFormat="1" applyFont="1"/>
    <xf numFmtId="167" fontId="0" fillId="0" borderId="0" xfId="0" applyNumberFormat="1"/>
    <xf numFmtId="165" fontId="0" fillId="0" borderId="0" xfId="1" applyNumberFormat="1" applyFont="1" applyFill="1"/>
    <xf numFmtId="0" fontId="0" fillId="13" borderId="0" xfId="0" applyFill="1" applyAlignment="1">
      <alignment horizontal="center"/>
    </xf>
    <xf numFmtId="0" fontId="0" fillId="13" borderId="0" xfId="0" applyFill="1"/>
    <xf numFmtId="44" fontId="2" fillId="13" borderId="0" xfId="2" applyFont="1" applyFill="1"/>
    <xf numFmtId="44" fontId="0" fillId="13" borderId="0" xfId="0" applyNumberFormat="1" applyFill="1" applyAlignment="1">
      <alignment horizontal="left"/>
    </xf>
    <xf numFmtId="14" fontId="0" fillId="0" borderId="0" xfId="0" applyNumberFormat="1"/>
    <xf numFmtId="14" fontId="2" fillId="11" borderId="0" xfId="0" applyNumberFormat="1" applyFont="1" applyFill="1" applyAlignment="1">
      <alignment wrapText="1"/>
    </xf>
    <xf numFmtId="14" fontId="5" fillId="0" borderId="0" xfId="0" applyNumberFormat="1" applyFont="1"/>
    <xf numFmtId="14" fontId="0" fillId="3" borderId="0" xfId="0" applyNumberFormat="1" applyFill="1"/>
    <xf numFmtId="14" fontId="0" fillId="5" borderId="0" xfId="0" applyNumberFormat="1" applyFill="1"/>
    <xf numFmtId="14" fontId="0" fillId="13" borderId="0" xfId="0" applyNumberFormat="1" applyFill="1"/>
    <xf numFmtId="0" fontId="0" fillId="6" borderId="0" xfId="0" applyFill="1" applyAlignment="1">
      <alignment horizontal="center"/>
    </xf>
    <xf numFmtId="0" fontId="0" fillId="6" borderId="0" xfId="0" applyFill="1"/>
    <xf numFmtId="44" fontId="2" fillId="6" borderId="0" xfId="2" applyFont="1" applyFill="1"/>
    <xf numFmtId="44" fontId="0" fillId="6" borderId="0" xfId="0" applyNumberFormat="1" applyFill="1"/>
    <xf numFmtId="14" fontId="0" fillId="6" borderId="0" xfId="0" applyNumberFormat="1" applyFill="1"/>
    <xf numFmtId="164" fontId="0" fillId="6" borderId="0" xfId="2" applyNumberFormat="1" applyFont="1" applyFill="1"/>
    <xf numFmtId="167" fontId="0" fillId="14" borderId="0" xfId="0" applyNumberFormat="1" applyFill="1"/>
    <xf numFmtId="0" fontId="0" fillId="14" borderId="0" xfId="0" applyFill="1"/>
    <xf numFmtId="164" fontId="2" fillId="12" borderId="0" xfId="2" applyNumberFormat="1" applyFont="1" applyFill="1"/>
    <xf numFmtId="44" fontId="0" fillId="6" borderId="0" xfId="0" applyNumberFormat="1" applyFill="1" applyAlignment="1">
      <alignment horizontal="left"/>
    </xf>
    <xf numFmtId="0" fontId="0" fillId="6" borderId="0" xfId="0" applyFill="1" applyAlignment="1">
      <alignment horizontal="right"/>
    </xf>
    <xf numFmtId="0" fontId="2" fillId="15" borderId="0" xfId="0" applyFont="1" applyFill="1" applyAlignment="1">
      <alignment horizontal="center"/>
    </xf>
    <xf numFmtId="0" fontId="2" fillId="15" borderId="0" xfId="0" applyFont="1" applyFill="1" applyAlignment="1">
      <alignment wrapText="1"/>
    </xf>
    <xf numFmtId="0" fontId="2" fillId="15" borderId="0" xfId="0" applyFont="1" applyFill="1" applyAlignment="1">
      <alignment horizontal="center" wrapText="1"/>
    </xf>
    <xf numFmtId="14" fontId="2" fillId="15" borderId="0" xfId="0" applyNumberFormat="1" applyFont="1" applyFill="1" applyAlignment="1">
      <alignment wrapText="1"/>
    </xf>
    <xf numFmtId="0" fontId="2" fillId="15" borderId="0" xfId="0" applyFont="1" applyFill="1"/>
    <xf numFmtId="0" fontId="8" fillId="0" borderId="0" xfId="0" applyFont="1" applyAlignment="1">
      <alignment horizontal="center"/>
    </xf>
    <xf numFmtId="9" fontId="8" fillId="0" borderId="0" xfId="3" applyFont="1" applyFill="1" applyAlignment="1">
      <alignment horizontal="center"/>
    </xf>
    <xf numFmtId="44" fontId="8" fillId="0" borderId="0" xfId="2" applyFont="1" applyFill="1"/>
    <xf numFmtId="165" fontId="8" fillId="0" borderId="0" xfId="1" applyNumberFormat="1" applyFont="1" applyFill="1" applyAlignment="1"/>
    <xf numFmtId="2" fontId="8" fillId="0" borderId="0" xfId="0" applyNumberFormat="1" applyFont="1" applyAlignment="1">
      <alignment horizontal="center"/>
    </xf>
    <xf numFmtId="44" fontId="8" fillId="0" borderId="0" xfId="0" applyNumberFormat="1" applyFont="1"/>
    <xf numFmtId="44" fontId="14" fillId="0" borderId="0" xfId="0" applyNumberFormat="1" applyFont="1"/>
    <xf numFmtId="14" fontId="8" fillId="0" borderId="0" xfId="0" applyNumberFormat="1" applyFont="1"/>
    <xf numFmtId="164" fontId="8" fillId="0" borderId="0" xfId="2" applyNumberFormat="1" applyFont="1" applyFill="1"/>
    <xf numFmtId="9" fontId="8" fillId="0" borderId="0" xfId="3" applyFont="1" applyAlignment="1">
      <alignment horizontal="center"/>
    </xf>
    <xf numFmtId="44" fontId="14" fillId="0" borderId="0" xfId="2" applyFont="1" applyFill="1"/>
    <xf numFmtId="44" fontId="8" fillId="0" borderId="0" xfId="0" applyNumberFormat="1" applyFont="1" applyAlignment="1">
      <alignment horizontal="left"/>
    </xf>
    <xf numFmtId="2" fontId="5" fillId="5" borderId="0" xfId="0" applyNumberFormat="1" applyFont="1" applyFill="1" applyAlignment="1">
      <alignment horizontal="center"/>
    </xf>
    <xf numFmtId="44" fontId="5" fillId="5" borderId="0" xfId="0" applyNumberFormat="1" applyFont="1" applyFill="1"/>
    <xf numFmtId="0" fontId="5" fillId="5" borderId="0" xfId="0" applyFont="1" applyFill="1" applyAlignment="1">
      <alignment horizontal="center"/>
    </xf>
    <xf numFmtId="44" fontId="5" fillId="5" borderId="0" xfId="2" applyFont="1" applyFill="1"/>
    <xf numFmtId="0" fontId="5" fillId="5" borderId="0" xfId="0" applyFont="1" applyFill="1"/>
    <xf numFmtId="14" fontId="5" fillId="5" borderId="0" xfId="0" applyNumberFormat="1" applyFont="1" applyFill="1"/>
    <xf numFmtId="164" fontId="5" fillId="5" borderId="0" xfId="2" applyNumberFormat="1" applyFont="1" applyFill="1"/>
    <xf numFmtId="44" fontId="6" fillId="0" borderId="0" xfId="2" applyFont="1" applyFill="1"/>
    <xf numFmtId="44" fontId="5" fillId="0" borderId="0" xfId="0" applyNumberFormat="1" applyFont="1" applyAlignment="1">
      <alignment horizontal="left"/>
    </xf>
    <xf numFmtId="0" fontId="15" fillId="0" borderId="0" xfId="0" applyFont="1" applyAlignment="1">
      <alignment horizontal="center"/>
    </xf>
    <xf numFmtId="0" fontId="15" fillId="0" borderId="0" xfId="0" applyFont="1"/>
    <xf numFmtId="9" fontId="15" fillId="0" borderId="0" xfId="3" applyFont="1" applyFill="1" applyAlignment="1">
      <alignment horizontal="center"/>
    </xf>
    <xf numFmtId="44" fontId="15" fillId="0" borderId="0" xfId="2" applyFont="1" applyFill="1"/>
    <xf numFmtId="165" fontId="15" fillId="0" borderId="0" xfId="1" applyNumberFormat="1" applyFont="1" applyFill="1" applyAlignment="1"/>
    <xf numFmtId="2" fontId="15" fillId="0" borderId="0" xfId="0" applyNumberFormat="1" applyFont="1" applyAlignment="1">
      <alignment horizontal="center"/>
    </xf>
    <xf numFmtId="44" fontId="15" fillId="0" borderId="0" xfId="0" applyNumberFormat="1" applyFont="1"/>
    <xf numFmtId="44" fontId="16" fillId="0" borderId="0" xfId="0" applyNumberFormat="1" applyFont="1"/>
    <xf numFmtId="14" fontId="15" fillId="0" borderId="0" xfId="0" applyNumberFormat="1" applyFont="1"/>
    <xf numFmtId="164" fontId="15" fillId="0" borderId="0" xfId="2" applyNumberFormat="1" applyFont="1" applyFill="1"/>
    <xf numFmtId="165" fontId="0" fillId="11" borderId="0" xfId="1" applyNumberFormat="1" applyFont="1" applyFill="1" applyAlignment="1"/>
    <xf numFmtId="2" fontId="5" fillId="11" borderId="0" xfId="0" applyNumberFormat="1" applyFont="1" applyFill="1" applyAlignment="1">
      <alignment horizontal="center"/>
    </xf>
    <xf numFmtId="44" fontId="5" fillId="11" borderId="0" xfId="0" applyNumberFormat="1" applyFont="1" applyFill="1"/>
    <xf numFmtId="0" fontId="0" fillId="11" borderId="0" xfId="0" applyFill="1" applyAlignment="1">
      <alignment horizontal="center"/>
    </xf>
    <xf numFmtId="0" fontId="0" fillId="11" borderId="0" xfId="0" applyFill="1"/>
    <xf numFmtId="9" fontId="0" fillId="11" borderId="0" xfId="3" applyFont="1" applyFill="1" applyAlignment="1">
      <alignment horizontal="center"/>
    </xf>
    <xf numFmtId="44" fontId="0" fillId="11" borderId="0" xfId="2" applyFont="1" applyFill="1"/>
    <xf numFmtId="44" fontId="2" fillId="11" borderId="0" xfId="0" applyNumberFormat="1" applyFont="1" applyFill="1"/>
    <xf numFmtId="44" fontId="0" fillId="11" borderId="0" xfId="0" applyNumberFormat="1" applyFill="1"/>
    <xf numFmtId="14" fontId="0" fillId="11" borderId="0" xfId="0" applyNumberFormat="1" applyFill="1"/>
    <xf numFmtId="164" fontId="0" fillId="11" borderId="0" xfId="2" applyNumberFormat="1" applyFont="1" applyFill="1"/>
    <xf numFmtId="164" fontId="2" fillId="0" borderId="7" xfId="0" applyNumberFormat="1" applyFont="1" applyBorder="1"/>
    <xf numFmtId="0" fontId="5" fillId="5" borderId="0" xfId="0" applyFont="1" applyFill="1" applyAlignment="1">
      <alignment horizontal="right"/>
    </xf>
    <xf numFmtId="44" fontId="6" fillId="5" borderId="0" xfId="2" applyFont="1" applyFill="1"/>
    <xf numFmtId="44" fontId="5" fillId="5" borderId="0" xfId="0" applyNumberFormat="1" applyFont="1" applyFill="1" applyAlignment="1">
      <alignment horizontal="left"/>
    </xf>
    <xf numFmtId="164" fontId="1" fillId="5" borderId="0" xfId="2" applyNumberFormat="1" applyFont="1" applyFill="1" applyBorder="1"/>
    <xf numFmtId="0" fontId="15" fillId="5" borderId="0" xfId="0" applyFont="1" applyFill="1"/>
    <xf numFmtId="0" fontId="2" fillId="5" borderId="0" xfId="0" applyFont="1" applyFill="1"/>
    <xf numFmtId="0" fontId="0" fillId="0" borderId="0" xfId="0" applyAlignment="1">
      <alignment wrapText="1"/>
    </xf>
    <xf numFmtId="0" fontId="8" fillId="0" borderId="0" xfId="0" applyFont="1" applyAlignment="1">
      <alignment horizontal="left"/>
    </xf>
    <xf numFmtId="0" fontId="2" fillId="15" borderId="0" xfId="0" applyFont="1" applyFill="1" applyAlignment="1">
      <alignment horizontal="left" wrapText="1"/>
    </xf>
    <xf numFmtId="0" fontId="5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0" fillId="6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5" fillId="5" borderId="0" xfId="0" applyFont="1" applyFill="1" applyAlignment="1">
      <alignment horizontal="left"/>
    </xf>
    <xf numFmtId="0" fontId="13" fillId="12" borderId="0" xfId="0" applyFont="1" applyFill="1" applyAlignment="1">
      <alignment horizontal="left"/>
    </xf>
    <xf numFmtId="44" fontId="8" fillId="0" borderId="0" xfId="2" applyFont="1" applyAlignment="1">
      <alignment horizontal="left"/>
    </xf>
    <xf numFmtId="14" fontId="8" fillId="5" borderId="0" xfId="0" applyNumberFormat="1" applyFont="1" applyFill="1"/>
    <xf numFmtId="0" fontId="0" fillId="5" borderId="0" xfId="0" applyFill="1" applyAlignment="1">
      <alignment horizontal="left"/>
    </xf>
    <xf numFmtId="0" fontId="5" fillId="0" borderId="0" xfId="0" applyFont="1" applyAlignment="1">
      <alignment horizontal="right"/>
    </xf>
    <xf numFmtId="168" fontId="0" fillId="0" borderId="0" xfId="1" applyNumberFormat="1" applyFont="1" applyFill="1" applyAlignment="1"/>
    <xf numFmtId="44" fontId="15" fillId="5" borderId="0" xfId="2" applyFont="1" applyFill="1"/>
    <xf numFmtId="9" fontId="5" fillId="5" borderId="0" xfId="3" applyFont="1" applyFill="1" applyAlignment="1">
      <alignment horizontal="center"/>
    </xf>
    <xf numFmtId="165" fontId="5" fillId="5" borderId="0" xfId="1" applyNumberFormat="1" applyFont="1" applyFill="1" applyAlignment="1"/>
    <xf numFmtId="44" fontId="2" fillId="5" borderId="0" xfId="2" applyFont="1" applyFill="1"/>
    <xf numFmtId="44" fontId="0" fillId="5" borderId="0" xfId="0" applyNumberFormat="1" applyFill="1" applyAlignment="1">
      <alignment horizontal="left"/>
    </xf>
    <xf numFmtId="43" fontId="5" fillId="0" borderId="0" xfId="1" applyFont="1"/>
    <xf numFmtId="9" fontId="15" fillId="5" borderId="0" xfId="3" applyFont="1" applyFill="1" applyAlignment="1">
      <alignment horizontal="center"/>
    </xf>
    <xf numFmtId="165" fontId="0" fillId="0" borderId="0" xfId="1" applyNumberFormat="1" applyFont="1"/>
    <xf numFmtId="165" fontId="8" fillId="0" borderId="0" xfId="1" applyNumberFormat="1" applyFont="1"/>
    <xf numFmtId="165" fontId="5" fillId="0" borderId="0" xfId="1" applyNumberFormat="1" applyFont="1"/>
    <xf numFmtId="165" fontId="0" fillId="0" borderId="0" xfId="0" applyNumberFormat="1"/>
    <xf numFmtId="44" fontId="8" fillId="0" borderId="0" xfId="2" applyFont="1"/>
    <xf numFmtId="0" fontId="14" fillId="0" borderId="0" xfId="0" applyFont="1"/>
    <xf numFmtId="0" fontId="14" fillId="0" borderId="0" xfId="0" applyFont="1" applyAlignment="1">
      <alignment horizontal="center"/>
    </xf>
    <xf numFmtId="9" fontId="14" fillId="0" borderId="0" xfId="3" applyFont="1" applyFill="1" applyAlignment="1">
      <alignment horizontal="center"/>
    </xf>
    <xf numFmtId="165" fontId="14" fillId="0" borderId="0" xfId="1" applyNumberFormat="1" applyFont="1" applyFill="1" applyAlignment="1"/>
    <xf numFmtId="2" fontId="14" fillId="0" borderId="0" xfId="0" applyNumberFormat="1" applyFont="1" applyAlignment="1">
      <alignment horizontal="center"/>
    </xf>
    <xf numFmtId="164" fontId="14" fillId="0" borderId="0" xfId="2" applyNumberFormat="1" applyFont="1" applyFill="1"/>
    <xf numFmtId="0" fontId="14" fillId="5" borderId="0" xfId="0" applyFont="1" applyFill="1"/>
    <xf numFmtId="0" fontId="14" fillId="0" borderId="0" xfId="0" applyFont="1" applyAlignment="1">
      <alignment horizontal="left"/>
    </xf>
    <xf numFmtId="9" fontId="14" fillId="5" borderId="0" xfId="3" applyFont="1" applyFill="1" applyAlignment="1">
      <alignment horizontal="center"/>
    </xf>
    <xf numFmtId="43" fontId="14" fillId="0" borderId="0" xfId="1" applyFont="1"/>
    <xf numFmtId="164" fontId="1" fillId="0" borderId="0" xfId="2" applyNumberFormat="1" applyFont="1" applyFill="1" applyBorder="1"/>
    <xf numFmtId="164" fontId="1" fillId="0" borderId="0" xfId="2" applyNumberFormat="1" applyFont="1" applyFill="1"/>
    <xf numFmtId="14" fontId="14" fillId="0" borderId="0" xfId="0" applyNumberFormat="1" applyFont="1"/>
    <xf numFmtId="164" fontId="1" fillId="5" borderId="0" xfId="2" applyNumberFormat="1" applyFont="1" applyFill="1"/>
  </cellXfs>
  <cellStyles count="5">
    <cellStyle name="Comma" xfId="1" builtinId="3"/>
    <cellStyle name="Currency" xfId="2" builtinId="4"/>
    <cellStyle name="Currency 2" xfId="4" xr:uid="{1079C3D8-BF7C-48EC-B3EA-DA72E2035E35}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50158-233A-42BB-820D-2DE70D0BEB91}">
  <dimension ref="A1:S166"/>
  <sheetViews>
    <sheetView tabSelected="1" zoomScale="90" zoomScaleNormal="90" workbookViewId="0">
      <pane xSplit="6" ySplit="2" topLeftCell="G3" activePane="bottomRight" state="frozen"/>
      <selection pane="topRight" activeCell="D1" sqref="D1"/>
      <selection pane="bottomLeft" activeCell="A2" sqref="A2"/>
      <selection pane="bottomRight" activeCell="A2" sqref="A2:XFD46"/>
    </sheetView>
  </sheetViews>
  <sheetFormatPr defaultColWidth="9.15234375" defaultRowHeight="14.6" x14ac:dyDescent="0.4"/>
  <cols>
    <col min="1" max="1" width="16" style="28" bestFit="1" customWidth="1"/>
    <col min="2" max="2" width="4.3828125" style="1" customWidth="1"/>
    <col min="3" max="3" width="39.84375" customWidth="1"/>
    <col min="4" max="4" width="7.53515625" customWidth="1"/>
    <col min="5" max="5" width="14.3828125" customWidth="1"/>
    <col min="6" max="6" width="16.15234375" customWidth="1"/>
    <col min="7" max="8" width="16.84375" customWidth="1"/>
    <col min="9" max="9" width="11.53515625" customWidth="1"/>
    <col min="10" max="10" width="14" customWidth="1"/>
    <col min="11" max="11" width="14.3828125" bestFit="1" customWidth="1"/>
    <col min="12" max="12" width="14.53515625" customWidth="1"/>
    <col min="13" max="13" width="18.53515625" customWidth="1"/>
    <col min="14" max="14" width="13.53515625" customWidth="1"/>
    <col min="15" max="15" width="64.53515625" style="37" bestFit="1" customWidth="1"/>
    <col min="16" max="16" width="16.15234375" style="121" customWidth="1"/>
    <col min="18" max="18" width="8.53515625" customWidth="1"/>
    <col min="19" max="19" width="24.3828125" customWidth="1"/>
  </cols>
  <sheetData>
    <row r="1" spans="1:19" x14ac:dyDescent="0.4">
      <c r="B1" t="s">
        <v>0</v>
      </c>
      <c r="E1" t="s">
        <v>283</v>
      </c>
    </row>
    <row r="2" spans="1:19" s="142" customFormat="1" ht="58.3" x14ac:dyDescent="0.4">
      <c r="A2" s="191" t="s">
        <v>332</v>
      </c>
      <c r="B2" s="138"/>
      <c r="C2" s="139" t="s">
        <v>2</v>
      </c>
      <c r="D2" s="139" t="s">
        <v>3</v>
      </c>
      <c r="E2" s="139" t="s">
        <v>4</v>
      </c>
      <c r="F2" s="139" t="s">
        <v>5</v>
      </c>
      <c r="G2" s="139" t="s">
        <v>6</v>
      </c>
      <c r="H2" s="140" t="s">
        <v>7</v>
      </c>
      <c r="I2" s="140" t="s">
        <v>8</v>
      </c>
      <c r="J2" s="140" t="s">
        <v>9</v>
      </c>
      <c r="K2" s="140" t="s">
        <v>10</v>
      </c>
      <c r="L2" s="140" t="s">
        <v>11</v>
      </c>
      <c r="M2" s="140" t="s">
        <v>12</v>
      </c>
      <c r="N2" s="140" t="s">
        <v>13</v>
      </c>
      <c r="O2" s="194" t="s">
        <v>14</v>
      </c>
      <c r="P2" s="141" t="s">
        <v>15</v>
      </c>
      <c r="S2" s="142" t="s">
        <v>16</v>
      </c>
    </row>
    <row r="3" spans="1:19" x14ac:dyDescent="0.4">
      <c r="B3" s="1">
        <v>1</v>
      </c>
      <c r="C3" t="s">
        <v>17</v>
      </c>
      <c r="E3" t="s">
        <v>18</v>
      </c>
      <c r="F3" t="s">
        <v>19</v>
      </c>
      <c r="G3" t="s">
        <v>20</v>
      </c>
      <c r="H3" s="80">
        <v>0.05</v>
      </c>
      <c r="I3" s="2">
        <v>45</v>
      </c>
      <c r="J3" s="81">
        <v>40</v>
      </c>
      <c r="K3" s="102">
        <f>J3*52/12</f>
        <v>173.33333333333334</v>
      </c>
      <c r="L3" s="42">
        <f>I3*K3</f>
        <v>7800</v>
      </c>
      <c r="M3" s="84">
        <f t="shared" ref="M3:M34" si="0">L3*(1+H3)</f>
        <v>8190</v>
      </c>
      <c r="N3" s="42">
        <f t="shared" ref="N3:N28" si="1">M3/2</f>
        <v>4095</v>
      </c>
      <c r="P3" s="121" t="s">
        <v>21</v>
      </c>
      <c r="S3" s="86">
        <f>I3*J3*4*1.1</f>
        <v>7920.0000000000009</v>
      </c>
    </row>
    <row r="4" spans="1:19" s="103" customFormat="1" x14ac:dyDescent="0.4">
      <c r="A4" s="159"/>
      <c r="B4" s="82"/>
      <c r="C4" s="103" t="s">
        <v>22</v>
      </c>
      <c r="E4" s="103" t="s">
        <v>18</v>
      </c>
      <c r="F4" s="103" t="s">
        <v>19</v>
      </c>
      <c r="G4" s="103" t="s">
        <v>20</v>
      </c>
      <c r="H4" s="104">
        <v>0.05</v>
      </c>
      <c r="I4" s="83">
        <v>45</v>
      </c>
      <c r="J4" s="105">
        <v>-10</v>
      </c>
      <c r="K4" s="82">
        <v>-43.33</v>
      </c>
      <c r="L4" s="85">
        <f>K4*I4</f>
        <v>-1949.85</v>
      </c>
      <c r="M4" s="106">
        <f t="shared" si="0"/>
        <v>-2047.3425</v>
      </c>
      <c r="N4" s="85">
        <f t="shared" si="1"/>
        <v>-1023.67125</v>
      </c>
      <c r="O4" s="195" t="s">
        <v>23</v>
      </c>
      <c r="P4" s="123" t="s">
        <v>21</v>
      </c>
      <c r="S4" s="107">
        <f>I4*J4*4*1.1</f>
        <v>-1980.0000000000002</v>
      </c>
    </row>
    <row r="5" spans="1:19" x14ac:dyDescent="0.4">
      <c r="C5" t="s">
        <v>26</v>
      </c>
      <c r="E5" t="s">
        <v>18</v>
      </c>
      <c r="F5" t="s">
        <v>19</v>
      </c>
      <c r="G5" t="s">
        <v>27</v>
      </c>
      <c r="H5" s="80">
        <v>0.05</v>
      </c>
      <c r="I5" s="2">
        <v>40</v>
      </c>
      <c r="J5" s="81">
        <v>40</v>
      </c>
      <c r="K5" s="102">
        <v>173.33</v>
      </c>
      <c r="L5" s="42">
        <f t="shared" ref="L5:L9" si="2">I5*K5</f>
        <v>6933.2000000000007</v>
      </c>
      <c r="M5" s="84">
        <f t="shared" si="0"/>
        <v>7279.8600000000015</v>
      </c>
      <c r="N5" s="42">
        <f t="shared" si="1"/>
        <v>3639.9300000000007</v>
      </c>
      <c r="O5" s="37" t="s">
        <v>28</v>
      </c>
      <c r="S5" s="86"/>
    </row>
    <row r="6" spans="1:19" s="103" customFormat="1" x14ac:dyDescent="0.4">
      <c r="A6" s="159"/>
      <c r="B6" s="82"/>
      <c r="C6" s="103" t="s">
        <v>341</v>
      </c>
      <c r="E6" s="103" t="s">
        <v>18</v>
      </c>
      <c r="F6" s="103" t="s">
        <v>19</v>
      </c>
      <c r="G6" s="103" t="s">
        <v>20</v>
      </c>
      <c r="H6" s="104">
        <v>0.05</v>
      </c>
      <c r="I6" s="83">
        <v>18</v>
      </c>
      <c r="J6" s="105">
        <v>25</v>
      </c>
      <c r="K6" s="108">
        <f>J6*52/12</f>
        <v>108.33333333333333</v>
      </c>
      <c r="L6" s="85">
        <f t="shared" si="2"/>
        <v>1950</v>
      </c>
      <c r="M6" s="106">
        <f t="shared" si="0"/>
        <v>2047.5</v>
      </c>
      <c r="N6" s="85">
        <f t="shared" si="1"/>
        <v>1023.75</v>
      </c>
      <c r="O6" s="195">
        <v>2026</v>
      </c>
      <c r="P6" s="123"/>
      <c r="S6" s="107"/>
    </row>
    <row r="7" spans="1:19" x14ac:dyDescent="0.4">
      <c r="B7" s="1">
        <v>3</v>
      </c>
      <c r="C7" t="s">
        <v>375</v>
      </c>
      <c r="E7" t="s">
        <v>18</v>
      </c>
      <c r="F7" t="s">
        <v>19</v>
      </c>
      <c r="G7" t="s">
        <v>20</v>
      </c>
      <c r="H7" s="80">
        <v>0.05</v>
      </c>
      <c r="I7" s="2">
        <v>38</v>
      </c>
      <c r="J7" s="81">
        <v>20</v>
      </c>
      <c r="K7" s="102">
        <f t="shared" ref="K7" si="3">J7*52/12</f>
        <v>86.666666666666671</v>
      </c>
      <c r="L7" s="42">
        <f t="shared" si="2"/>
        <v>3293.3333333333335</v>
      </c>
      <c r="M7" s="84">
        <f t="shared" si="0"/>
        <v>3458.0000000000005</v>
      </c>
      <c r="N7" s="42">
        <f t="shared" si="1"/>
        <v>1729.0000000000002</v>
      </c>
      <c r="S7" s="86">
        <f>I7*J7*4*1.1</f>
        <v>3344.0000000000005</v>
      </c>
    </row>
    <row r="8" spans="1:19" s="218" customFormat="1" x14ac:dyDescent="0.4">
      <c r="A8" s="224"/>
      <c r="B8" s="219"/>
      <c r="C8" s="218" t="s">
        <v>375</v>
      </c>
      <c r="E8" s="218" t="s">
        <v>18</v>
      </c>
      <c r="F8" s="218" t="s">
        <v>19</v>
      </c>
      <c r="G8" s="218" t="s">
        <v>20</v>
      </c>
      <c r="H8" s="220">
        <v>0.05</v>
      </c>
      <c r="I8" s="153">
        <v>38</v>
      </c>
      <c r="J8" s="221">
        <v>-5</v>
      </c>
      <c r="K8" s="222">
        <f t="shared" ref="K8" si="4">J8*52/12</f>
        <v>-21.666666666666668</v>
      </c>
      <c r="L8" s="149">
        <f t="shared" ref="L8" si="5">I8*K8</f>
        <v>-823.33333333333337</v>
      </c>
      <c r="M8" s="149">
        <f t="shared" ref="M8" si="6">L8*(1+H8)</f>
        <v>-864.50000000000011</v>
      </c>
      <c r="N8" s="149">
        <f t="shared" ref="N8" si="7">M8/2</f>
        <v>-432.25000000000006</v>
      </c>
      <c r="O8" s="225" t="s">
        <v>374</v>
      </c>
      <c r="P8" s="230"/>
      <c r="S8" s="223"/>
    </row>
    <row r="9" spans="1:19" x14ac:dyDescent="0.4">
      <c r="B9" s="1">
        <v>4</v>
      </c>
      <c r="C9" t="s">
        <v>30</v>
      </c>
      <c r="E9" t="s">
        <v>18</v>
      </c>
      <c r="F9" t="s">
        <v>19</v>
      </c>
      <c r="G9" t="s">
        <v>20</v>
      </c>
      <c r="H9" s="80">
        <v>0.05</v>
      </c>
      <c r="I9" s="2">
        <v>75</v>
      </c>
      <c r="J9" s="81">
        <v>10</v>
      </c>
      <c r="K9" s="102">
        <f>J9*52/12</f>
        <v>43.333333333333336</v>
      </c>
      <c r="L9" s="42">
        <f t="shared" si="2"/>
        <v>3250</v>
      </c>
      <c r="M9" s="84">
        <f t="shared" si="0"/>
        <v>3412.5</v>
      </c>
      <c r="N9" s="42">
        <f t="shared" si="1"/>
        <v>1706.25</v>
      </c>
      <c r="O9" s="37" t="s">
        <v>31</v>
      </c>
      <c r="S9" s="86">
        <f>I9*J9*4*1.1</f>
        <v>3300.0000000000005</v>
      </c>
    </row>
    <row r="10" spans="1:19" x14ac:dyDescent="0.4">
      <c r="C10" t="s">
        <v>30</v>
      </c>
      <c r="E10" t="s">
        <v>32</v>
      </c>
      <c r="F10" t="s">
        <v>19</v>
      </c>
      <c r="G10" t="s">
        <v>20</v>
      </c>
      <c r="H10" s="80">
        <v>0.05</v>
      </c>
      <c r="I10" s="2"/>
      <c r="J10" s="81"/>
      <c r="K10" s="102"/>
      <c r="L10" s="42">
        <v>1500</v>
      </c>
      <c r="M10" s="84">
        <f t="shared" si="0"/>
        <v>1575</v>
      </c>
      <c r="N10" s="42">
        <f t="shared" si="1"/>
        <v>787.5</v>
      </c>
      <c r="O10" s="37" t="s">
        <v>33</v>
      </c>
      <c r="P10" t="s">
        <v>21</v>
      </c>
      <c r="S10" s="86"/>
    </row>
    <row r="11" spans="1:19" x14ac:dyDescent="0.4">
      <c r="B11" s="1">
        <v>6</v>
      </c>
      <c r="C11" t="s">
        <v>36</v>
      </c>
      <c r="E11" t="s">
        <v>32</v>
      </c>
      <c r="F11" t="s">
        <v>37</v>
      </c>
      <c r="G11" t="s">
        <v>27</v>
      </c>
      <c r="H11" s="80">
        <v>0.05</v>
      </c>
      <c r="I11" s="2">
        <v>74</v>
      </c>
      <c r="J11" s="81">
        <v>40</v>
      </c>
      <c r="K11" s="102">
        <f t="shared" ref="K11:K20" si="8">J11*52/12</f>
        <v>173.33333333333334</v>
      </c>
      <c r="L11" s="42">
        <f t="shared" ref="L11:L24" si="9">I11*K11</f>
        <v>12826.666666666668</v>
      </c>
      <c r="M11" s="84">
        <f t="shared" si="0"/>
        <v>13468.000000000002</v>
      </c>
      <c r="N11" s="42">
        <f t="shared" si="1"/>
        <v>6734.0000000000009</v>
      </c>
      <c r="P11" t="s">
        <v>21</v>
      </c>
      <c r="S11" s="86">
        <f>I11*J11*4*1.1</f>
        <v>13024.000000000002</v>
      </c>
    </row>
    <row r="12" spans="1:19" s="218" customFormat="1" x14ac:dyDescent="0.4">
      <c r="A12" s="224"/>
      <c r="B12" s="219"/>
      <c r="C12" s="218" t="s">
        <v>368</v>
      </c>
      <c r="E12" s="218" t="s">
        <v>32</v>
      </c>
      <c r="H12" s="220">
        <v>0.05</v>
      </c>
      <c r="I12" s="153">
        <v>74</v>
      </c>
      <c r="J12" s="221">
        <v>-40</v>
      </c>
      <c r="K12" s="222">
        <f t="shared" ref="K12:K13" si="10">J12*52/12</f>
        <v>-173.33333333333334</v>
      </c>
      <c r="L12" s="149">
        <f>I12*K12</f>
        <v>-12826.666666666668</v>
      </c>
      <c r="M12" s="149">
        <f>L12*(1+H12)</f>
        <v>-13468.000000000002</v>
      </c>
      <c r="N12" s="149">
        <f t="shared" si="1"/>
        <v>-6734.0000000000009</v>
      </c>
      <c r="O12" s="225" t="s">
        <v>366</v>
      </c>
      <c r="S12" s="223"/>
    </row>
    <row r="13" spans="1:19" s="218" customFormat="1" x14ac:dyDescent="0.4">
      <c r="A13" s="224"/>
      <c r="B13" s="219"/>
      <c r="C13" s="98" t="s">
        <v>36</v>
      </c>
      <c r="D13" s="98"/>
      <c r="E13" s="98" t="s">
        <v>32</v>
      </c>
      <c r="F13" s="98" t="s">
        <v>37</v>
      </c>
      <c r="G13" s="98" t="s">
        <v>27</v>
      </c>
      <c r="H13" s="144">
        <v>0.05</v>
      </c>
      <c r="I13" s="145">
        <v>74</v>
      </c>
      <c r="J13" s="146">
        <v>-40</v>
      </c>
      <c r="K13" s="147">
        <f t="shared" si="10"/>
        <v>-173.33333333333334</v>
      </c>
      <c r="L13" s="148">
        <f t="shared" ref="L13" si="11">I13*K13</f>
        <v>-12826.666666666668</v>
      </c>
      <c r="M13" s="149">
        <f t="shared" ref="M13" si="12">L13*(1+H13)</f>
        <v>-13468.000000000002</v>
      </c>
      <c r="N13" s="148">
        <f t="shared" ref="N13" si="13">M13/2</f>
        <v>-6734.0000000000009</v>
      </c>
      <c r="O13" s="225" t="s">
        <v>378</v>
      </c>
      <c r="S13" s="223"/>
    </row>
    <row r="14" spans="1:19" x14ac:dyDescent="0.4">
      <c r="B14" s="1">
        <v>7</v>
      </c>
      <c r="C14" t="s">
        <v>38</v>
      </c>
      <c r="E14" t="s">
        <v>18</v>
      </c>
      <c r="F14" t="s">
        <v>19</v>
      </c>
      <c r="G14" t="s">
        <v>20</v>
      </c>
      <c r="H14" s="80">
        <v>0.05</v>
      </c>
      <c r="I14" s="2">
        <v>60</v>
      </c>
      <c r="J14" s="81">
        <v>20</v>
      </c>
      <c r="K14" s="102">
        <f t="shared" si="8"/>
        <v>86.666666666666671</v>
      </c>
      <c r="L14" s="42">
        <f t="shared" si="9"/>
        <v>5200</v>
      </c>
      <c r="M14" s="84">
        <f t="shared" si="0"/>
        <v>5460</v>
      </c>
      <c r="N14" s="42">
        <f t="shared" si="1"/>
        <v>2730</v>
      </c>
      <c r="S14" s="86">
        <f>I14*J14*4*1.1</f>
        <v>5280</v>
      </c>
    </row>
    <row r="15" spans="1:19" x14ac:dyDescent="0.4">
      <c r="C15" t="s">
        <v>379</v>
      </c>
      <c r="E15" t="s">
        <v>18</v>
      </c>
      <c r="F15" t="s">
        <v>19</v>
      </c>
      <c r="H15" s="80">
        <v>0.03</v>
      </c>
      <c r="I15" s="2">
        <v>60</v>
      </c>
      <c r="J15" s="81"/>
      <c r="K15" s="102"/>
      <c r="L15" s="42">
        <f t="shared" ref="L15" si="14">I15*K15</f>
        <v>0</v>
      </c>
      <c r="M15" s="84">
        <f>100*52/12</f>
        <v>433.33333333333331</v>
      </c>
      <c r="N15" s="42">
        <f t="shared" ref="N15" si="15">M15/2</f>
        <v>216.66666666666666</v>
      </c>
      <c r="S15" s="86"/>
    </row>
    <row r="16" spans="1:19" x14ac:dyDescent="0.4">
      <c r="B16" s="1">
        <v>8</v>
      </c>
      <c r="C16" t="s">
        <v>39</v>
      </c>
      <c r="E16" t="s">
        <v>18</v>
      </c>
      <c r="F16" t="s">
        <v>19</v>
      </c>
      <c r="G16" t="s">
        <v>20</v>
      </c>
      <c r="H16" s="80">
        <v>0.05</v>
      </c>
      <c r="I16" s="2">
        <v>25</v>
      </c>
      <c r="J16" s="81">
        <v>40</v>
      </c>
      <c r="K16" s="102">
        <f t="shared" si="8"/>
        <v>173.33333333333334</v>
      </c>
      <c r="L16" s="42">
        <f t="shared" si="9"/>
        <v>4333.3333333333339</v>
      </c>
      <c r="M16" s="84">
        <f t="shared" si="0"/>
        <v>4550.0000000000009</v>
      </c>
      <c r="N16" s="42">
        <f t="shared" si="1"/>
        <v>2275.0000000000005</v>
      </c>
      <c r="S16" s="86">
        <f>I16*J16*4*1.1</f>
        <v>4400</v>
      </c>
    </row>
    <row r="17" spans="1:19" s="218" customFormat="1" x14ac:dyDescent="0.4">
      <c r="A17" s="224"/>
      <c r="B17" s="219"/>
      <c r="C17" s="218" t="s">
        <v>39</v>
      </c>
      <c r="E17" s="218" t="s">
        <v>18</v>
      </c>
      <c r="F17" s="218" t="s">
        <v>19</v>
      </c>
      <c r="G17" s="218" t="s">
        <v>20</v>
      </c>
      <c r="H17" s="220">
        <v>0.05</v>
      </c>
      <c r="I17" s="153">
        <v>25</v>
      </c>
      <c r="J17" s="221">
        <v>-40</v>
      </c>
      <c r="K17" s="222">
        <f t="shared" ref="K17" si="16">J17*52/12</f>
        <v>-173.33333333333334</v>
      </c>
      <c r="L17" s="149">
        <f t="shared" ref="L17" si="17">I17*K17</f>
        <v>-4333.3333333333339</v>
      </c>
      <c r="M17" s="149">
        <f t="shared" ref="M17" si="18">L17*(1+H17)</f>
        <v>-4550.0000000000009</v>
      </c>
      <c r="N17" s="149">
        <f t="shared" ref="N17" si="19">M17/2</f>
        <v>-2275.0000000000005</v>
      </c>
      <c r="O17" s="225" t="s">
        <v>374</v>
      </c>
      <c r="P17" s="230"/>
      <c r="S17" s="223"/>
    </row>
    <row r="18" spans="1:19" x14ac:dyDescent="0.4">
      <c r="B18" s="1">
        <v>9</v>
      </c>
      <c r="C18" t="s">
        <v>40</v>
      </c>
      <c r="E18" t="s">
        <v>18</v>
      </c>
      <c r="F18" t="s">
        <v>19</v>
      </c>
      <c r="G18" t="s">
        <v>41</v>
      </c>
      <c r="H18" s="80">
        <v>0.01</v>
      </c>
      <c r="I18" s="2">
        <v>20</v>
      </c>
      <c r="J18" s="81">
        <v>40</v>
      </c>
      <c r="K18" s="102">
        <f t="shared" si="8"/>
        <v>173.33333333333334</v>
      </c>
      <c r="L18" s="42">
        <f t="shared" si="9"/>
        <v>3466.666666666667</v>
      </c>
      <c r="M18" s="84">
        <f t="shared" si="0"/>
        <v>3501.3333333333335</v>
      </c>
      <c r="N18" s="42">
        <f t="shared" si="1"/>
        <v>1750.6666666666667</v>
      </c>
      <c r="O18" s="37" t="s">
        <v>42</v>
      </c>
      <c r="S18" s="86">
        <f>I18*J18*4*1.1</f>
        <v>3520.0000000000005</v>
      </c>
    </row>
    <row r="19" spans="1:19" s="11" customFormat="1" x14ac:dyDescent="0.4">
      <c r="A19" s="28"/>
      <c r="B19" s="1">
        <v>10</v>
      </c>
      <c r="C19" t="s">
        <v>43</v>
      </c>
      <c r="D19"/>
      <c r="E19" t="s">
        <v>18</v>
      </c>
      <c r="F19" t="s">
        <v>19</v>
      </c>
      <c r="G19" t="s">
        <v>41</v>
      </c>
      <c r="H19" s="80">
        <v>0.01</v>
      </c>
      <c r="I19" s="2">
        <v>25</v>
      </c>
      <c r="J19" s="81">
        <v>40</v>
      </c>
      <c r="K19" s="102">
        <f t="shared" si="8"/>
        <v>173.33333333333334</v>
      </c>
      <c r="L19" s="42">
        <f t="shared" si="9"/>
        <v>4333.3333333333339</v>
      </c>
      <c r="M19" s="84">
        <f t="shared" si="0"/>
        <v>4376.666666666667</v>
      </c>
      <c r="N19" s="42">
        <f t="shared" si="1"/>
        <v>2188.3333333333335</v>
      </c>
      <c r="O19" s="37" t="s">
        <v>44</v>
      </c>
      <c r="P19" s="124"/>
      <c r="S19" s="18">
        <f t="shared" ref="S19:S23" si="20">I19*J19*4*1.1</f>
        <v>4400</v>
      </c>
    </row>
    <row r="20" spans="1:19" s="28" customFormat="1" x14ac:dyDescent="0.4">
      <c r="B20" s="92">
        <v>11</v>
      </c>
      <c r="C20" s="28" t="s">
        <v>48</v>
      </c>
      <c r="E20" s="28" t="s">
        <v>18</v>
      </c>
      <c r="F20" s="28" t="s">
        <v>49</v>
      </c>
      <c r="G20" s="28" t="s">
        <v>41</v>
      </c>
      <c r="H20" s="93">
        <v>0.01</v>
      </c>
      <c r="I20" s="94">
        <v>21</v>
      </c>
      <c r="J20" s="48">
        <v>40</v>
      </c>
      <c r="K20" s="155">
        <f t="shared" si="8"/>
        <v>173.33333333333334</v>
      </c>
      <c r="L20" s="156">
        <f t="shared" si="9"/>
        <v>3640</v>
      </c>
      <c r="M20" s="49">
        <f t="shared" si="0"/>
        <v>3676.4</v>
      </c>
      <c r="N20" s="100">
        <f t="shared" si="1"/>
        <v>1838.2</v>
      </c>
      <c r="O20" s="203" t="s">
        <v>350</v>
      </c>
      <c r="P20" s="125"/>
      <c r="S20" s="95">
        <f t="shared" si="20"/>
        <v>3696.0000000000005</v>
      </c>
    </row>
    <row r="21" spans="1:19" x14ac:dyDescent="0.4">
      <c r="A21"/>
      <c r="C21" t="s">
        <v>50</v>
      </c>
      <c r="E21" t="s">
        <v>32</v>
      </c>
      <c r="F21" t="s">
        <v>19</v>
      </c>
      <c r="G21" t="s">
        <v>27</v>
      </c>
      <c r="H21" s="80">
        <v>0.01</v>
      </c>
      <c r="I21" s="2">
        <v>87</v>
      </c>
      <c r="J21" s="81">
        <v>40</v>
      </c>
      <c r="K21" s="108">
        <f>J21*52/12</f>
        <v>173.33333333333334</v>
      </c>
      <c r="L21" s="85">
        <f t="shared" si="9"/>
        <v>15080</v>
      </c>
      <c r="M21" s="84">
        <f t="shared" si="0"/>
        <v>15230.8</v>
      </c>
      <c r="N21" s="42">
        <f t="shared" si="1"/>
        <v>7615.4</v>
      </c>
      <c r="P21" t="s">
        <v>21</v>
      </c>
      <c r="S21" s="86">
        <f t="shared" si="20"/>
        <v>15312.000000000002</v>
      </c>
    </row>
    <row r="22" spans="1:19" s="218" customFormat="1" x14ac:dyDescent="0.4">
      <c r="B22" s="219"/>
      <c r="C22" s="218" t="s">
        <v>367</v>
      </c>
      <c r="E22" s="218" t="s">
        <v>32</v>
      </c>
      <c r="F22" s="218" t="s">
        <v>19</v>
      </c>
      <c r="G22" s="218" t="s">
        <v>27</v>
      </c>
      <c r="H22" s="220">
        <v>0.01</v>
      </c>
      <c r="I22" s="153">
        <v>87</v>
      </c>
      <c r="J22" s="221">
        <v>-40</v>
      </c>
      <c r="K22" s="222">
        <f>J22*52/12</f>
        <v>-173.33333333333334</v>
      </c>
      <c r="L22" s="149">
        <f t="shared" ref="L22" si="21">I22*K22</f>
        <v>-15080</v>
      </c>
      <c r="M22" s="149">
        <f t="shared" ref="M22" si="22">L22*(1+H22)</f>
        <v>-15230.8</v>
      </c>
      <c r="N22" s="149">
        <f t="shared" ref="N22" si="23">M22/2</f>
        <v>-7615.4</v>
      </c>
      <c r="O22" s="225" t="s">
        <v>366</v>
      </c>
      <c r="S22" s="223"/>
    </row>
    <row r="23" spans="1:19" x14ac:dyDescent="0.4">
      <c r="C23" t="s">
        <v>52</v>
      </c>
      <c r="E23" t="s">
        <v>18</v>
      </c>
      <c r="F23" t="s">
        <v>19</v>
      </c>
      <c r="G23" t="s">
        <v>27</v>
      </c>
      <c r="H23" s="80">
        <v>0.01</v>
      </c>
      <c r="I23" s="2">
        <v>50</v>
      </c>
      <c r="J23" s="81">
        <v>30</v>
      </c>
      <c r="K23" s="108">
        <f t="shared" ref="K23" si="24">J23*52/12</f>
        <v>130</v>
      </c>
      <c r="L23" s="85">
        <f t="shared" si="9"/>
        <v>6500</v>
      </c>
      <c r="M23" s="84">
        <f t="shared" si="0"/>
        <v>6565</v>
      </c>
      <c r="N23" s="42">
        <f t="shared" si="1"/>
        <v>3282.5</v>
      </c>
      <c r="O23" s="37" t="s">
        <v>53</v>
      </c>
      <c r="S23" s="86">
        <f t="shared" si="20"/>
        <v>6600.0000000000009</v>
      </c>
    </row>
    <row r="24" spans="1:19" x14ac:dyDescent="0.4">
      <c r="A24"/>
      <c r="C24" t="s">
        <v>54</v>
      </c>
      <c r="E24" t="s">
        <v>32</v>
      </c>
      <c r="F24" t="s">
        <v>37</v>
      </c>
      <c r="G24" t="s">
        <v>27</v>
      </c>
      <c r="H24" s="80">
        <v>0.01</v>
      </c>
      <c r="I24" s="2">
        <v>125</v>
      </c>
      <c r="J24" s="81">
        <v>30</v>
      </c>
      <c r="K24" s="108">
        <f>J24*52/12</f>
        <v>130</v>
      </c>
      <c r="L24" s="85">
        <f t="shared" si="9"/>
        <v>16250</v>
      </c>
      <c r="M24" s="84">
        <f t="shared" si="0"/>
        <v>16412.5</v>
      </c>
      <c r="N24" s="85">
        <f t="shared" si="1"/>
        <v>8206.25</v>
      </c>
      <c r="P24" t="s">
        <v>21</v>
      </c>
      <c r="S24" s="86"/>
    </row>
    <row r="25" spans="1:19" s="218" customFormat="1" x14ac:dyDescent="0.4">
      <c r="B25" s="219"/>
      <c r="C25" s="218" t="s">
        <v>369</v>
      </c>
      <c r="E25" s="218" t="s">
        <v>32</v>
      </c>
      <c r="F25" s="218" t="s">
        <v>37</v>
      </c>
      <c r="G25" s="218" t="s">
        <v>27</v>
      </c>
      <c r="H25" s="220">
        <v>0.01</v>
      </c>
      <c r="I25" s="153">
        <v>125</v>
      </c>
      <c r="J25" s="221">
        <v>-30</v>
      </c>
      <c r="K25" s="222">
        <f>J25*52/12</f>
        <v>-130</v>
      </c>
      <c r="L25" s="149">
        <f t="shared" ref="L25" si="25">I25*K25</f>
        <v>-16250</v>
      </c>
      <c r="M25" s="149">
        <f t="shared" ref="M25" si="26">L25*(1+H25)</f>
        <v>-16412.5</v>
      </c>
      <c r="N25" s="149">
        <f t="shared" ref="N25" si="27">M25/2</f>
        <v>-8206.25</v>
      </c>
      <c r="O25" s="225" t="s">
        <v>366</v>
      </c>
      <c r="S25" s="223"/>
    </row>
    <row r="26" spans="1:19" s="103" customFormat="1" x14ac:dyDescent="0.4">
      <c r="A26" s="159"/>
      <c r="B26" s="82"/>
      <c r="C26" s="103" t="s">
        <v>57</v>
      </c>
      <c r="E26" s="103" t="s">
        <v>18</v>
      </c>
      <c r="F26" s="103" t="s">
        <v>19</v>
      </c>
      <c r="G26" s="103" t="s">
        <v>58</v>
      </c>
      <c r="H26" s="207">
        <v>0.14000000000000001</v>
      </c>
      <c r="I26" s="83">
        <v>20</v>
      </c>
      <c r="J26" s="105">
        <v>15</v>
      </c>
      <c r="K26" s="108">
        <f>J26*52/12</f>
        <v>65</v>
      </c>
      <c r="L26" s="85">
        <f t="shared" ref="L26:L58" si="28">I26*K26</f>
        <v>1300</v>
      </c>
      <c r="M26" s="85">
        <f t="shared" si="0"/>
        <v>1482.0000000000002</v>
      </c>
      <c r="N26" s="85">
        <f t="shared" si="1"/>
        <v>741.00000000000011</v>
      </c>
      <c r="O26" s="195" t="s">
        <v>302</v>
      </c>
      <c r="P26" s="123"/>
      <c r="S26" s="107"/>
    </row>
    <row r="27" spans="1:19" s="218" customFormat="1" x14ac:dyDescent="0.4">
      <c r="A27" s="224"/>
      <c r="B27" s="219"/>
      <c r="C27" s="218" t="s">
        <v>57</v>
      </c>
      <c r="E27" s="218" t="s">
        <v>18</v>
      </c>
      <c r="F27" s="218" t="s">
        <v>19</v>
      </c>
      <c r="G27" s="218" t="s">
        <v>58</v>
      </c>
      <c r="H27" s="226">
        <v>0.14000000000000001</v>
      </c>
      <c r="I27" s="153">
        <v>20</v>
      </c>
      <c r="J27" s="221">
        <v>-15</v>
      </c>
      <c r="K27" s="222">
        <f>J27*52/12</f>
        <v>-65</v>
      </c>
      <c r="L27" s="149">
        <f t="shared" ref="L27" si="29">I27*K27</f>
        <v>-1300</v>
      </c>
      <c r="M27" s="149">
        <f t="shared" ref="M27" si="30">L27*(1+H27)</f>
        <v>-1482.0000000000002</v>
      </c>
      <c r="N27" s="149">
        <f t="shared" ref="N27" si="31">M27/2</f>
        <v>-741.00000000000011</v>
      </c>
      <c r="O27" s="225" t="s">
        <v>374</v>
      </c>
      <c r="P27" s="230"/>
      <c r="S27" s="223"/>
    </row>
    <row r="28" spans="1:19" s="103" customFormat="1" x14ac:dyDescent="0.4">
      <c r="A28" s="159"/>
      <c r="B28" s="82">
        <v>16</v>
      </c>
      <c r="C28" s="159" t="s">
        <v>60</v>
      </c>
      <c r="E28" s="103" t="s">
        <v>18</v>
      </c>
      <c r="F28" s="103" t="s">
        <v>37</v>
      </c>
      <c r="G28" s="103" t="s">
        <v>58</v>
      </c>
      <c r="H28" s="207">
        <v>0.09</v>
      </c>
      <c r="I28" s="158">
        <v>36.880000000000003</v>
      </c>
      <c r="J28" s="105">
        <v>40</v>
      </c>
      <c r="K28" s="108">
        <f t="shared" ref="K28:K56" si="32">J28*52/12</f>
        <v>173.33333333333334</v>
      </c>
      <c r="L28" s="85">
        <f t="shared" si="28"/>
        <v>6392.5333333333338</v>
      </c>
      <c r="M28" s="85">
        <f t="shared" si="0"/>
        <v>6967.8613333333342</v>
      </c>
      <c r="N28" s="85">
        <f t="shared" si="1"/>
        <v>3483.9306666666671</v>
      </c>
      <c r="O28" s="195" t="s">
        <v>61</v>
      </c>
      <c r="P28" s="123"/>
      <c r="S28" s="107">
        <f>I28*J28*4*1.1</f>
        <v>6490.880000000001</v>
      </c>
    </row>
    <row r="29" spans="1:19" s="165" customFormat="1" x14ac:dyDescent="0.4">
      <c r="A29" s="190"/>
      <c r="B29" s="164"/>
      <c r="C29" s="190" t="s">
        <v>321</v>
      </c>
      <c r="E29" s="103" t="s">
        <v>18</v>
      </c>
      <c r="F29" s="103" t="s">
        <v>37</v>
      </c>
      <c r="G29" s="103" t="s">
        <v>58</v>
      </c>
      <c r="H29" s="212">
        <v>0.12</v>
      </c>
      <c r="I29" s="206">
        <f>I28*0.05</f>
        <v>1.8440000000000003</v>
      </c>
      <c r="J29" s="168">
        <v>40</v>
      </c>
      <c r="K29" s="169">
        <f t="shared" ref="K29" si="33">J29*52/12</f>
        <v>173.33333333333334</v>
      </c>
      <c r="L29" s="170">
        <f t="shared" si="28"/>
        <v>319.62666666666672</v>
      </c>
      <c r="M29" s="171">
        <f t="shared" si="0"/>
        <v>357.98186666666675</v>
      </c>
      <c r="N29" s="170">
        <f t="shared" ref="N29:N47" si="34">M29/2</f>
        <v>178.99093333333337</v>
      </c>
      <c r="O29" s="196" t="s">
        <v>331</v>
      </c>
      <c r="P29" s="172"/>
      <c r="S29" s="173"/>
    </row>
    <row r="30" spans="1:19" s="103" customFormat="1" x14ac:dyDescent="0.4">
      <c r="A30" s="159"/>
      <c r="B30" s="82">
        <v>19</v>
      </c>
      <c r="C30" s="159" t="s">
        <v>64</v>
      </c>
      <c r="E30" s="103" t="s">
        <v>18</v>
      </c>
      <c r="F30" s="103" t="s">
        <v>37</v>
      </c>
      <c r="G30" s="103" t="s">
        <v>58</v>
      </c>
      <c r="H30" s="207">
        <v>0.12</v>
      </c>
      <c r="I30" s="83">
        <v>18</v>
      </c>
      <c r="J30" s="105">
        <v>16</v>
      </c>
      <c r="K30" s="108">
        <f t="shared" si="32"/>
        <v>69.333333333333329</v>
      </c>
      <c r="L30" s="85">
        <f t="shared" si="28"/>
        <v>1248</v>
      </c>
      <c r="M30" s="85">
        <f t="shared" si="0"/>
        <v>1397.7600000000002</v>
      </c>
      <c r="N30" s="85">
        <f t="shared" si="34"/>
        <v>698.88000000000011</v>
      </c>
      <c r="O30" s="195" t="s">
        <v>63</v>
      </c>
      <c r="P30" s="123"/>
      <c r="S30" s="107">
        <f>I30*J30*4*1.1</f>
        <v>1267.2</v>
      </c>
    </row>
    <row r="31" spans="1:19" s="165" customFormat="1" x14ac:dyDescent="0.4">
      <c r="A31" s="190"/>
      <c r="B31" s="164"/>
      <c r="C31" s="190" t="s">
        <v>322</v>
      </c>
      <c r="E31" s="103" t="s">
        <v>18</v>
      </c>
      <c r="F31" s="103" t="s">
        <v>37</v>
      </c>
      <c r="G31" s="103" t="s">
        <v>58</v>
      </c>
      <c r="H31" s="212">
        <v>0.12</v>
      </c>
      <c r="I31" s="167">
        <v>3.3</v>
      </c>
      <c r="J31" s="168">
        <v>16</v>
      </c>
      <c r="K31" s="169">
        <f t="shared" si="32"/>
        <v>69.333333333333329</v>
      </c>
      <c r="L31" s="170">
        <f t="shared" si="28"/>
        <v>228.79999999999998</v>
      </c>
      <c r="M31" s="171">
        <f t="shared" si="0"/>
        <v>256.25600000000003</v>
      </c>
      <c r="N31" s="170">
        <f t="shared" si="34"/>
        <v>128.12800000000001</v>
      </c>
      <c r="O31" s="196" t="s">
        <v>331</v>
      </c>
      <c r="P31" s="172"/>
      <c r="S31" s="173"/>
    </row>
    <row r="32" spans="1:19" s="165" customFormat="1" x14ac:dyDescent="0.4">
      <c r="A32" s="190"/>
      <c r="B32" s="164"/>
      <c r="C32" s="190" t="s">
        <v>346</v>
      </c>
      <c r="E32" s="103" t="s">
        <v>18</v>
      </c>
      <c r="F32" s="103" t="s">
        <v>37</v>
      </c>
      <c r="G32" s="103" t="s">
        <v>58</v>
      </c>
      <c r="H32" s="212">
        <v>0.12</v>
      </c>
      <c r="I32" s="167">
        <v>21.3</v>
      </c>
      <c r="J32" s="168">
        <v>14</v>
      </c>
      <c r="K32" s="169">
        <f t="shared" ref="K32" si="35">J32*52/12</f>
        <v>60.666666666666664</v>
      </c>
      <c r="L32" s="170">
        <f t="shared" si="28"/>
        <v>1292.2</v>
      </c>
      <c r="M32" s="171">
        <f t="shared" si="0"/>
        <v>1447.2640000000001</v>
      </c>
      <c r="N32" s="170">
        <f t="shared" si="34"/>
        <v>723.63200000000006</v>
      </c>
      <c r="O32" s="196" t="s">
        <v>342</v>
      </c>
      <c r="P32" s="172"/>
      <c r="S32" s="173"/>
    </row>
    <row r="33" spans="1:19" s="103" customFormat="1" x14ac:dyDescent="0.4">
      <c r="A33" s="159"/>
      <c r="B33" s="82">
        <v>20</v>
      </c>
      <c r="C33" s="159" t="s">
        <v>65</v>
      </c>
      <c r="E33" s="103" t="s">
        <v>18</v>
      </c>
      <c r="F33" s="103" t="s">
        <v>37</v>
      </c>
      <c r="G33" s="103" t="s">
        <v>58</v>
      </c>
      <c r="H33" s="207">
        <v>0.08</v>
      </c>
      <c r="I33" s="83">
        <v>71.62</v>
      </c>
      <c r="J33" s="105">
        <v>40</v>
      </c>
      <c r="K33" s="108">
        <f t="shared" si="32"/>
        <v>173.33333333333334</v>
      </c>
      <c r="L33" s="85">
        <f t="shared" si="28"/>
        <v>12414.133333333335</v>
      </c>
      <c r="M33" s="85">
        <f t="shared" si="0"/>
        <v>13407.264000000003</v>
      </c>
      <c r="N33" s="85">
        <f t="shared" si="34"/>
        <v>6703.6320000000014</v>
      </c>
      <c r="O33" s="195" t="s">
        <v>66</v>
      </c>
      <c r="P33" s="123"/>
      <c r="S33" s="107">
        <f>I33*J33*4*1.1</f>
        <v>12605.120000000003</v>
      </c>
    </row>
    <row r="34" spans="1:19" s="165" customFormat="1" x14ac:dyDescent="0.4">
      <c r="A34" s="190"/>
      <c r="B34" s="164"/>
      <c r="C34" s="190" t="s">
        <v>323</v>
      </c>
      <c r="E34" s="103" t="s">
        <v>18</v>
      </c>
      <c r="F34" s="103" t="s">
        <v>37</v>
      </c>
      <c r="G34" s="103" t="s">
        <v>58</v>
      </c>
      <c r="H34" s="212">
        <v>0.08</v>
      </c>
      <c r="I34" s="167">
        <f>2.58+1.3</f>
        <v>3.88</v>
      </c>
      <c r="J34" s="168">
        <v>40</v>
      </c>
      <c r="K34" s="169">
        <f t="shared" ref="K34" si="36">J34*52/12</f>
        <v>173.33333333333334</v>
      </c>
      <c r="L34" s="170">
        <f t="shared" si="28"/>
        <v>672.5333333333333</v>
      </c>
      <c r="M34" s="171">
        <f t="shared" si="0"/>
        <v>726.33600000000001</v>
      </c>
      <c r="N34" s="170">
        <f t="shared" si="34"/>
        <v>363.16800000000001</v>
      </c>
      <c r="O34" s="196" t="s">
        <v>331</v>
      </c>
      <c r="P34" s="172"/>
      <c r="S34" s="173"/>
    </row>
    <row r="35" spans="1:19" s="103" customFormat="1" x14ac:dyDescent="0.4">
      <c r="A35" s="159"/>
      <c r="B35" s="82">
        <v>22</v>
      </c>
      <c r="C35" s="159" t="s">
        <v>69</v>
      </c>
      <c r="E35" s="103" t="s">
        <v>18</v>
      </c>
      <c r="F35" s="103" t="s">
        <v>37</v>
      </c>
      <c r="G35" s="103" t="s">
        <v>58</v>
      </c>
      <c r="H35" s="207">
        <v>0.1</v>
      </c>
      <c r="I35" s="158">
        <v>54.22</v>
      </c>
      <c r="J35" s="105">
        <v>40</v>
      </c>
      <c r="K35" s="108">
        <f t="shared" si="32"/>
        <v>173.33333333333334</v>
      </c>
      <c r="L35" s="85">
        <f t="shared" si="28"/>
        <v>9398.1333333333332</v>
      </c>
      <c r="M35" s="85">
        <f t="shared" ref="M35:M56" si="37">L35*(1+H35)</f>
        <v>10337.946666666667</v>
      </c>
      <c r="N35" s="85">
        <f t="shared" si="34"/>
        <v>5168.9733333333334</v>
      </c>
      <c r="O35" s="195" t="s">
        <v>61</v>
      </c>
      <c r="P35" s="123"/>
      <c r="S35" s="107">
        <f>I35*J35*4*1.1</f>
        <v>9542.7200000000012</v>
      </c>
    </row>
    <row r="36" spans="1:19" s="165" customFormat="1" x14ac:dyDescent="0.4">
      <c r="A36" s="190"/>
      <c r="B36" s="164"/>
      <c r="C36" s="190" t="s">
        <v>324</v>
      </c>
      <c r="E36" s="103" t="s">
        <v>18</v>
      </c>
      <c r="F36" s="103" t="s">
        <v>37</v>
      </c>
      <c r="G36" s="103" t="s">
        <v>58</v>
      </c>
      <c r="H36" s="212">
        <v>0.1</v>
      </c>
      <c r="I36" s="206">
        <v>2.71</v>
      </c>
      <c r="J36" s="168">
        <v>40</v>
      </c>
      <c r="K36" s="169">
        <f t="shared" si="32"/>
        <v>173.33333333333334</v>
      </c>
      <c r="L36" s="170">
        <f t="shared" si="28"/>
        <v>469.73333333333335</v>
      </c>
      <c r="M36" s="171">
        <f t="shared" si="37"/>
        <v>516.70666666666671</v>
      </c>
      <c r="N36" s="170">
        <f t="shared" si="34"/>
        <v>258.35333333333335</v>
      </c>
      <c r="O36" s="196" t="s">
        <v>331</v>
      </c>
      <c r="P36" s="172"/>
      <c r="S36" s="173"/>
    </row>
    <row r="37" spans="1:19" s="103" customFormat="1" x14ac:dyDescent="0.4">
      <c r="A37" s="159"/>
      <c r="B37" s="82">
        <v>23</v>
      </c>
      <c r="C37" s="159" t="s">
        <v>70</v>
      </c>
      <c r="E37" s="103" t="s">
        <v>18</v>
      </c>
      <c r="F37" s="103" t="s">
        <v>37</v>
      </c>
      <c r="G37" s="103" t="s">
        <v>58</v>
      </c>
      <c r="H37" s="207">
        <v>0.08</v>
      </c>
      <c r="I37" s="158">
        <v>38</v>
      </c>
      <c r="J37" s="105">
        <v>40</v>
      </c>
      <c r="K37" s="108">
        <f t="shared" si="32"/>
        <v>173.33333333333334</v>
      </c>
      <c r="L37" s="85">
        <f t="shared" si="28"/>
        <v>6586.666666666667</v>
      </c>
      <c r="M37" s="85">
        <f t="shared" si="37"/>
        <v>7113.6</v>
      </c>
      <c r="N37" s="85">
        <f t="shared" si="34"/>
        <v>3556.8</v>
      </c>
      <c r="O37" s="195" t="s">
        <v>72</v>
      </c>
      <c r="P37" s="123"/>
      <c r="S37" s="107">
        <f>I37*J37*4*1.1</f>
        <v>6688.0000000000009</v>
      </c>
    </row>
    <row r="38" spans="1:19" s="165" customFormat="1" x14ac:dyDescent="0.4">
      <c r="A38" s="190"/>
      <c r="B38" s="164"/>
      <c r="C38" s="190" t="s">
        <v>325</v>
      </c>
      <c r="E38" s="103" t="s">
        <v>18</v>
      </c>
      <c r="F38" s="103" t="s">
        <v>37</v>
      </c>
      <c r="G38" s="103" t="s">
        <v>58</v>
      </c>
      <c r="H38" s="212">
        <v>0.08</v>
      </c>
      <c r="I38" s="206">
        <v>1.9</v>
      </c>
      <c r="J38" s="168">
        <v>40</v>
      </c>
      <c r="K38" s="169">
        <f t="shared" si="32"/>
        <v>173.33333333333334</v>
      </c>
      <c r="L38" s="170">
        <f t="shared" si="28"/>
        <v>329.33333333333331</v>
      </c>
      <c r="M38" s="171">
        <f t="shared" si="37"/>
        <v>355.68</v>
      </c>
      <c r="N38" s="170">
        <f t="shared" si="34"/>
        <v>177.84</v>
      </c>
      <c r="O38" s="196" t="s">
        <v>331</v>
      </c>
      <c r="P38" s="172"/>
      <c r="S38" s="173"/>
    </row>
    <row r="39" spans="1:19" s="103" customFormat="1" x14ac:dyDescent="0.4">
      <c r="A39" s="159"/>
      <c r="B39" s="82">
        <v>25</v>
      </c>
      <c r="C39" s="159" t="s">
        <v>75</v>
      </c>
      <c r="E39" s="103" t="s">
        <v>18</v>
      </c>
      <c r="F39" s="103" t="s">
        <v>37</v>
      </c>
      <c r="G39" s="103" t="s">
        <v>58</v>
      </c>
      <c r="H39" s="207">
        <v>0.13</v>
      </c>
      <c r="I39" s="158">
        <v>22.5</v>
      </c>
      <c r="J39" s="105">
        <v>40</v>
      </c>
      <c r="K39" s="108">
        <f t="shared" si="32"/>
        <v>173.33333333333334</v>
      </c>
      <c r="L39" s="85">
        <f t="shared" si="28"/>
        <v>3900</v>
      </c>
      <c r="M39" s="85">
        <f t="shared" si="37"/>
        <v>4407</v>
      </c>
      <c r="N39" s="85">
        <f t="shared" si="34"/>
        <v>2203.5</v>
      </c>
      <c r="O39" s="195" t="s">
        <v>72</v>
      </c>
      <c r="P39" s="123"/>
      <c r="S39" s="107">
        <f>I39*J39*4*1.1</f>
        <v>3960.0000000000005</v>
      </c>
    </row>
    <row r="40" spans="1:19" s="165" customFormat="1" x14ac:dyDescent="0.4">
      <c r="A40" s="190"/>
      <c r="B40" s="164"/>
      <c r="C40" s="190" t="s">
        <v>326</v>
      </c>
      <c r="E40" s="103" t="s">
        <v>18</v>
      </c>
      <c r="F40" s="103" t="s">
        <v>37</v>
      </c>
      <c r="G40" s="103" t="s">
        <v>58</v>
      </c>
      <c r="H40" s="212">
        <v>0.13</v>
      </c>
      <c r="I40" s="206">
        <v>1.1299999999999999</v>
      </c>
      <c r="J40" s="168">
        <v>40</v>
      </c>
      <c r="K40" s="169">
        <f t="shared" si="32"/>
        <v>173.33333333333334</v>
      </c>
      <c r="L40" s="170">
        <f t="shared" si="28"/>
        <v>195.86666666666665</v>
      </c>
      <c r="M40" s="171">
        <f t="shared" si="37"/>
        <v>221.3293333333333</v>
      </c>
      <c r="N40" s="170">
        <f t="shared" si="34"/>
        <v>110.66466666666665</v>
      </c>
      <c r="O40" s="196" t="s">
        <v>331</v>
      </c>
      <c r="P40" s="172"/>
      <c r="S40" s="173"/>
    </row>
    <row r="41" spans="1:19" s="103" customFormat="1" x14ac:dyDescent="0.4">
      <c r="A41" s="159"/>
      <c r="B41" s="82">
        <v>27</v>
      </c>
      <c r="C41" s="159" t="s">
        <v>76</v>
      </c>
      <c r="E41" s="103" t="s">
        <v>18</v>
      </c>
      <c r="F41" s="103" t="s">
        <v>37</v>
      </c>
      <c r="G41" s="103" t="s">
        <v>58</v>
      </c>
      <c r="H41" s="207">
        <v>0.08</v>
      </c>
      <c r="I41" s="158">
        <v>52.01</v>
      </c>
      <c r="J41" s="105">
        <v>40</v>
      </c>
      <c r="K41" s="108">
        <f t="shared" si="32"/>
        <v>173.33333333333334</v>
      </c>
      <c r="L41" s="85">
        <f t="shared" si="28"/>
        <v>9015.0666666666675</v>
      </c>
      <c r="M41" s="85">
        <f t="shared" si="37"/>
        <v>9736.2720000000008</v>
      </c>
      <c r="N41" s="85">
        <f t="shared" si="34"/>
        <v>4868.1360000000004</v>
      </c>
      <c r="O41" s="195" t="s">
        <v>61</v>
      </c>
      <c r="P41" s="123"/>
      <c r="S41" s="107">
        <f>I41*J41*4*1.1</f>
        <v>9153.760000000002</v>
      </c>
    </row>
    <row r="42" spans="1:19" s="165" customFormat="1" x14ac:dyDescent="0.4">
      <c r="A42" s="190"/>
      <c r="B42" s="164"/>
      <c r="C42" s="190" t="s">
        <v>327</v>
      </c>
      <c r="E42" s="103" t="s">
        <v>18</v>
      </c>
      <c r="F42" s="103" t="s">
        <v>37</v>
      </c>
      <c r="G42" s="103" t="s">
        <v>58</v>
      </c>
      <c r="H42" s="212">
        <v>0.08</v>
      </c>
      <c r="I42" s="206">
        <v>2.6</v>
      </c>
      <c r="J42" s="168">
        <v>40</v>
      </c>
      <c r="K42" s="169">
        <f t="shared" si="32"/>
        <v>173.33333333333334</v>
      </c>
      <c r="L42" s="170">
        <f t="shared" si="28"/>
        <v>450.66666666666669</v>
      </c>
      <c r="M42" s="171">
        <f t="shared" si="37"/>
        <v>486.72</v>
      </c>
      <c r="N42" s="170">
        <f t="shared" si="34"/>
        <v>243.36</v>
      </c>
      <c r="O42" s="196" t="s">
        <v>331</v>
      </c>
      <c r="P42" s="172"/>
      <c r="S42" s="173"/>
    </row>
    <row r="43" spans="1:19" s="159" customFormat="1" x14ac:dyDescent="0.4">
      <c r="B43" s="157">
        <v>28</v>
      </c>
      <c r="C43" s="159" t="s">
        <v>77</v>
      </c>
      <c r="E43" s="159" t="s">
        <v>18</v>
      </c>
      <c r="F43" s="159" t="s">
        <v>49</v>
      </c>
      <c r="G43" s="159" t="s">
        <v>58</v>
      </c>
      <c r="H43" s="207">
        <v>0.09</v>
      </c>
      <c r="I43" s="158">
        <v>27.5</v>
      </c>
      <c r="J43" s="208">
        <v>40</v>
      </c>
      <c r="K43" s="155">
        <f t="shared" si="32"/>
        <v>173.33333333333334</v>
      </c>
      <c r="L43" s="156">
        <f t="shared" si="28"/>
        <v>4766.666666666667</v>
      </c>
      <c r="M43" s="156">
        <f t="shared" si="37"/>
        <v>5195.666666666667</v>
      </c>
      <c r="N43" s="156">
        <f t="shared" si="34"/>
        <v>2597.8333333333335</v>
      </c>
      <c r="O43" s="199" t="s">
        <v>351</v>
      </c>
      <c r="P43" s="160"/>
      <c r="S43" s="161">
        <f>I43*J43*4*1.1</f>
        <v>4840</v>
      </c>
    </row>
    <row r="44" spans="1:19" s="103" customFormat="1" x14ac:dyDescent="0.4">
      <c r="A44" s="159"/>
      <c r="B44" s="82">
        <v>31</v>
      </c>
      <c r="C44" s="103" t="s">
        <v>80</v>
      </c>
      <c r="E44" s="103" t="s">
        <v>18</v>
      </c>
      <c r="F44" s="103" t="s">
        <v>74</v>
      </c>
      <c r="G44" s="103" t="s">
        <v>58</v>
      </c>
      <c r="H44" s="207">
        <v>0.14000000000000001</v>
      </c>
      <c r="I44" s="83">
        <v>45.67</v>
      </c>
      <c r="J44" s="105">
        <v>40</v>
      </c>
      <c r="K44" s="108">
        <f t="shared" si="32"/>
        <v>173.33333333333334</v>
      </c>
      <c r="L44" s="85">
        <f t="shared" si="28"/>
        <v>7916.1333333333341</v>
      </c>
      <c r="M44" s="85">
        <f t="shared" si="37"/>
        <v>9024.3920000000016</v>
      </c>
      <c r="N44" s="85">
        <f t="shared" si="34"/>
        <v>4512.1960000000008</v>
      </c>
      <c r="O44" s="195" t="s">
        <v>72</v>
      </c>
      <c r="P44" s="211"/>
      <c r="S44" s="107">
        <f>I44*J44*4*1.1</f>
        <v>8037.9200000000019</v>
      </c>
    </row>
    <row r="45" spans="1:19" s="218" customFormat="1" x14ac:dyDescent="0.4">
      <c r="A45" s="224"/>
      <c r="B45" s="219"/>
      <c r="C45" s="218" t="s">
        <v>80</v>
      </c>
      <c r="E45" s="218" t="s">
        <v>18</v>
      </c>
      <c r="F45" s="218" t="s">
        <v>74</v>
      </c>
      <c r="G45" s="218" t="s">
        <v>58</v>
      </c>
      <c r="H45" s="226">
        <v>0.14000000000000001</v>
      </c>
      <c r="I45" s="153">
        <v>45.67</v>
      </c>
      <c r="J45" s="221">
        <v>-40</v>
      </c>
      <c r="K45" s="222">
        <f t="shared" ref="K45" si="38">J45*52/12</f>
        <v>-173.33333333333334</v>
      </c>
      <c r="L45" s="149">
        <f t="shared" ref="L45" si="39">I45*K45</f>
        <v>-7916.1333333333341</v>
      </c>
      <c r="M45" s="149">
        <f t="shared" ref="M45" si="40">L45*(1+H45)</f>
        <v>-9024.3920000000016</v>
      </c>
      <c r="N45" s="149">
        <f t="shared" ref="N45" si="41">M45/2</f>
        <v>-4512.1960000000008</v>
      </c>
      <c r="O45" s="225" t="s">
        <v>370</v>
      </c>
      <c r="P45" s="227"/>
      <c r="S45" s="223"/>
    </row>
    <row r="46" spans="1:19" s="103" customFormat="1" x14ac:dyDescent="0.4">
      <c r="A46" s="159"/>
      <c r="B46" s="82"/>
      <c r="C46" s="103" t="s">
        <v>293</v>
      </c>
      <c r="E46" s="103" t="s">
        <v>18</v>
      </c>
      <c r="F46" s="103" t="s">
        <v>84</v>
      </c>
      <c r="G46" s="103" t="s">
        <v>58</v>
      </c>
      <c r="H46" s="207">
        <v>0.1</v>
      </c>
      <c r="I46" s="83">
        <v>27</v>
      </c>
      <c r="J46" s="105">
        <v>20</v>
      </c>
      <c r="K46" s="108">
        <f t="shared" si="32"/>
        <v>86.666666666666671</v>
      </c>
      <c r="L46" s="85">
        <f t="shared" si="28"/>
        <v>2340</v>
      </c>
      <c r="M46" s="85">
        <f t="shared" si="37"/>
        <v>2574</v>
      </c>
      <c r="N46" s="85">
        <f t="shared" si="34"/>
        <v>1287</v>
      </c>
      <c r="O46" s="195" t="s">
        <v>288</v>
      </c>
      <c r="P46" s="123"/>
      <c r="S46" s="107"/>
    </row>
    <row r="47" spans="1:19" s="103" customFormat="1" x14ac:dyDescent="0.4">
      <c r="A47" s="159"/>
      <c r="B47" s="82"/>
      <c r="C47" s="103" t="s">
        <v>298</v>
      </c>
      <c r="E47" s="103" t="s">
        <v>18</v>
      </c>
      <c r="F47" s="103" t="s">
        <v>84</v>
      </c>
      <c r="G47" s="103" t="s">
        <v>58</v>
      </c>
      <c r="H47" s="207">
        <v>0.1</v>
      </c>
      <c r="I47" s="83">
        <v>27</v>
      </c>
      <c r="J47" s="105">
        <v>20</v>
      </c>
      <c r="K47" s="108">
        <f t="shared" si="32"/>
        <v>86.666666666666671</v>
      </c>
      <c r="L47" s="85">
        <f t="shared" si="28"/>
        <v>2340</v>
      </c>
      <c r="M47" s="85">
        <f t="shared" si="37"/>
        <v>2574</v>
      </c>
      <c r="N47" s="85">
        <f t="shared" si="34"/>
        <v>1287</v>
      </c>
      <c r="O47" s="195" t="s">
        <v>288</v>
      </c>
      <c r="P47" s="123"/>
      <c r="S47" s="107"/>
    </row>
    <row r="48" spans="1:19" x14ac:dyDescent="0.4">
      <c r="A48"/>
      <c r="B48" s="1">
        <v>35</v>
      </c>
      <c r="C48" t="s">
        <v>88</v>
      </c>
      <c r="E48" t="s">
        <v>18</v>
      </c>
      <c r="F48" t="s">
        <v>89</v>
      </c>
      <c r="G48" t="s">
        <v>58</v>
      </c>
      <c r="H48" s="93">
        <v>0.14000000000000001</v>
      </c>
      <c r="I48" s="2">
        <v>35</v>
      </c>
      <c r="J48" s="81">
        <v>7</v>
      </c>
      <c r="K48" s="108">
        <f t="shared" si="32"/>
        <v>30.333333333333332</v>
      </c>
      <c r="L48" s="85">
        <f t="shared" si="28"/>
        <v>1061.6666666666665</v>
      </c>
      <c r="M48" s="84">
        <f t="shared" si="37"/>
        <v>1210.3</v>
      </c>
      <c r="N48" s="42">
        <f>M48/2</f>
        <v>605.15</v>
      </c>
      <c r="P48"/>
      <c r="S48" s="86">
        <f>I48*J48*4*1.1</f>
        <v>1078</v>
      </c>
    </row>
    <row r="49" spans="1:19" x14ac:dyDescent="0.4">
      <c r="A49"/>
      <c r="B49" s="1">
        <v>36</v>
      </c>
      <c r="C49" t="s">
        <v>93</v>
      </c>
      <c r="E49" t="s">
        <v>18</v>
      </c>
      <c r="F49" t="s">
        <v>89</v>
      </c>
      <c r="G49" t="s">
        <v>58</v>
      </c>
      <c r="H49" s="93">
        <v>0.1</v>
      </c>
      <c r="I49" s="2">
        <v>35</v>
      </c>
      <c r="J49" s="81">
        <v>20</v>
      </c>
      <c r="K49" s="108">
        <f t="shared" si="32"/>
        <v>86.666666666666671</v>
      </c>
      <c r="L49" s="85">
        <f t="shared" si="28"/>
        <v>3033.3333333333335</v>
      </c>
      <c r="M49" s="84">
        <f t="shared" si="37"/>
        <v>3336.666666666667</v>
      </c>
      <c r="N49" s="42">
        <f>M49/2</f>
        <v>1668.3333333333335</v>
      </c>
      <c r="P49"/>
      <c r="S49" s="86">
        <f>I49*J49*4*1.1</f>
        <v>3080.0000000000005</v>
      </c>
    </row>
    <row r="50" spans="1:19" s="103" customFormat="1" x14ac:dyDescent="0.4">
      <c r="A50" s="159"/>
      <c r="B50" s="82">
        <v>36</v>
      </c>
      <c r="C50" s="159" t="s">
        <v>93</v>
      </c>
      <c r="E50" s="103" t="s">
        <v>18</v>
      </c>
      <c r="F50" s="103" t="s">
        <v>37</v>
      </c>
      <c r="G50" s="103" t="s">
        <v>58</v>
      </c>
      <c r="H50" s="207">
        <v>0.1</v>
      </c>
      <c r="I50" s="83">
        <v>35</v>
      </c>
      <c r="J50" s="105">
        <v>30</v>
      </c>
      <c r="K50" s="108">
        <f t="shared" si="32"/>
        <v>130</v>
      </c>
      <c r="L50" s="85">
        <f t="shared" si="28"/>
        <v>4550</v>
      </c>
      <c r="M50" s="85">
        <f t="shared" si="37"/>
        <v>5005</v>
      </c>
      <c r="N50" s="85">
        <f t="shared" ref="N50:N56" si="42">M50/2</f>
        <v>2502.5</v>
      </c>
      <c r="O50" s="195" t="s">
        <v>288</v>
      </c>
      <c r="S50" s="107"/>
    </row>
    <row r="51" spans="1:19" s="165" customFormat="1" x14ac:dyDescent="0.4">
      <c r="A51" s="190"/>
      <c r="B51" s="164"/>
      <c r="C51" s="190" t="s">
        <v>328</v>
      </c>
      <c r="E51" s="103" t="s">
        <v>18</v>
      </c>
      <c r="F51" s="103" t="s">
        <v>37</v>
      </c>
      <c r="G51" s="103" t="s">
        <v>58</v>
      </c>
      <c r="H51" s="212">
        <v>0.1</v>
      </c>
      <c r="I51" s="206">
        <f>I50*0.05</f>
        <v>1.75</v>
      </c>
      <c r="J51" s="168">
        <v>30</v>
      </c>
      <c r="K51" s="169">
        <f t="shared" si="32"/>
        <v>130</v>
      </c>
      <c r="L51" s="170">
        <f t="shared" si="28"/>
        <v>227.5</v>
      </c>
      <c r="M51" s="171">
        <f t="shared" si="37"/>
        <v>250.25000000000003</v>
      </c>
      <c r="N51" s="170">
        <f t="shared" si="42"/>
        <v>125.12500000000001</v>
      </c>
      <c r="O51" s="196" t="s">
        <v>331</v>
      </c>
      <c r="S51" s="173"/>
    </row>
    <row r="52" spans="1:19" s="103" customFormat="1" x14ac:dyDescent="0.4">
      <c r="A52" s="159"/>
      <c r="B52" s="82">
        <v>37</v>
      </c>
      <c r="C52" s="159" t="s">
        <v>94</v>
      </c>
      <c r="E52" s="103" t="s">
        <v>18</v>
      </c>
      <c r="F52" s="103" t="s">
        <v>19</v>
      </c>
      <c r="G52" s="103" t="s">
        <v>58</v>
      </c>
      <c r="H52" s="207">
        <v>0.12</v>
      </c>
      <c r="I52" s="83">
        <v>18</v>
      </c>
      <c r="J52" s="105">
        <v>13</v>
      </c>
      <c r="K52" s="108">
        <f t="shared" si="32"/>
        <v>56.333333333333336</v>
      </c>
      <c r="L52" s="85">
        <f t="shared" si="28"/>
        <v>1014</v>
      </c>
      <c r="M52" s="85">
        <f t="shared" si="37"/>
        <v>1135.68</v>
      </c>
      <c r="N52" s="85">
        <f t="shared" si="42"/>
        <v>567.84</v>
      </c>
      <c r="O52" s="195"/>
      <c r="P52" s="123"/>
      <c r="S52" s="107">
        <f>I52*J52*4*1.1</f>
        <v>1029.6000000000001</v>
      </c>
    </row>
    <row r="53" spans="1:19" s="165" customFormat="1" x14ac:dyDescent="0.4">
      <c r="A53" s="190"/>
      <c r="B53" s="164"/>
      <c r="C53" s="190" t="s">
        <v>329</v>
      </c>
      <c r="E53" s="165" t="s">
        <v>18</v>
      </c>
      <c r="F53" s="165" t="s">
        <v>19</v>
      </c>
      <c r="G53" s="165" t="s">
        <v>58</v>
      </c>
      <c r="H53" s="212">
        <v>0.12</v>
      </c>
      <c r="I53" s="206">
        <v>2</v>
      </c>
      <c r="J53" s="168">
        <v>13</v>
      </c>
      <c r="K53" s="169">
        <f t="shared" si="32"/>
        <v>56.333333333333336</v>
      </c>
      <c r="L53" s="170">
        <f t="shared" si="28"/>
        <v>112.66666666666667</v>
      </c>
      <c r="M53" s="171">
        <f t="shared" si="37"/>
        <v>126.18666666666668</v>
      </c>
      <c r="N53" s="170">
        <f t="shared" si="42"/>
        <v>63.093333333333341</v>
      </c>
      <c r="O53" s="196" t="s">
        <v>331</v>
      </c>
      <c r="P53" s="172"/>
      <c r="S53" s="173"/>
    </row>
    <row r="54" spans="1:19" s="165" customFormat="1" x14ac:dyDescent="0.4">
      <c r="A54" s="190"/>
      <c r="B54" s="164"/>
      <c r="C54" s="190" t="s">
        <v>347</v>
      </c>
      <c r="E54" s="165" t="s">
        <v>18</v>
      </c>
      <c r="F54" s="165" t="s">
        <v>19</v>
      </c>
      <c r="G54" s="165" t="s">
        <v>58</v>
      </c>
      <c r="H54" s="212">
        <v>0.12</v>
      </c>
      <c r="I54" s="206">
        <v>20</v>
      </c>
      <c r="J54" s="168">
        <v>14.5</v>
      </c>
      <c r="K54" s="169">
        <f t="shared" ref="K54" si="43">J54*52/12</f>
        <v>62.833333333333336</v>
      </c>
      <c r="L54" s="170">
        <f t="shared" si="28"/>
        <v>1256.6666666666667</v>
      </c>
      <c r="M54" s="171">
        <f t="shared" si="37"/>
        <v>1407.4666666666669</v>
      </c>
      <c r="N54" s="170">
        <f t="shared" si="42"/>
        <v>703.73333333333346</v>
      </c>
      <c r="O54" s="196" t="s">
        <v>331</v>
      </c>
      <c r="P54" s="172"/>
      <c r="S54" s="173"/>
    </row>
    <row r="55" spans="1:19" s="165" customFormat="1" x14ac:dyDescent="0.4">
      <c r="A55" s="190"/>
      <c r="B55" s="164"/>
      <c r="C55" s="165" t="s">
        <v>330</v>
      </c>
      <c r="E55" s="165" t="s">
        <v>18</v>
      </c>
      <c r="F55" s="165" t="s">
        <v>49</v>
      </c>
      <c r="G55" s="165" t="s">
        <v>58</v>
      </c>
      <c r="H55" s="212">
        <v>0.14000000000000001</v>
      </c>
      <c r="I55" s="167">
        <v>20</v>
      </c>
      <c r="J55" s="168">
        <v>30</v>
      </c>
      <c r="K55" s="169">
        <f t="shared" ref="K55" si="44">J55*52/12</f>
        <v>130</v>
      </c>
      <c r="L55" s="170">
        <f t="shared" si="28"/>
        <v>2600</v>
      </c>
      <c r="M55" s="171">
        <f t="shared" si="37"/>
        <v>2964.0000000000005</v>
      </c>
      <c r="N55" s="170">
        <f t="shared" si="42"/>
        <v>1482.0000000000002</v>
      </c>
      <c r="O55" s="196" t="s">
        <v>331</v>
      </c>
      <c r="P55" s="172"/>
      <c r="S55" s="173"/>
    </row>
    <row r="56" spans="1:19" s="103" customFormat="1" ht="14.25" customHeight="1" x14ac:dyDescent="0.4">
      <c r="A56" s="159"/>
      <c r="B56" s="82"/>
      <c r="C56" s="103" t="s">
        <v>319</v>
      </c>
      <c r="E56" s="103" t="s">
        <v>18</v>
      </c>
      <c r="F56" s="103" t="s">
        <v>49</v>
      </c>
      <c r="G56" s="103" t="s">
        <v>58</v>
      </c>
      <c r="H56" s="207">
        <v>0.14000000000000001</v>
      </c>
      <c r="I56" s="83">
        <v>20</v>
      </c>
      <c r="J56" s="105">
        <v>10</v>
      </c>
      <c r="K56" s="108">
        <f t="shared" si="32"/>
        <v>43.333333333333336</v>
      </c>
      <c r="L56" s="85">
        <f t="shared" si="28"/>
        <v>866.66666666666674</v>
      </c>
      <c r="M56" s="85">
        <f t="shared" si="37"/>
        <v>988.00000000000023</v>
      </c>
      <c r="N56" s="85">
        <f t="shared" si="42"/>
        <v>494.00000000000011</v>
      </c>
      <c r="O56" s="195"/>
      <c r="P56" s="123"/>
      <c r="S56" s="107">
        <f>I56*J56*4*1.1</f>
        <v>880.00000000000011</v>
      </c>
    </row>
    <row r="57" spans="1:19" x14ac:dyDescent="0.4">
      <c r="C57" t="s">
        <v>100</v>
      </c>
      <c r="E57" t="s">
        <v>18</v>
      </c>
      <c r="F57" t="s">
        <v>49</v>
      </c>
      <c r="G57" t="s">
        <v>27</v>
      </c>
      <c r="H57" s="80">
        <v>0.1</v>
      </c>
      <c r="I57" s="2">
        <v>40</v>
      </c>
      <c r="J57" s="205">
        <v>2.5</v>
      </c>
      <c r="K57" s="108">
        <f>J57*4</f>
        <v>10</v>
      </c>
      <c r="L57" s="85">
        <f t="shared" si="28"/>
        <v>400</v>
      </c>
      <c r="M57" s="84">
        <f>L57</f>
        <v>400</v>
      </c>
      <c r="N57" s="42">
        <f t="shared" ref="N57:N96" si="45">M57/2</f>
        <v>200</v>
      </c>
      <c r="O57" s="37" t="s">
        <v>101</v>
      </c>
      <c r="S57" s="86"/>
    </row>
    <row r="58" spans="1:19" x14ac:dyDescent="0.4">
      <c r="C58" t="s">
        <v>102</v>
      </c>
      <c r="E58" t="s">
        <v>18</v>
      </c>
      <c r="F58" t="s">
        <v>74</v>
      </c>
      <c r="G58" t="s">
        <v>41</v>
      </c>
      <c r="H58" s="39">
        <v>0.01</v>
      </c>
      <c r="I58" s="2">
        <v>26</v>
      </c>
      <c r="J58" s="116">
        <v>40</v>
      </c>
      <c r="K58" s="108">
        <f>J58*52/12</f>
        <v>173.33333333333334</v>
      </c>
      <c r="L58" s="85">
        <f t="shared" si="28"/>
        <v>4506.666666666667</v>
      </c>
      <c r="M58" s="84">
        <f>L58*(1+H58)</f>
        <v>4551.7333333333336</v>
      </c>
      <c r="N58" s="42">
        <f t="shared" si="45"/>
        <v>2275.8666666666668</v>
      </c>
      <c r="O58" s="37" t="s">
        <v>318</v>
      </c>
    </row>
    <row r="59" spans="1:19" x14ac:dyDescent="0.4">
      <c r="C59" t="s">
        <v>377</v>
      </c>
      <c r="E59" t="s">
        <v>18</v>
      </c>
      <c r="F59" t="s">
        <v>74</v>
      </c>
      <c r="G59" t="s">
        <v>41</v>
      </c>
      <c r="H59" s="39">
        <v>0.01</v>
      </c>
      <c r="I59" s="2">
        <v>8</v>
      </c>
      <c r="J59" s="116">
        <v>40</v>
      </c>
      <c r="K59" s="108">
        <f>J59*52/12</f>
        <v>173.33333333333334</v>
      </c>
      <c r="L59" s="85">
        <f t="shared" ref="L59" si="46">I59*K59</f>
        <v>1386.6666666666667</v>
      </c>
      <c r="M59" s="84">
        <f>L59*(1+H59)</f>
        <v>1400.5333333333335</v>
      </c>
      <c r="N59" s="42">
        <f t="shared" ref="N59" si="47">M59/2</f>
        <v>700.26666666666677</v>
      </c>
    </row>
    <row r="60" spans="1:19" x14ac:dyDescent="0.4">
      <c r="C60" t="s">
        <v>103</v>
      </c>
      <c r="E60" t="s">
        <v>104</v>
      </c>
      <c r="F60" t="s">
        <v>19</v>
      </c>
      <c r="G60" t="s">
        <v>105</v>
      </c>
      <c r="H60" s="1" t="s">
        <v>106</v>
      </c>
      <c r="M60" s="87">
        <v>675</v>
      </c>
      <c r="N60" s="42">
        <f t="shared" si="45"/>
        <v>337.5</v>
      </c>
      <c r="O60" s="37" t="s">
        <v>345</v>
      </c>
    </row>
    <row r="61" spans="1:19" x14ac:dyDescent="0.4">
      <c r="C61" t="s">
        <v>108</v>
      </c>
      <c r="E61" t="s">
        <v>104</v>
      </c>
      <c r="F61" t="s">
        <v>19</v>
      </c>
      <c r="G61" t="s">
        <v>105</v>
      </c>
      <c r="H61" s="1" t="s">
        <v>106</v>
      </c>
      <c r="M61" s="87">
        <v>4914</v>
      </c>
      <c r="N61" s="42">
        <f t="shared" si="45"/>
        <v>2457</v>
      </c>
      <c r="O61" s="196" t="s">
        <v>352</v>
      </c>
    </row>
    <row r="62" spans="1:19" x14ac:dyDescent="0.4">
      <c r="C62" t="s">
        <v>110</v>
      </c>
      <c r="E62" t="s">
        <v>104</v>
      </c>
      <c r="F62" t="s">
        <v>111</v>
      </c>
      <c r="G62" t="s">
        <v>112</v>
      </c>
      <c r="H62" s="1" t="s">
        <v>106</v>
      </c>
      <c r="M62" s="87">
        <v>2200</v>
      </c>
      <c r="N62" s="42">
        <f t="shared" si="45"/>
        <v>1100</v>
      </c>
      <c r="O62" s="37" t="s">
        <v>113</v>
      </c>
    </row>
    <row r="63" spans="1:19" x14ac:dyDescent="0.4">
      <c r="C63" t="s">
        <v>114</v>
      </c>
      <c r="E63" t="s">
        <v>104</v>
      </c>
      <c r="F63" t="s">
        <v>111</v>
      </c>
      <c r="G63" t="s">
        <v>112</v>
      </c>
      <c r="H63" s="1" t="s">
        <v>106</v>
      </c>
      <c r="M63" s="87">
        <v>10406</v>
      </c>
      <c r="N63" s="42">
        <f t="shared" si="45"/>
        <v>5203</v>
      </c>
      <c r="O63" s="37" t="s">
        <v>376</v>
      </c>
    </row>
    <row r="64" spans="1:19" s="28" customFormat="1" x14ac:dyDescent="0.4">
      <c r="B64" s="92"/>
      <c r="C64" s="28" t="s">
        <v>116</v>
      </c>
      <c r="E64" s="28" t="s">
        <v>104</v>
      </c>
      <c r="F64" s="28" t="s">
        <v>111</v>
      </c>
      <c r="G64" s="28" t="s">
        <v>112</v>
      </c>
      <c r="H64" s="92" t="s">
        <v>106</v>
      </c>
      <c r="M64" s="209">
        <v>-512</v>
      </c>
      <c r="N64" s="100">
        <f t="shared" si="45"/>
        <v>-256</v>
      </c>
      <c r="O64" s="203" t="s">
        <v>308</v>
      </c>
      <c r="P64" s="125"/>
    </row>
    <row r="65" spans="1:19" x14ac:dyDescent="0.4">
      <c r="C65" t="s">
        <v>303</v>
      </c>
      <c r="E65" t="s">
        <v>104</v>
      </c>
      <c r="F65" t="s">
        <v>111</v>
      </c>
      <c r="G65" t="s">
        <v>119</v>
      </c>
      <c r="H65" s="1" t="s">
        <v>106</v>
      </c>
      <c r="M65" s="87">
        <v>889</v>
      </c>
      <c r="N65" s="42">
        <f t="shared" si="45"/>
        <v>444.5</v>
      </c>
      <c r="O65" s="37" t="s">
        <v>308</v>
      </c>
      <c r="P65" s="121">
        <v>45607</v>
      </c>
    </row>
    <row r="66" spans="1:19" x14ac:dyDescent="0.4">
      <c r="C66" t="s">
        <v>121</v>
      </c>
      <c r="E66" t="s">
        <v>104</v>
      </c>
      <c r="F66" t="s">
        <v>111</v>
      </c>
      <c r="G66" t="s">
        <v>105</v>
      </c>
      <c r="H66" s="1" t="s">
        <v>106</v>
      </c>
      <c r="M66" s="87">
        <v>2828</v>
      </c>
      <c r="N66" s="42">
        <f t="shared" si="45"/>
        <v>1414</v>
      </c>
      <c r="O66" s="37" t="s">
        <v>314</v>
      </c>
    </row>
    <row r="67" spans="1:19" x14ac:dyDescent="0.4">
      <c r="C67" t="s">
        <v>123</v>
      </c>
      <c r="E67" t="s">
        <v>104</v>
      </c>
      <c r="F67" t="s">
        <v>19</v>
      </c>
      <c r="G67" t="s">
        <v>105</v>
      </c>
      <c r="H67" s="1" t="s">
        <v>106</v>
      </c>
      <c r="M67" s="87">
        <v>2424</v>
      </c>
      <c r="N67" s="42">
        <f t="shared" si="45"/>
        <v>1212</v>
      </c>
    </row>
    <row r="68" spans="1:19" x14ac:dyDescent="0.4">
      <c r="C68" t="s">
        <v>124</v>
      </c>
      <c r="E68" t="s">
        <v>104</v>
      </c>
      <c r="F68" t="s">
        <v>19</v>
      </c>
      <c r="G68" t="s">
        <v>105</v>
      </c>
      <c r="H68" s="1" t="s">
        <v>106</v>
      </c>
      <c r="M68" s="87">
        <v>1131</v>
      </c>
      <c r="N68" s="42">
        <f t="shared" si="45"/>
        <v>565.5</v>
      </c>
    </row>
    <row r="69" spans="1:19" x14ac:dyDescent="0.4">
      <c r="C69" t="s">
        <v>311</v>
      </c>
      <c r="E69" t="s">
        <v>104</v>
      </c>
      <c r="F69" t="s">
        <v>84</v>
      </c>
      <c r="G69" t="s">
        <v>105</v>
      </c>
      <c r="H69" s="1" t="s">
        <v>106</v>
      </c>
      <c r="M69" s="87">
        <v>100</v>
      </c>
      <c r="N69" s="42">
        <f t="shared" si="45"/>
        <v>50</v>
      </c>
    </row>
    <row r="70" spans="1:19" x14ac:dyDescent="0.4">
      <c r="C70" t="s">
        <v>312</v>
      </c>
      <c r="E70" t="s">
        <v>104</v>
      </c>
      <c r="F70" t="s">
        <v>84</v>
      </c>
      <c r="G70" t="s">
        <v>105</v>
      </c>
      <c r="H70" s="1" t="s">
        <v>106</v>
      </c>
      <c r="M70" s="87">
        <v>99</v>
      </c>
      <c r="N70" s="42">
        <f t="shared" si="45"/>
        <v>49.5</v>
      </c>
    </row>
    <row r="71" spans="1:19" s="121" customFormat="1" x14ac:dyDescent="0.4">
      <c r="A71" s="125"/>
      <c r="B71" s="1"/>
      <c r="C71" t="s">
        <v>127</v>
      </c>
      <c r="D71"/>
      <c r="E71" t="s">
        <v>104</v>
      </c>
      <c r="F71" t="s">
        <v>49</v>
      </c>
      <c r="G71" t="s">
        <v>105</v>
      </c>
      <c r="H71" s="1" t="s">
        <v>106</v>
      </c>
      <c r="I71"/>
      <c r="J71"/>
      <c r="K71"/>
      <c r="L71"/>
      <c r="M71" s="87">
        <v>689</v>
      </c>
      <c r="N71" s="42">
        <f t="shared" si="45"/>
        <v>344.5</v>
      </c>
      <c r="O71" s="37"/>
      <c r="Q71"/>
      <c r="R71"/>
      <c r="S71"/>
    </row>
    <row r="72" spans="1:19" s="121" customFormat="1" x14ac:dyDescent="0.4">
      <c r="A72" s="125"/>
      <c r="B72" s="1"/>
      <c r="C72" t="s">
        <v>309</v>
      </c>
      <c r="D72"/>
      <c r="E72" t="s">
        <v>104</v>
      </c>
      <c r="F72" t="s">
        <v>111</v>
      </c>
      <c r="G72" t="s">
        <v>105</v>
      </c>
      <c r="H72" s="1" t="s">
        <v>106</v>
      </c>
      <c r="I72"/>
      <c r="J72"/>
      <c r="K72"/>
      <c r="L72"/>
      <c r="M72" s="87">
        <v>158</v>
      </c>
      <c r="N72" s="42">
        <f t="shared" si="45"/>
        <v>79</v>
      </c>
      <c r="O72" s="37"/>
      <c r="Q72"/>
      <c r="R72"/>
      <c r="S72"/>
    </row>
    <row r="73" spans="1:19" s="121" customFormat="1" x14ac:dyDescent="0.4">
      <c r="A73" s="125"/>
      <c r="B73" s="1"/>
      <c r="C73" t="s">
        <v>310</v>
      </c>
      <c r="D73"/>
      <c r="E73" t="s">
        <v>104</v>
      </c>
      <c r="F73" t="s">
        <v>111</v>
      </c>
      <c r="G73" t="s">
        <v>105</v>
      </c>
      <c r="H73" s="1" t="s">
        <v>106</v>
      </c>
      <c r="I73"/>
      <c r="J73"/>
      <c r="K73"/>
      <c r="L73"/>
      <c r="M73" s="87">
        <v>151</v>
      </c>
      <c r="N73" s="42">
        <f t="shared" si="45"/>
        <v>75.5</v>
      </c>
      <c r="O73" s="37"/>
      <c r="Q73"/>
      <c r="R73"/>
      <c r="S73"/>
    </row>
    <row r="74" spans="1:19" s="121" customFormat="1" x14ac:dyDescent="0.4">
      <c r="A74" s="125"/>
      <c r="B74" s="1"/>
      <c r="C74" t="s">
        <v>313</v>
      </c>
      <c r="D74"/>
      <c r="E74" t="s">
        <v>104</v>
      </c>
      <c r="F74" t="s">
        <v>111</v>
      </c>
      <c r="G74" t="s">
        <v>105</v>
      </c>
      <c r="H74" s="1" t="s">
        <v>106</v>
      </c>
      <c r="I74"/>
      <c r="J74"/>
      <c r="K74"/>
      <c r="L74"/>
      <c r="M74" s="87">
        <v>121</v>
      </c>
      <c r="N74" s="42">
        <f t="shared" si="45"/>
        <v>60.5</v>
      </c>
      <c r="O74" s="37"/>
      <c r="Q74"/>
      <c r="R74"/>
      <c r="S74"/>
    </row>
    <row r="75" spans="1:19" s="150" customFormat="1" x14ac:dyDescent="0.4">
      <c r="A75" s="202"/>
      <c r="B75" s="143"/>
      <c r="C75" s="98" t="s">
        <v>344</v>
      </c>
      <c r="D75" s="98"/>
      <c r="E75" s="98" t="s">
        <v>104</v>
      </c>
      <c r="F75" s="98" t="s">
        <v>111</v>
      </c>
      <c r="G75" s="98" t="s">
        <v>105</v>
      </c>
      <c r="H75" s="143" t="s">
        <v>106</v>
      </c>
      <c r="I75" s="98"/>
      <c r="J75" s="98"/>
      <c r="K75" s="98"/>
      <c r="L75" s="98"/>
      <c r="M75" s="153">
        <v>-953</v>
      </c>
      <c r="N75" s="148">
        <f t="shared" si="45"/>
        <v>-476.5</v>
      </c>
      <c r="O75" s="193" t="s">
        <v>348</v>
      </c>
      <c r="Q75" s="98"/>
      <c r="R75" s="98"/>
      <c r="S75" s="98"/>
    </row>
    <row r="76" spans="1:19" s="121" customFormat="1" x14ac:dyDescent="0.4">
      <c r="A76" s="125"/>
      <c r="B76" s="1"/>
      <c r="C76" t="s">
        <v>128</v>
      </c>
      <c r="D76"/>
      <c r="E76" t="s">
        <v>104</v>
      </c>
      <c r="F76" t="s">
        <v>111</v>
      </c>
      <c r="G76" t="s">
        <v>105</v>
      </c>
      <c r="H76" s="1" t="s">
        <v>106</v>
      </c>
      <c r="I76"/>
      <c r="J76"/>
      <c r="K76"/>
      <c r="L76"/>
      <c r="M76" s="87">
        <v>225</v>
      </c>
      <c r="N76" s="42">
        <f t="shared" si="45"/>
        <v>112.5</v>
      </c>
      <c r="O76" s="37" t="s">
        <v>129</v>
      </c>
      <c r="Q76"/>
      <c r="R76"/>
      <c r="S76"/>
    </row>
    <row r="77" spans="1:19" s="121" customFormat="1" x14ac:dyDescent="0.4">
      <c r="A77" s="125"/>
      <c r="B77" s="1"/>
      <c r="C77" t="s">
        <v>130</v>
      </c>
      <c r="D77"/>
      <c r="E77" t="s">
        <v>104</v>
      </c>
      <c r="F77" t="s">
        <v>19</v>
      </c>
      <c r="G77" t="s">
        <v>105</v>
      </c>
      <c r="H77" s="1" t="s">
        <v>106</v>
      </c>
      <c r="I77"/>
      <c r="J77"/>
      <c r="K77"/>
      <c r="L77"/>
      <c r="M77" s="87">
        <v>150</v>
      </c>
      <c r="N77" s="42">
        <f t="shared" si="45"/>
        <v>75</v>
      </c>
      <c r="O77" s="37" t="s">
        <v>129</v>
      </c>
      <c r="Q77"/>
      <c r="R77"/>
      <c r="S77"/>
    </row>
    <row r="78" spans="1:19" s="128" customFormat="1" x14ac:dyDescent="0.4">
      <c r="B78" s="127"/>
      <c r="C78" s="128" t="s">
        <v>131</v>
      </c>
      <c r="E78" s="128" t="s">
        <v>32</v>
      </c>
      <c r="F78" s="128" t="s">
        <v>132</v>
      </c>
      <c r="G78" s="128" t="s">
        <v>105</v>
      </c>
      <c r="H78" s="127" t="s">
        <v>106</v>
      </c>
      <c r="M78" s="129">
        <v>45.08</v>
      </c>
      <c r="N78" s="130">
        <f t="shared" si="45"/>
        <v>22.54</v>
      </c>
      <c r="O78" s="197" t="s">
        <v>133</v>
      </c>
    </row>
    <row r="79" spans="1:19" s="24" customFormat="1" x14ac:dyDescent="0.4">
      <c r="B79" s="23"/>
      <c r="C79" s="24" t="s">
        <v>134</v>
      </c>
      <c r="E79" s="24" t="s">
        <v>32</v>
      </c>
      <c r="F79" s="24" t="s">
        <v>132</v>
      </c>
      <c r="G79" s="24" t="s">
        <v>105</v>
      </c>
      <c r="H79" s="23" t="s">
        <v>106</v>
      </c>
      <c r="M79" s="25">
        <v>9500</v>
      </c>
      <c r="N79" s="26">
        <f t="shared" si="45"/>
        <v>4750</v>
      </c>
      <c r="O79" s="198" t="s">
        <v>135</v>
      </c>
    </row>
    <row r="80" spans="1:19" s="24" customFormat="1" x14ac:dyDescent="0.4">
      <c r="B80" s="23"/>
      <c r="C80" s="24" t="s">
        <v>136</v>
      </c>
      <c r="E80" s="24" t="s">
        <v>32</v>
      </c>
      <c r="F80" s="24" t="s">
        <v>132</v>
      </c>
      <c r="G80" s="24" t="s">
        <v>112</v>
      </c>
      <c r="H80" s="23" t="s">
        <v>106</v>
      </c>
      <c r="M80" s="25">
        <v>18166</v>
      </c>
      <c r="N80" s="26">
        <f t="shared" si="45"/>
        <v>9083</v>
      </c>
      <c r="O80" s="198" t="s">
        <v>137</v>
      </c>
    </row>
    <row r="81" spans="1:19" s="24" customFormat="1" x14ac:dyDescent="0.4">
      <c r="B81" s="23"/>
      <c r="C81" s="24" t="s">
        <v>138</v>
      </c>
      <c r="E81" s="24" t="s">
        <v>32</v>
      </c>
      <c r="F81" s="24" t="s">
        <v>132</v>
      </c>
      <c r="G81" s="24" t="s">
        <v>91</v>
      </c>
      <c r="H81" s="23" t="s">
        <v>106</v>
      </c>
      <c r="M81" s="25">
        <v>80</v>
      </c>
      <c r="N81" s="26">
        <f t="shared" si="45"/>
        <v>40</v>
      </c>
      <c r="O81" s="198" t="s">
        <v>139</v>
      </c>
    </row>
    <row r="82" spans="1:19" s="24" customFormat="1" x14ac:dyDescent="0.4">
      <c r="B82" s="23"/>
      <c r="C82" s="24" t="s">
        <v>138</v>
      </c>
      <c r="E82" s="24" t="s">
        <v>32</v>
      </c>
      <c r="F82" s="24" t="s">
        <v>132</v>
      </c>
      <c r="G82" s="24" t="s">
        <v>91</v>
      </c>
      <c r="H82" s="23" t="s">
        <v>106</v>
      </c>
      <c r="M82" s="25">
        <v>632.44000000000005</v>
      </c>
      <c r="N82" s="27">
        <f t="shared" si="45"/>
        <v>316.22000000000003</v>
      </c>
      <c r="O82" s="198" t="s">
        <v>139</v>
      </c>
    </row>
    <row r="83" spans="1:19" s="121" customFormat="1" x14ac:dyDescent="0.4">
      <c r="A83" s="125"/>
      <c r="B83" s="1"/>
      <c r="C83" t="s">
        <v>140</v>
      </c>
      <c r="D83"/>
      <c r="E83" t="s">
        <v>104</v>
      </c>
      <c r="F83" t="s">
        <v>111</v>
      </c>
      <c r="G83" t="s">
        <v>141</v>
      </c>
      <c r="H83" s="1" t="s">
        <v>106</v>
      </c>
      <c r="I83"/>
      <c r="J83"/>
      <c r="K83"/>
      <c r="L83"/>
      <c r="M83" s="87">
        <v>412</v>
      </c>
      <c r="N83" s="9">
        <f t="shared" si="45"/>
        <v>206</v>
      </c>
      <c r="O83" s="37" t="s">
        <v>142</v>
      </c>
      <c r="Q83"/>
      <c r="R83"/>
      <c r="S83"/>
    </row>
    <row r="84" spans="1:19" s="121" customFormat="1" x14ac:dyDescent="0.4">
      <c r="A84" s="125"/>
      <c r="B84" s="1"/>
      <c r="C84" t="s">
        <v>145</v>
      </c>
      <c r="D84"/>
      <c r="E84" t="s">
        <v>104</v>
      </c>
      <c r="F84" t="s">
        <v>111</v>
      </c>
      <c r="G84" t="s">
        <v>91</v>
      </c>
      <c r="H84" s="1" t="s">
        <v>106</v>
      </c>
      <c r="I84"/>
      <c r="J84"/>
      <c r="K84"/>
      <c r="L84"/>
      <c r="M84" s="87">
        <v>1020</v>
      </c>
      <c r="N84" s="9">
        <f t="shared" si="45"/>
        <v>510</v>
      </c>
      <c r="O84" s="37" t="s">
        <v>146</v>
      </c>
      <c r="Q84"/>
      <c r="R84"/>
      <c r="S84"/>
    </row>
    <row r="85" spans="1:19" s="121" customFormat="1" x14ac:dyDescent="0.4">
      <c r="A85" s="125"/>
      <c r="B85" s="1"/>
      <c r="C85" t="s">
        <v>149</v>
      </c>
      <c r="D85"/>
      <c r="E85" t="s">
        <v>104</v>
      </c>
      <c r="F85" t="s">
        <v>111</v>
      </c>
      <c r="G85" t="s">
        <v>91</v>
      </c>
      <c r="H85" s="1" t="s">
        <v>106</v>
      </c>
      <c r="I85"/>
      <c r="J85"/>
      <c r="K85"/>
      <c r="L85"/>
      <c r="M85" s="87">
        <v>731</v>
      </c>
      <c r="N85" s="9">
        <f t="shared" si="45"/>
        <v>365.5</v>
      </c>
      <c r="O85" s="37" t="s">
        <v>150</v>
      </c>
      <c r="Q85"/>
      <c r="R85"/>
      <c r="S85"/>
    </row>
    <row r="86" spans="1:19" x14ac:dyDescent="0.4">
      <c r="A86"/>
      <c r="C86" t="s">
        <v>299</v>
      </c>
      <c r="E86" t="s">
        <v>104</v>
      </c>
      <c r="F86" t="s">
        <v>111</v>
      </c>
      <c r="G86" t="s">
        <v>91</v>
      </c>
      <c r="H86" s="1" t="s">
        <v>106</v>
      </c>
      <c r="M86" s="87">
        <v>60</v>
      </c>
      <c r="N86" s="9">
        <f t="shared" si="45"/>
        <v>30</v>
      </c>
      <c r="O86" s="37" t="s">
        <v>353</v>
      </c>
    </row>
    <row r="87" spans="1:19" x14ac:dyDescent="0.4">
      <c r="A87"/>
      <c r="C87" t="s">
        <v>153</v>
      </c>
      <c r="E87" t="s">
        <v>104</v>
      </c>
      <c r="F87" t="s">
        <v>111</v>
      </c>
      <c r="G87" t="s">
        <v>91</v>
      </c>
      <c r="H87" s="1" t="s">
        <v>106</v>
      </c>
      <c r="M87" s="87">
        <v>405</v>
      </c>
      <c r="N87" s="9">
        <f t="shared" si="45"/>
        <v>202.5</v>
      </c>
      <c r="O87" s="37" t="s">
        <v>354</v>
      </c>
    </row>
    <row r="88" spans="1:19" x14ac:dyDescent="0.4">
      <c r="C88" t="s">
        <v>154</v>
      </c>
      <c r="E88" t="s">
        <v>104</v>
      </c>
      <c r="F88" t="s">
        <v>155</v>
      </c>
      <c r="G88" t="s">
        <v>105</v>
      </c>
      <c r="H88" s="1" t="s">
        <v>106</v>
      </c>
      <c r="M88" s="87">
        <v>100</v>
      </c>
      <c r="N88" s="9">
        <f t="shared" si="45"/>
        <v>50</v>
      </c>
    </row>
    <row r="89" spans="1:19" x14ac:dyDescent="0.4">
      <c r="C89" t="s">
        <v>343</v>
      </c>
      <c r="E89" t="s">
        <v>104</v>
      </c>
      <c r="F89" t="s">
        <v>19</v>
      </c>
      <c r="G89" t="s">
        <v>105</v>
      </c>
      <c r="H89" s="1" t="s">
        <v>106</v>
      </c>
      <c r="M89" s="87">
        <v>107</v>
      </c>
      <c r="N89" s="9">
        <f t="shared" si="45"/>
        <v>53.5</v>
      </c>
    </row>
    <row r="90" spans="1:19" s="128" customFormat="1" x14ac:dyDescent="0.4">
      <c r="A90" s="28"/>
      <c r="B90" s="127"/>
      <c r="C90" s="128" t="s">
        <v>158</v>
      </c>
      <c r="E90" s="128" t="s">
        <v>32</v>
      </c>
      <c r="F90" s="128" t="s">
        <v>19</v>
      </c>
      <c r="G90" s="128" t="s">
        <v>105</v>
      </c>
      <c r="H90" s="127" t="s">
        <v>106</v>
      </c>
      <c r="M90" s="129">
        <v>867</v>
      </c>
      <c r="N90" s="136">
        <f t="shared" si="45"/>
        <v>433.5</v>
      </c>
      <c r="O90" s="197"/>
    </row>
    <row r="91" spans="1:19" s="28" customFormat="1" x14ac:dyDescent="0.4">
      <c r="B91" s="92"/>
      <c r="C91" s="28" t="s">
        <v>162</v>
      </c>
      <c r="E91" s="28" t="s">
        <v>104</v>
      </c>
      <c r="F91" s="28" t="s">
        <v>19</v>
      </c>
      <c r="G91" s="28" t="s">
        <v>105</v>
      </c>
      <c r="H91" s="92" t="s">
        <v>106</v>
      </c>
      <c r="M91" s="209">
        <v>499</v>
      </c>
      <c r="N91" s="210">
        <f t="shared" si="45"/>
        <v>249.5</v>
      </c>
      <c r="O91" s="203" t="s">
        <v>163</v>
      </c>
      <c r="P91" s="125"/>
    </row>
    <row r="92" spans="1:19" x14ac:dyDescent="0.4">
      <c r="C92" t="s">
        <v>164</v>
      </c>
      <c r="E92" t="s">
        <v>104</v>
      </c>
      <c r="F92" t="s">
        <v>111</v>
      </c>
      <c r="G92" t="s">
        <v>105</v>
      </c>
      <c r="H92" s="1" t="s">
        <v>106</v>
      </c>
      <c r="M92" s="87">
        <v>199</v>
      </c>
      <c r="N92" s="9">
        <f t="shared" si="45"/>
        <v>99.5</v>
      </c>
    </row>
    <row r="93" spans="1:19" x14ac:dyDescent="0.4">
      <c r="C93" t="s">
        <v>165</v>
      </c>
      <c r="E93" t="s">
        <v>104</v>
      </c>
      <c r="F93" t="s">
        <v>49</v>
      </c>
      <c r="G93" t="s">
        <v>105</v>
      </c>
      <c r="H93" s="1" t="s">
        <v>106</v>
      </c>
      <c r="M93" s="87">
        <v>75</v>
      </c>
      <c r="N93" s="9">
        <f t="shared" si="45"/>
        <v>37.5</v>
      </c>
    </row>
    <row r="94" spans="1:19" x14ac:dyDescent="0.4">
      <c r="A94" s="28" t="s">
        <v>333</v>
      </c>
      <c r="C94" t="s">
        <v>166</v>
      </c>
      <c r="E94" t="s">
        <v>104</v>
      </c>
      <c r="F94" t="s">
        <v>49</v>
      </c>
      <c r="G94" t="s">
        <v>105</v>
      </c>
      <c r="H94" s="1" t="s">
        <v>106</v>
      </c>
      <c r="M94" s="87">
        <v>799</v>
      </c>
      <c r="N94" s="9">
        <f t="shared" si="45"/>
        <v>399.5</v>
      </c>
    </row>
    <row r="95" spans="1:19" x14ac:dyDescent="0.4">
      <c r="C95" t="s">
        <v>167</v>
      </c>
      <c r="E95" t="s">
        <v>104</v>
      </c>
      <c r="F95" t="s">
        <v>19</v>
      </c>
      <c r="G95" t="s">
        <v>105</v>
      </c>
      <c r="H95" s="1" t="s">
        <v>106</v>
      </c>
      <c r="M95" s="87">
        <v>337</v>
      </c>
      <c r="N95" s="9">
        <f t="shared" si="45"/>
        <v>168.5</v>
      </c>
    </row>
    <row r="96" spans="1:19" x14ac:dyDescent="0.4">
      <c r="C96" t="s">
        <v>168</v>
      </c>
      <c r="E96" t="s">
        <v>104</v>
      </c>
      <c r="F96" t="s">
        <v>74</v>
      </c>
      <c r="G96" t="s">
        <v>105</v>
      </c>
      <c r="H96" s="1" t="s">
        <v>106</v>
      </c>
      <c r="M96" s="87">
        <v>1581</v>
      </c>
      <c r="N96" s="9">
        <f t="shared" si="45"/>
        <v>790.5</v>
      </c>
    </row>
    <row r="97" spans="1:16" x14ac:dyDescent="0.4">
      <c r="C97" t="s">
        <v>169</v>
      </c>
      <c r="E97" t="s">
        <v>104</v>
      </c>
      <c r="F97" t="s">
        <v>74</v>
      </c>
      <c r="G97" t="s">
        <v>105</v>
      </c>
      <c r="H97" s="1" t="s">
        <v>106</v>
      </c>
      <c r="M97" s="87">
        <v>25</v>
      </c>
      <c r="N97" s="9">
        <f t="shared" ref="N97:N102" si="48">M97/2</f>
        <v>12.5</v>
      </c>
    </row>
    <row r="98" spans="1:16" x14ac:dyDescent="0.4">
      <c r="C98" t="s">
        <v>170</v>
      </c>
      <c r="E98" t="s">
        <v>104</v>
      </c>
      <c r="F98" t="s">
        <v>49</v>
      </c>
      <c r="G98" t="s">
        <v>105</v>
      </c>
      <c r="H98" s="1" t="s">
        <v>106</v>
      </c>
      <c r="M98" s="87">
        <v>39.5</v>
      </c>
      <c r="N98" s="9">
        <f t="shared" si="48"/>
        <v>19.75</v>
      </c>
    </row>
    <row r="99" spans="1:16" x14ac:dyDescent="0.4">
      <c r="A99" s="28" t="s">
        <v>333</v>
      </c>
      <c r="C99" t="s">
        <v>171</v>
      </c>
      <c r="E99" t="s">
        <v>104</v>
      </c>
      <c r="F99" t="s">
        <v>49</v>
      </c>
      <c r="G99" t="s">
        <v>105</v>
      </c>
      <c r="H99" s="1" t="s">
        <v>106</v>
      </c>
      <c r="M99" s="87">
        <v>90</v>
      </c>
      <c r="N99" s="9">
        <f t="shared" si="48"/>
        <v>45</v>
      </c>
    </row>
    <row r="100" spans="1:16" x14ac:dyDescent="0.4">
      <c r="A100" s="28" t="s">
        <v>333</v>
      </c>
      <c r="C100" t="s">
        <v>172</v>
      </c>
      <c r="E100" t="s">
        <v>104</v>
      </c>
      <c r="F100" t="s">
        <v>49</v>
      </c>
      <c r="G100" t="s">
        <v>105</v>
      </c>
      <c r="H100" s="1" t="s">
        <v>106</v>
      </c>
      <c r="M100" s="87">
        <v>0</v>
      </c>
      <c r="N100" s="9">
        <f t="shared" si="48"/>
        <v>0</v>
      </c>
      <c r="O100" s="37" t="s">
        <v>335</v>
      </c>
    </row>
    <row r="101" spans="1:16" x14ac:dyDescent="0.4">
      <c r="C101" t="s">
        <v>174</v>
      </c>
      <c r="E101" t="s">
        <v>104</v>
      </c>
      <c r="F101" t="s">
        <v>111</v>
      </c>
      <c r="G101" t="s">
        <v>27</v>
      </c>
      <c r="H101" s="1" t="s">
        <v>106</v>
      </c>
      <c r="M101" s="87">
        <v>77</v>
      </c>
      <c r="N101" s="9">
        <f t="shared" si="48"/>
        <v>38.5</v>
      </c>
      <c r="O101" s="37" t="s">
        <v>175</v>
      </c>
    </row>
    <row r="102" spans="1:16" s="103" customFormat="1" x14ac:dyDescent="0.4">
      <c r="A102" s="159"/>
      <c r="B102" s="82"/>
      <c r="C102" s="103" t="s">
        <v>176</v>
      </c>
      <c r="E102" s="103" t="s">
        <v>104</v>
      </c>
      <c r="F102" s="103" t="s">
        <v>111</v>
      </c>
      <c r="G102" s="103" t="s">
        <v>27</v>
      </c>
      <c r="H102" s="82" t="s">
        <v>106</v>
      </c>
      <c r="M102" s="162">
        <v>0</v>
      </c>
      <c r="N102" s="163">
        <f t="shared" si="48"/>
        <v>0</v>
      </c>
      <c r="O102" s="195" t="s">
        <v>277</v>
      </c>
      <c r="P102" s="123"/>
    </row>
    <row r="103" spans="1:16" x14ac:dyDescent="0.4">
      <c r="C103" t="s">
        <v>177</v>
      </c>
      <c r="E103" t="s">
        <v>104</v>
      </c>
      <c r="F103" t="s">
        <v>37</v>
      </c>
      <c r="G103" t="s">
        <v>27</v>
      </c>
      <c r="H103" s="1" t="s">
        <v>106</v>
      </c>
      <c r="M103" s="87">
        <v>250</v>
      </c>
      <c r="N103" s="9">
        <f>M103/2</f>
        <v>125</v>
      </c>
    </row>
    <row r="104" spans="1:16" x14ac:dyDescent="0.4">
      <c r="C104" t="s">
        <v>179</v>
      </c>
      <c r="E104" t="s">
        <v>104</v>
      </c>
      <c r="F104" t="s">
        <v>19</v>
      </c>
      <c r="G104" t="s">
        <v>105</v>
      </c>
      <c r="H104" s="1" t="s">
        <v>106</v>
      </c>
      <c r="M104" s="87">
        <v>83</v>
      </c>
      <c r="N104" s="9">
        <f>M104/2</f>
        <v>41.5</v>
      </c>
      <c r="O104" s="37" t="s">
        <v>180</v>
      </c>
    </row>
    <row r="105" spans="1:16" x14ac:dyDescent="0.4">
      <c r="C105" t="s">
        <v>181</v>
      </c>
      <c r="E105" t="s">
        <v>104</v>
      </c>
      <c r="F105" t="s">
        <v>111</v>
      </c>
      <c r="G105" t="s">
        <v>105</v>
      </c>
      <c r="H105" s="1" t="s">
        <v>106</v>
      </c>
      <c r="M105" s="87">
        <v>366.45</v>
      </c>
      <c r="N105" s="9">
        <f>M105/2</f>
        <v>183.22499999999999</v>
      </c>
    </row>
    <row r="106" spans="1:16" s="24" customFormat="1" x14ac:dyDescent="0.4">
      <c r="A106" s="28"/>
      <c r="B106" s="23"/>
      <c r="C106" s="24" t="s">
        <v>182</v>
      </c>
      <c r="E106" s="24" t="s">
        <v>32</v>
      </c>
      <c r="F106" s="24" t="s">
        <v>19</v>
      </c>
      <c r="G106" s="24" t="s">
        <v>91</v>
      </c>
      <c r="H106" s="23" t="s">
        <v>106</v>
      </c>
      <c r="M106" s="25">
        <v>1709.52</v>
      </c>
      <c r="N106" s="27">
        <f>M106/2</f>
        <v>854.76</v>
      </c>
      <c r="O106" s="198"/>
    </row>
    <row r="107" spans="1:16" x14ac:dyDescent="0.4">
      <c r="C107" t="s">
        <v>183</v>
      </c>
      <c r="E107" t="s">
        <v>104</v>
      </c>
      <c r="F107" t="s">
        <v>49</v>
      </c>
      <c r="G107" t="s">
        <v>105</v>
      </c>
      <c r="H107" s="1"/>
      <c r="M107" s="87">
        <v>20</v>
      </c>
      <c r="N107" s="9">
        <f t="shared" ref="N107:N112" si="49">M107/2</f>
        <v>10</v>
      </c>
    </row>
    <row r="108" spans="1:16" x14ac:dyDescent="0.4">
      <c r="C108" t="s">
        <v>294</v>
      </c>
      <c r="E108" t="s">
        <v>104</v>
      </c>
      <c r="F108" t="s">
        <v>111</v>
      </c>
      <c r="G108" t="s">
        <v>105</v>
      </c>
      <c r="M108" s="87">
        <v>99</v>
      </c>
      <c r="N108" s="9">
        <f t="shared" si="49"/>
        <v>49.5</v>
      </c>
    </row>
    <row r="109" spans="1:16" x14ac:dyDescent="0.4">
      <c r="C109" t="s">
        <v>186</v>
      </c>
      <c r="E109" t="s">
        <v>104</v>
      </c>
      <c r="F109" t="s">
        <v>84</v>
      </c>
      <c r="G109" t="s">
        <v>105</v>
      </c>
      <c r="M109" s="87">
        <v>239</v>
      </c>
      <c r="N109" s="9">
        <f t="shared" si="49"/>
        <v>119.5</v>
      </c>
      <c r="O109" s="37" t="s">
        <v>187</v>
      </c>
    </row>
    <row r="110" spans="1:16" x14ac:dyDescent="0.4">
      <c r="C110" t="s">
        <v>188</v>
      </c>
      <c r="E110" t="s">
        <v>104</v>
      </c>
      <c r="F110" t="s">
        <v>37</v>
      </c>
      <c r="G110" t="s">
        <v>105</v>
      </c>
      <c r="M110" s="87">
        <v>250</v>
      </c>
      <c r="N110" s="9">
        <f t="shared" si="49"/>
        <v>125</v>
      </c>
      <c r="O110" s="37" t="s">
        <v>189</v>
      </c>
    </row>
    <row r="111" spans="1:16" s="103" customFormat="1" x14ac:dyDescent="0.4">
      <c r="B111" s="82"/>
      <c r="C111" s="103" t="s">
        <v>190</v>
      </c>
      <c r="E111" s="103" t="s">
        <v>104</v>
      </c>
      <c r="F111" s="103" t="s">
        <v>37</v>
      </c>
      <c r="G111" s="103" t="s">
        <v>105</v>
      </c>
      <c r="K111" s="204"/>
      <c r="L111" s="107"/>
      <c r="M111" s="162">
        <v>0</v>
      </c>
      <c r="N111" s="163">
        <f t="shared" si="49"/>
        <v>0</v>
      </c>
      <c r="O111" s="195" t="s">
        <v>191</v>
      </c>
      <c r="P111" s="123"/>
    </row>
    <row r="112" spans="1:16" x14ac:dyDescent="0.4">
      <c r="C112" t="s">
        <v>192</v>
      </c>
      <c r="E112" t="s">
        <v>104</v>
      </c>
      <c r="F112" t="s">
        <v>111</v>
      </c>
      <c r="G112" t="s">
        <v>27</v>
      </c>
      <c r="M112" s="87">
        <v>167</v>
      </c>
      <c r="N112" s="9">
        <f t="shared" si="49"/>
        <v>83.5</v>
      </c>
      <c r="O112" s="37" t="s">
        <v>193</v>
      </c>
    </row>
    <row r="113" spans="1:19" ht="43.75" x14ac:dyDescent="0.4">
      <c r="A113" t="s">
        <v>333</v>
      </c>
      <c r="C113" s="192" t="s">
        <v>338</v>
      </c>
      <c r="E113" t="s">
        <v>104</v>
      </c>
      <c r="F113" t="s">
        <v>49</v>
      </c>
      <c r="G113" t="s">
        <v>105</v>
      </c>
      <c r="K113" s="42"/>
      <c r="M113" s="87">
        <v>1000</v>
      </c>
      <c r="O113" s="37" t="s">
        <v>340</v>
      </c>
      <c r="P113"/>
    </row>
    <row r="114" spans="1:19" x14ac:dyDescent="0.4">
      <c r="A114" t="s">
        <v>333</v>
      </c>
      <c r="C114" t="s">
        <v>337</v>
      </c>
      <c r="E114" t="s">
        <v>104</v>
      </c>
      <c r="F114" t="s">
        <v>49</v>
      </c>
      <c r="G114" t="s">
        <v>105</v>
      </c>
      <c r="K114" s="42"/>
      <c r="M114" s="87">
        <v>300</v>
      </c>
      <c r="O114" s="37" t="s">
        <v>340</v>
      </c>
      <c r="P114"/>
    </row>
    <row r="115" spans="1:19" x14ac:dyDescent="0.4">
      <c r="A115" t="s">
        <v>333</v>
      </c>
      <c r="C115" t="s">
        <v>334</v>
      </c>
      <c r="E115" t="s">
        <v>104</v>
      </c>
      <c r="F115" t="s">
        <v>49</v>
      </c>
      <c r="G115" t="s">
        <v>105</v>
      </c>
      <c r="K115" s="42"/>
      <c r="M115" s="87">
        <v>54</v>
      </c>
      <c r="O115" s="37" t="s">
        <v>340</v>
      </c>
      <c r="P115"/>
    </row>
    <row r="116" spans="1:19" x14ac:dyDescent="0.4">
      <c r="A116" t="s">
        <v>333</v>
      </c>
      <c r="C116" t="s">
        <v>336</v>
      </c>
      <c r="E116" t="s">
        <v>104</v>
      </c>
      <c r="F116" t="s">
        <v>49</v>
      </c>
      <c r="G116" t="s">
        <v>105</v>
      </c>
      <c r="K116" s="42"/>
      <c r="M116" s="87">
        <v>357</v>
      </c>
      <c r="O116" s="37" t="s">
        <v>339</v>
      </c>
      <c r="P116"/>
    </row>
    <row r="117" spans="1:19" x14ac:dyDescent="0.4">
      <c r="A117"/>
      <c r="M117" s="87"/>
      <c r="N117" s="9"/>
    </row>
    <row r="118" spans="1:19" x14ac:dyDescent="0.4">
      <c r="A118"/>
      <c r="M118" s="87"/>
      <c r="N118" s="9"/>
      <c r="P118"/>
    </row>
    <row r="119" spans="1:19" ht="15" thickBot="1" x14ac:dyDescent="0.45">
      <c r="A119"/>
      <c r="C119" s="1"/>
      <c r="D119" s="1"/>
      <c r="E119" s="1"/>
      <c r="F119" s="1"/>
      <c r="G119" s="1"/>
      <c r="K119" s="42">
        <f>M119*0.923</f>
        <v>176189.81047676667</v>
      </c>
      <c r="M119" s="4">
        <f>SUM(M3:M116)</f>
        <v>190888.20203333333</v>
      </c>
      <c r="N119" s="9"/>
      <c r="O119" s="200" t="s">
        <v>194</v>
      </c>
      <c r="P119"/>
      <c r="S119" s="3"/>
    </row>
    <row r="120" spans="1:19" ht="15" thickTop="1" x14ac:dyDescent="0.4">
      <c r="A120"/>
      <c r="C120" t="s">
        <v>195</v>
      </c>
      <c r="K120" t="s">
        <v>196</v>
      </c>
      <c r="O120" s="97">
        <v>173102</v>
      </c>
      <c r="P120"/>
    </row>
    <row r="121" spans="1:19" x14ac:dyDescent="0.4">
      <c r="A121"/>
      <c r="C121" t="s">
        <v>197</v>
      </c>
      <c r="M121" s="29">
        <f>M119/M126</f>
        <v>0.47722050508333336</v>
      </c>
      <c r="N121" s="37" t="s">
        <v>198</v>
      </c>
      <c r="O121" s="201">
        <f>206164-208629</f>
        <v>-2465</v>
      </c>
      <c r="P121" s="98" t="s">
        <v>199</v>
      </c>
    </row>
    <row r="122" spans="1:19" x14ac:dyDescent="0.4">
      <c r="A122"/>
      <c r="K122" s="42"/>
      <c r="M122" s="35">
        <f>M119/M127</f>
        <v>1.3006295874612195</v>
      </c>
      <c r="N122" s="37" t="s">
        <v>200</v>
      </c>
      <c r="P122"/>
    </row>
    <row r="123" spans="1:19" x14ac:dyDescent="0.4">
      <c r="A123"/>
      <c r="C123" t="s">
        <v>201</v>
      </c>
      <c r="P123"/>
    </row>
    <row r="124" spans="1:19" x14ac:dyDescent="0.4">
      <c r="A124"/>
      <c r="C124" t="s">
        <v>202</v>
      </c>
      <c r="K124" s="42"/>
      <c r="P124"/>
    </row>
    <row r="125" spans="1:19" x14ac:dyDescent="0.4">
      <c r="K125" s="42"/>
    </row>
    <row r="126" spans="1:19" x14ac:dyDescent="0.4">
      <c r="K126" s="42"/>
      <c r="M126" s="36">
        <v>400000</v>
      </c>
      <c r="N126" t="s">
        <v>203</v>
      </c>
    </row>
    <row r="127" spans="1:19" x14ac:dyDescent="0.4">
      <c r="C127" s="38" t="s">
        <v>204</v>
      </c>
      <c r="D127" s="47"/>
      <c r="M127" s="36">
        <v>146766</v>
      </c>
      <c r="N127" t="s">
        <v>205</v>
      </c>
    </row>
    <row r="128" spans="1:19" x14ac:dyDescent="0.4">
      <c r="C128" s="47"/>
      <c r="D128" s="47"/>
      <c r="M128" s="36">
        <v>130220</v>
      </c>
      <c r="N128" t="s">
        <v>206</v>
      </c>
    </row>
    <row r="129" spans="1:19" x14ac:dyDescent="0.4">
      <c r="C129" t="s">
        <v>207</v>
      </c>
      <c r="M129" s="114">
        <f>M128/M127</f>
        <v>0.88726271752313202</v>
      </c>
      <c r="N129" s="98" t="s">
        <v>208</v>
      </c>
    </row>
    <row r="130" spans="1:19" x14ac:dyDescent="0.4">
      <c r="C130" t="s">
        <v>209</v>
      </c>
      <c r="M130" s="115">
        <f>M127*0.6</f>
        <v>88059.599999999991</v>
      </c>
      <c r="N130" t="s">
        <v>210</v>
      </c>
    </row>
    <row r="131" spans="1:19" x14ac:dyDescent="0.4">
      <c r="C131" t="s">
        <v>211</v>
      </c>
      <c r="M131" s="133">
        <f>M128-M130</f>
        <v>42160.400000000009</v>
      </c>
      <c r="N131" s="134" t="s">
        <v>212</v>
      </c>
    </row>
    <row r="132" spans="1:19" x14ac:dyDescent="0.4">
      <c r="C132" t="s">
        <v>213</v>
      </c>
      <c r="M132" s="1" t="s">
        <v>214</v>
      </c>
      <c r="N132" t="s">
        <v>215</v>
      </c>
    </row>
    <row r="133" spans="1:19" x14ac:dyDescent="0.4">
      <c r="M133" s="39">
        <v>0.08</v>
      </c>
      <c r="N133" t="s">
        <v>216</v>
      </c>
    </row>
    <row r="136" spans="1:19" s="121" customFormat="1" x14ac:dyDescent="0.4">
      <c r="A136" s="125"/>
      <c r="B136" s="1"/>
      <c r="C136"/>
      <c r="D136"/>
      <c r="E136"/>
      <c r="F136"/>
      <c r="G136"/>
      <c r="H136"/>
      <c r="I136"/>
      <c r="J136"/>
      <c r="K136"/>
      <c r="L136"/>
      <c r="M136" s="109" t="s">
        <v>217</v>
      </c>
      <c r="N136" s="109"/>
      <c r="O136" s="111"/>
      <c r="Q136"/>
      <c r="R136"/>
      <c r="S136"/>
    </row>
    <row r="137" spans="1:19" s="121" customFormat="1" x14ac:dyDescent="0.4">
      <c r="A137" s="125"/>
      <c r="B137" s="1"/>
      <c r="C137"/>
      <c r="D137"/>
      <c r="E137"/>
      <c r="F137"/>
      <c r="G137"/>
      <c r="H137"/>
      <c r="I137"/>
      <c r="J137"/>
      <c r="K137"/>
      <c r="L137"/>
      <c r="M137" s="110">
        <v>208076</v>
      </c>
      <c r="N137" s="109" t="s">
        <v>218</v>
      </c>
      <c r="O137" s="111" t="s">
        <v>219</v>
      </c>
      <c r="Q137"/>
      <c r="R137"/>
      <c r="S137"/>
    </row>
    <row r="138" spans="1:19" s="121" customFormat="1" x14ac:dyDescent="0.4">
      <c r="A138" s="125"/>
      <c r="B138" s="1"/>
      <c r="C138"/>
      <c r="D138"/>
      <c r="E138"/>
      <c r="F138"/>
      <c r="G138"/>
      <c r="H138"/>
      <c r="I138"/>
      <c r="J138"/>
      <c r="K138"/>
      <c r="L138"/>
      <c r="M138" s="112">
        <v>207226</v>
      </c>
      <c r="N138" s="109"/>
      <c r="O138" s="113">
        <v>45508</v>
      </c>
      <c r="Q138"/>
      <c r="R138"/>
      <c r="S138"/>
    </row>
    <row r="139" spans="1:19" s="121" customFormat="1" x14ac:dyDescent="0.4">
      <c r="A139" s="125"/>
      <c r="B139" s="1"/>
      <c r="C139" s="40" t="s">
        <v>220</v>
      </c>
      <c r="D139" s="40"/>
      <c r="E139" s="40">
        <v>100</v>
      </c>
      <c r="F139" s="40" t="s">
        <v>221</v>
      </c>
      <c r="G139" s="40" t="s">
        <v>222</v>
      </c>
      <c r="H139"/>
      <c r="I139"/>
      <c r="J139"/>
      <c r="K139"/>
      <c r="L139"/>
      <c r="M139" s="112">
        <v>210100</v>
      </c>
      <c r="N139" s="109"/>
      <c r="O139" s="113" t="s">
        <v>223</v>
      </c>
      <c r="Q139"/>
      <c r="R139"/>
      <c r="S139"/>
    </row>
    <row r="140" spans="1:19" s="121" customFormat="1" x14ac:dyDescent="0.4">
      <c r="A140" s="125"/>
      <c r="B140" s="1"/>
      <c r="C140" s="40" t="s">
        <v>32</v>
      </c>
      <c r="D140" s="40"/>
      <c r="E140" s="45">
        <v>30</v>
      </c>
      <c r="F140" s="45" t="s">
        <v>224</v>
      </c>
      <c r="G140" s="44">
        <v>0.4</v>
      </c>
      <c r="H140"/>
      <c r="I140"/>
      <c r="J140"/>
      <c r="K140"/>
      <c r="L140"/>
      <c r="M140" s="112">
        <v>209770</v>
      </c>
      <c r="N140" s="109"/>
      <c r="O140" s="113">
        <v>45596</v>
      </c>
      <c r="Q140"/>
      <c r="R140"/>
      <c r="S140"/>
    </row>
    <row r="141" spans="1:19" s="121" customFormat="1" x14ac:dyDescent="0.4">
      <c r="A141" s="125"/>
      <c r="B141" s="1"/>
      <c r="C141" s="40" t="s">
        <v>225</v>
      </c>
      <c r="D141" s="40"/>
      <c r="E141" s="45">
        <v>70</v>
      </c>
      <c r="F141" s="45"/>
      <c r="G141" s="44">
        <v>0.6</v>
      </c>
      <c r="H141"/>
      <c r="I141"/>
      <c r="J141"/>
      <c r="K141"/>
      <c r="L141"/>
      <c r="M141" s="110">
        <v>207326</v>
      </c>
      <c r="N141" s="109"/>
      <c r="O141" s="113" t="s">
        <v>226</v>
      </c>
      <c r="Q141"/>
      <c r="R141"/>
      <c r="S141"/>
    </row>
    <row r="142" spans="1:19" s="121" customFormat="1" ht="15" thickBot="1" x14ac:dyDescent="0.45">
      <c r="A142" s="125"/>
      <c r="B142" s="1"/>
      <c r="C142" s="40" t="s">
        <v>227</v>
      </c>
      <c r="D142" s="40"/>
      <c r="E142" s="40">
        <v>32</v>
      </c>
      <c r="F142" s="40" t="s">
        <v>228</v>
      </c>
      <c r="G142" s="46">
        <v>0.38</v>
      </c>
      <c r="H142"/>
      <c r="I142"/>
      <c r="J142"/>
      <c r="K142"/>
      <c r="L142"/>
      <c r="M142" s="110">
        <v>198481</v>
      </c>
      <c r="N142" s="109"/>
      <c r="O142" s="113" t="s">
        <v>281</v>
      </c>
      <c r="Q142"/>
      <c r="R142"/>
      <c r="S142"/>
    </row>
    <row r="143" spans="1:19" s="121" customFormat="1" ht="15" thickBot="1" x14ac:dyDescent="0.45">
      <c r="A143" s="125"/>
      <c r="B143" s="1"/>
      <c r="C143" s="40" t="s">
        <v>229</v>
      </c>
      <c r="D143" s="40"/>
      <c r="E143" s="40">
        <v>10</v>
      </c>
      <c r="F143" s="43"/>
      <c r="G143" s="41">
        <v>4.3200000000000002E-2</v>
      </c>
      <c r="H143"/>
      <c r="I143"/>
      <c r="J143"/>
      <c r="K143"/>
      <c r="L143"/>
      <c r="M143" s="135">
        <v>173102</v>
      </c>
      <c r="N143" s="185">
        <f>M143+30000</f>
        <v>203102</v>
      </c>
      <c r="O143" s="113">
        <v>45799</v>
      </c>
      <c r="Q143"/>
      <c r="R143"/>
      <c r="S143"/>
    </row>
    <row r="144" spans="1:19" s="121" customFormat="1" x14ac:dyDescent="0.4">
      <c r="A144" s="125"/>
      <c r="B144" s="1"/>
      <c r="C144" s="40" t="s">
        <v>230</v>
      </c>
      <c r="D144" s="40"/>
      <c r="E144" s="40">
        <v>20</v>
      </c>
      <c r="F144" s="40" t="s">
        <v>231</v>
      </c>
      <c r="G144" s="46">
        <v>0.1326</v>
      </c>
      <c r="H144"/>
      <c r="I144"/>
      <c r="J144"/>
      <c r="K144"/>
      <c r="L144"/>
      <c r="M144" s="3"/>
      <c r="N144"/>
      <c r="O144" s="113"/>
      <c r="Q144"/>
      <c r="R144"/>
      <c r="S144"/>
    </row>
    <row r="145" spans="1:19" s="121" customFormat="1" x14ac:dyDescent="0.4">
      <c r="A145" s="125"/>
      <c r="B145" s="1"/>
      <c r="C145" s="40" t="s">
        <v>232</v>
      </c>
      <c r="D145" s="40"/>
      <c r="E145" s="40">
        <v>8</v>
      </c>
      <c r="F145" s="40"/>
      <c r="G145" s="41">
        <v>0.08</v>
      </c>
      <c r="H145"/>
      <c r="I145"/>
      <c r="J145"/>
      <c r="K145"/>
      <c r="L145" s="121">
        <v>45845</v>
      </c>
      <c r="M145" s="228">
        <v>175948</v>
      </c>
      <c r="N145"/>
      <c r="O145" s="37"/>
      <c r="Q145"/>
      <c r="R145"/>
      <c r="S145"/>
    </row>
    <row r="146" spans="1:19" s="121" customFormat="1" x14ac:dyDescent="0.4">
      <c r="A146" s="125"/>
      <c r="B146" s="1"/>
      <c r="C146" s="40"/>
      <c r="D146" s="40"/>
      <c r="E146" s="40">
        <v>100</v>
      </c>
      <c r="F146" s="40"/>
      <c r="G146" s="41"/>
      <c r="H146"/>
      <c r="I146"/>
      <c r="J146"/>
      <c r="K146"/>
      <c r="L146" s="121">
        <v>46023</v>
      </c>
      <c r="M146" s="228">
        <v>181066</v>
      </c>
      <c r="N146" s="3">
        <f>M146+30000</f>
        <v>211066</v>
      </c>
      <c r="O146" s="37"/>
      <c r="Q146"/>
      <c r="R146"/>
      <c r="S146"/>
    </row>
    <row r="147" spans="1:19" x14ac:dyDescent="0.4">
      <c r="L147" s="121">
        <v>46059</v>
      </c>
      <c r="M147" s="229">
        <v>183232</v>
      </c>
      <c r="N147" s="69">
        <f>M147+40000</f>
        <v>223232</v>
      </c>
      <c r="O147" s="37" t="s">
        <v>349</v>
      </c>
    </row>
    <row r="148" spans="1:19" x14ac:dyDescent="0.4">
      <c r="L148" s="121">
        <v>46072</v>
      </c>
      <c r="M148" s="229">
        <v>179721</v>
      </c>
    </row>
    <row r="149" spans="1:19" x14ac:dyDescent="0.4">
      <c r="L149" s="121">
        <v>46087</v>
      </c>
      <c r="M149" s="3">
        <f>M148+N157</f>
        <v>172816</v>
      </c>
      <c r="N149" s="3">
        <f>M149+40000</f>
        <v>212816</v>
      </c>
    </row>
    <row r="150" spans="1:19" x14ac:dyDescent="0.4">
      <c r="L150" s="121">
        <v>46118</v>
      </c>
      <c r="M150" s="3">
        <v>164275</v>
      </c>
      <c r="N150" s="231">
        <v>204000</v>
      </c>
    </row>
    <row r="151" spans="1:19" x14ac:dyDescent="0.4">
      <c r="N151" s="213"/>
    </row>
    <row r="152" spans="1:19" x14ac:dyDescent="0.4">
      <c r="J152" t="s">
        <v>371</v>
      </c>
      <c r="N152" s="214">
        <v>30000</v>
      </c>
      <c r="O152" s="193" t="s">
        <v>358</v>
      </c>
    </row>
    <row r="153" spans="1:19" x14ac:dyDescent="0.4">
      <c r="J153" t="s">
        <v>372</v>
      </c>
      <c r="N153" s="214"/>
    </row>
    <row r="154" spans="1:19" x14ac:dyDescent="0.4">
      <c r="N154" s="215">
        <v>-3639</v>
      </c>
      <c r="O154" s="195" t="s">
        <v>359</v>
      </c>
    </row>
    <row r="155" spans="1:19" x14ac:dyDescent="0.4">
      <c r="J155" t="s">
        <v>373</v>
      </c>
      <c r="N155" s="215">
        <v>-6000</v>
      </c>
      <c r="O155" s="195" t="s">
        <v>360</v>
      </c>
    </row>
    <row r="157" spans="1:19" x14ac:dyDescent="0.4">
      <c r="N157" s="217">
        <v>-6905</v>
      </c>
      <c r="O157" s="193" t="s">
        <v>365</v>
      </c>
    </row>
    <row r="158" spans="1:19" x14ac:dyDescent="0.4">
      <c r="N158" s="217">
        <v>-9000</v>
      </c>
      <c r="O158" s="193" t="s">
        <v>355</v>
      </c>
    </row>
    <row r="159" spans="1:19" x14ac:dyDescent="0.4">
      <c r="N159" s="217">
        <v>-10000</v>
      </c>
      <c r="O159" s="193" t="s">
        <v>356</v>
      </c>
    </row>
    <row r="160" spans="1:19" x14ac:dyDescent="0.4">
      <c r="N160" s="217">
        <v>-3000</v>
      </c>
      <c r="O160" s="193" t="s">
        <v>357</v>
      </c>
    </row>
    <row r="162" spans="14:15" x14ac:dyDescent="0.4">
      <c r="N162">
        <f>SUBTOTAL(9,N154:N161)</f>
        <v>-38544</v>
      </c>
      <c r="O162" s="37" t="s">
        <v>364</v>
      </c>
    </row>
    <row r="164" spans="14:15" x14ac:dyDescent="0.4">
      <c r="N164" s="216">
        <f>N152+N162</f>
        <v>-8544</v>
      </c>
      <c r="O164" s="37" t="s">
        <v>361</v>
      </c>
    </row>
    <row r="166" spans="14:15" x14ac:dyDescent="0.4">
      <c r="N166" t="s">
        <v>362</v>
      </c>
      <c r="O166" s="37" t="s">
        <v>363</v>
      </c>
    </row>
  </sheetData>
  <autoFilter ref="C2:P124" xr:uid="{7E5AD0D8-AEC6-4D59-ABD8-4F64D4C92A68}"/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2DF64-4398-474F-8E18-01C12E3E7A16}">
  <sheetPr filterMode="1"/>
  <dimension ref="A1:R155"/>
  <sheetViews>
    <sheetView zoomScaleNormal="100" workbookViewId="0">
      <pane xSplit="5" ySplit="2" topLeftCell="F128" activePane="bottomRight" state="frozen"/>
      <selection pane="topRight" activeCell="D1" sqref="D1"/>
      <selection pane="bottomLeft" activeCell="A2" sqref="A2"/>
      <selection pane="bottomRight" activeCell="L3" sqref="L3:L126"/>
    </sheetView>
  </sheetViews>
  <sheetFormatPr defaultColWidth="9.15234375" defaultRowHeight="14.6" x14ac:dyDescent="0.4"/>
  <cols>
    <col min="1" max="1" width="4.3828125" style="1" customWidth="1"/>
    <col min="2" max="2" width="39.84375" customWidth="1"/>
    <col min="3" max="3" width="7.53515625" customWidth="1"/>
    <col min="4" max="4" width="14.3828125" customWidth="1"/>
    <col min="5" max="5" width="16.15234375" customWidth="1"/>
    <col min="6" max="7" width="16.84375" customWidth="1"/>
    <col min="8" max="8" width="11.53515625" customWidth="1"/>
    <col min="9" max="9" width="14" customWidth="1"/>
    <col min="10" max="10" width="14.3828125" bestFit="1" customWidth="1"/>
    <col min="11" max="11" width="14.53515625" customWidth="1"/>
    <col min="12" max="12" width="18.53515625" customWidth="1"/>
    <col min="13" max="13" width="13.53515625" customWidth="1"/>
    <col min="14" max="14" width="64.53515625" bestFit="1" customWidth="1"/>
    <col min="15" max="15" width="16.15234375" style="121" customWidth="1"/>
    <col min="17" max="17" width="8.53515625" customWidth="1"/>
    <col min="18" max="18" width="24.3828125" customWidth="1"/>
  </cols>
  <sheetData>
    <row r="1" spans="1:18" x14ac:dyDescent="0.4">
      <c r="A1" t="s">
        <v>0</v>
      </c>
      <c r="D1" t="s">
        <v>283</v>
      </c>
    </row>
    <row r="2" spans="1:18" s="142" customFormat="1" ht="58.3" x14ac:dyDescent="0.4">
      <c r="A2" s="138"/>
      <c r="B2" s="139" t="s">
        <v>2</v>
      </c>
      <c r="C2" s="139" t="s">
        <v>3</v>
      </c>
      <c r="D2" s="139" t="s">
        <v>4</v>
      </c>
      <c r="E2" s="139" t="s">
        <v>5</v>
      </c>
      <c r="F2" s="139" t="s">
        <v>6</v>
      </c>
      <c r="G2" s="140" t="s">
        <v>7</v>
      </c>
      <c r="H2" s="140" t="s">
        <v>8</v>
      </c>
      <c r="I2" s="140" t="s">
        <v>9</v>
      </c>
      <c r="J2" s="140" t="s">
        <v>10</v>
      </c>
      <c r="K2" s="140" t="s">
        <v>11</v>
      </c>
      <c r="L2" s="140" t="s">
        <v>12</v>
      </c>
      <c r="M2" s="140" t="s">
        <v>13</v>
      </c>
      <c r="N2" s="139" t="s">
        <v>14</v>
      </c>
      <c r="O2" s="141" t="s">
        <v>15</v>
      </c>
      <c r="R2" s="142" t="s">
        <v>16</v>
      </c>
    </row>
    <row r="3" spans="1:18" x14ac:dyDescent="0.4">
      <c r="A3" s="1">
        <v>1</v>
      </c>
      <c r="B3" t="s">
        <v>17</v>
      </c>
      <c r="D3" t="s">
        <v>18</v>
      </c>
      <c r="E3" t="s">
        <v>19</v>
      </c>
      <c r="F3" t="s">
        <v>20</v>
      </c>
      <c r="G3" s="80">
        <v>0.05</v>
      </c>
      <c r="H3" s="2">
        <v>45</v>
      </c>
      <c r="I3" s="81">
        <v>40</v>
      </c>
      <c r="J3" s="102">
        <f>I3*52/12</f>
        <v>173.33333333333334</v>
      </c>
      <c r="K3" s="42">
        <f>H3*J3</f>
        <v>7800</v>
      </c>
      <c r="L3" s="84">
        <f>K3*(1+G3)</f>
        <v>8190</v>
      </c>
      <c r="M3" s="42">
        <f>L3/2</f>
        <v>4095</v>
      </c>
      <c r="O3" s="121" t="s">
        <v>21</v>
      </c>
      <c r="R3" s="86">
        <f>H3*I3*4*1.1</f>
        <v>7920.0000000000009</v>
      </c>
    </row>
    <row r="4" spans="1:18" s="103" customFormat="1" x14ac:dyDescent="0.4">
      <c r="A4" s="82"/>
      <c r="B4" s="103" t="s">
        <v>22</v>
      </c>
      <c r="D4" s="103" t="s">
        <v>18</v>
      </c>
      <c r="E4" s="103" t="s">
        <v>19</v>
      </c>
      <c r="F4" s="103" t="s">
        <v>20</v>
      </c>
      <c r="G4" s="104">
        <v>0.05</v>
      </c>
      <c r="H4" s="83">
        <v>45</v>
      </c>
      <c r="I4" s="105">
        <v>-10</v>
      </c>
      <c r="J4" s="82">
        <v>-43.33</v>
      </c>
      <c r="K4" s="85">
        <f>J4*H4</f>
        <v>-1949.85</v>
      </c>
      <c r="L4" s="106">
        <f>K4*(1+G4)</f>
        <v>-2047.3425</v>
      </c>
      <c r="M4" s="85">
        <f>L4/2</f>
        <v>-1023.67125</v>
      </c>
      <c r="N4" s="103" t="s">
        <v>23</v>
      </c>
      <c r="O4" s="123" t="s">
        <v>21</v>
      </c>
      <c r="R4" s="107">
        <f t="shared" ref="R4:R62" si="0">H4*I4*4*1.1</f>
        <v>-1980.0000000000002</v>
      </c>
    </row>
    <row r="5" spans="1:18" x14ac:dyDescent="0.4">
      <c r="B5" t="s">
        <v>26</v>
      </c>
      <c r="D5" t="s">
        <v>18</v>
      </c>
      <c r="E5" t="s">
        <v>19</v>
      </c>
      <c r="F5" t="s">
        <v>27</v>
      </c>
      <c r="G5" s="80">
        <v>0.05</v>
      </c>
      <c r="H5" s="2">
        <v>40</v>
      </c>
      <c r="I5" s="81">
        <v>40</v>
      </c>
      <c r="J5" s="102">
        <v>173.33</v>
      </c>
      <c r="K5" s="42">
        <f t="shared" ref="K5:K20" si="1">H5*J5</f>
        <v>6933.2000000000007</v>
      </c>
      <c r="L5" s="84">
        <f t="shared" ref="L5:L20" si="2">K5*(1+G5)</f>
        <v>7279.8600000000015</v>
      </c>
      <c r="M5" s="42">
        <f t="shared" ref="M5:M20" si="3">L5/2</f>
        <v>3639.9300000000007</v>
      </c>
      <c r="N5" t="s">
        <v>28</v>
      </c>
      <c r="R5" s="86"/>
    </row>
    <row r="6" spans="1:18" s="165" customFormat="1" x14ac:dyDescent="0.4">
      <c r="A6" s="164"/>
      <c r="B6" s="165" t="s">
        <v>26</v>
      </c>
      <c r="D6" s="165" t="s">
        <v>18</v>
      </c>
      <c r="E6" s="165" t="s">
        <v>19</v>
      </c>
      <c r="F6" s="165" t="s">
        <v>27</v>
      </c>
      <c r="G6" s="166">
        <v>0.05</v>
      </c>
      <c r="H6" s="167">
        <v>40</v>
      </c>
      <c r="I6" s="168">
        <v>5</v>
      </c>
      <c r="J6" s="169">
        <f>I6*52/12</f>
        <v>21.666666666666668</v>
      </c>
      <c r="K6" s="170">
        <f t="shared" ref="K6" si="4">H6*J6</f>
        <v>866.66666666666674</v>
      </c>
      <c r="L6" s="171">
        <f t="shared" ref="L6" si="5">K6*(1+G6)</f>
        <v>910.00000000000011</v>
      </c>
      <c r="M6" s="170">
        <f t="shared" ref="M6" si="6">L6/2</f>
        <v>455.00000000000006</v>
      </c>
      <c r="N6" s="165" t="s">
        <v>315</v>
      </c>
      <c r="O6" s="172"/>
      <c r="R6" s="173"/>
    </row>
    <row r="7" spans="1:18" x14ac:dyDescent="0.4">
      <c r="A7" s="1">
        <v>3</v>
      </c>
      <c r="B7" t="s">
        <v>29</v>
      </c>
      <c r="D7" t="s">
        <v>18</v>
      </c>
      <c r="E7" t="s">
        <v>19</v>
      </c>
      <c r="F7" t="s">
        <v>20</v>
      </c>
      <c r="G7" s="80">
        <v>0.05</v>
      </c>
      <c r="H7" s="2">
        <v>38</v>
      </c>
      <c r="I7" s="81">
        <v>40</v>
      </c>
      <c r="J7" s="102">
        <f t="shared" ref="J7" si="7">I7*52/12</f>
        <v>173.33333333333334</v>
      </c>
      <c r="K7" s="42">
        <f t="shared" si="1"/>
        <v>6586.666666666667</v>
      </c>
      <c r="L7" s="84">
        <f t="shared" si="2"/>
        <v>6916.0000000000009</v>
      </c>
      <c r="M7" s="42">
        <f t="shared" si="3"/>
        <v>3458.0000000000005</v>
      </c>
      <c r="R7" s="86">
        <f t="shared" si="0"/>
        <v>6688.0000000000009</v>
      </c>
    </row>
    <row r="8" spans="1:18" s="98" customFormat="1" x14ac:dyDescent="0.4">
      <c r="A8" s="143"/>
      <c r="B8" s="98" t="s">
        <v>278</v>
      </c>
      <c r="D8" s="98" t="s">
        <v>18</v>
      </c>
      <c r="E8" s="98" t="s">
        <v>19</v>
      </c>
      <c r="F8" s="98" t="s">
        <v>20</v>
      </c>
      <c r="G8" s="152">
        <v>0.05</v>
      </c>
      <c r="H8" s="145">
        <v>38</v>
      </c>
      <c r="I8" s="146">
        <v>-20</v>
      </c>
      <c r="J8" s="147">
        <f>I8*52/12</f>
        <v>-86.666666666666671</v>
      </c>
      <c r="K8" s="148">
        <f>H8*J8</f>
        <v>-3293.3333333333335</v>
      </c>
      <c r="L8" s="149">
        <f>K8*(1+G8)</f>
        <v>-3458.0000000000005</v>
      </c>
      <c r="M8" s="148">
        <f>L8/2</f>
        <v>-1729.0000000000002</v>
      </c>
      <c r="N8" s="98" t="s">
        <v>285</v>
      </c>
      <c r="O8" s="150" t="s">
        <v>289</v>
      </c>
      <c r="R8" s="151">
        <f>H8*I8*4*1.1</f>
        <v>-3344.0000000000005</v>
      </c>
    </row>
    <row r="9" spans="1:18" x14ac:dyDescent="0.4">
      <c r="A9" s="1">
        <v>4</v>
      </c>
      <c r="B9" t="s">
        <v>30</v>
      </c>
      <c r="D9" t="s">
        <v>18</v>
      </c>
      <c r="E9" t="s">
        <v>19</v>
      </c>
      <c r="F9" t="s">
        <v>20</v>
      </c>
      <c r="G9" s="80">
        <v>0.05</v>
      </c>
      <c r="H9" s="2">
        <v>75</v>
      </c>
      <c r="I9" s="81">
        <v>10</v>
      </c>
      <c r="J9" s="102">
        <f>I9*52/12</f>
        <v>43.333333333333336</v>
      </c>
      <c r="K9" s="42">
        <f t="shared" si="1"/>
        <v>3250</v>
      </c>
      <c r="L9" s="84">
        <f t="shared" si="2"/>
        <v>3412.5</v>
      </c>
      <c r="M9" s="42">
        <f t="shared" si="3"/>
        <v>1706.25</v>
      </c>
      <c r="N9" t="s">
        <v>31</v>
      </c>
      <c r="R9" s="86">
        <f t="shared" si="0"/>
        <v>3300.0000000000005</v>
      </c>
    </row>
    <row r="10" spans="1:18" hidden="1" x14ac:dyDescent="0.4">
      <c r="B10" t="s">
        <v>30</v>
      </c>
      <c r="D10" t="s">
        <v>32</v>
      </c>
      <c r="E10" t="s">
        <v>19</v>
      </c>
      <c r="F10" t="s">
        <v>20</v>
      </c>
      <c r="G10" s="80">
        <v>0.05</v>
      </c>
      <c r="H10" s="2"/>
      <c r="I10" s="81"/>
      <c r="J10" s="102"/>
      <c r="K10" s="42">
        <v>1500</v>
      </c>
      <c r="L10" s="84">
        <f>K10*(1+G10)</f>
        <v>1575</v>
      </c>
      <c r="M10" s="42">
        <f>L10/2</f>
        <v>787.5</v>
      </c>
      <c r="N10" t="s">
        <v>33</v>
      </c>
      <c r="O10" t="s">
        <v>21</v>
      </c>
      <c r="R10" s="86"/>
    </row>
    <row r="11" spans="1:18" x14ac:dyDescent="0.4">
      <c r="A11" s="1">
        <v>5</v>
      </c>
      <c r="B11" t="s">
        <v>34</v>
      </c>
      <c r="D11" t="s">
        <v>18</v>
      </c>
      <c r="E11" t="s">
        <v>19</v>
      </c>
      <c r="F11" t="s">
        <v>20</v>
      </c>
      <c r="G11" s="80">
        <v>0.05</v>
      </c>
      <c r="H11" s="2">
        <v>70</v>
      </c>
      <c r="I11" s="81">
        <v>24</v>
      </c>
      <c r="J11" s="102">
        <f t="shared" ref="J11:J20" si="8">I11*52/12</f>
        <v>104</v>
      </c>
      <c r="K11" s="42">
        <f t="shared" si="1"/>
        <v>7280</v>
      </c>
      <c r="L11" s="84">
        <f t="shared" si="2"/>
        <v>7644</v>
      </c>
      <c r="M11" s="42">
        <f t="shared" si="3"/>
        <v>3822</v>
      </c>
      <c r="N11" t="s">
        <v>35</v>
      </c>
      <c r="R11" s="86">
        <f t="shared" si="0"/>
        <v>7392.0000000000009</v>
      </c>
    </row>
    <row r="12" spans="1:18" s="98" customFormat="1" x14ac:dyDescent="0.4">
      <c r="A12" s="143"/>
      <c r="B12" s="98" t="s">
        <v>284</v>
      </c>
      <c r="D12" s="98" t="s">
        <v>18</v>
      </c>
      <c r="E12" s="98" t="s">
        <v>19</v>
      </c>
      <c r="F12" s="98" t="s">
        <v>20</v>
      </c>
      <c r="G12" s="144">
        <v>0.05</v>
      </c>
      <c r="H12" s="145">
        <v>70</v>
      </c>
      <c r="I12" s="146">
        <v>-24</v>
      </c>
      <c r="J12" s="147">
        <f>I12*52/12</f>
        <v>-104</v>
      </c>
      <c r="K12" s="148">
        <f>H12*J12</f>
        <v>-7280</v>
      </c>
      <c r="L12" s="149">
        <f>K12*(1+G12)</f>
        <v>-7644</v>
      </c>
      <c r="M12" s="148">
        <f>L12/2</f>
        <v>-3822</v>
      </c>
      <c r="N12" s="98" t="s">
        <v>285</v>
      </c>
      <c r="O12" s="150" t="s">
        <v>289</v>
      </c>
      <c r="R12" s="151"/>
    </row>
    <row r="13" spans="1:18" hidden="1" x14ac:dyDescent="0.4">
      <c r="A13" s="1">
        <v>6</v>
      </c>
      <c r="B13" t="s">
        <v>36</v>
      </c>
      <c r="D13" t="s">
        <v>32</v>
      </c>
      <c r="E13" t="s">
        <v>37</v>
      </c>
      <c r="F13" t="s">
        <v>20</v>
      </c>
      <c r="G13" s="80">
        <v>0.05</v>
      </c>
      <c r="H13" s="2">
        <v>74</v>
      </c>
      <c r="I13" s="81">
        <v>40</v>
      </c>
      <c r="J13" s="102">
        <f t="shared" si="8"/>
        <v>173.33333333333334</v>
      </c>
      <c r="K13" s="42">
        <f t="shared" si="1"/>
        <v>12826.666666666668</v>
      </c>
      <c r="L13" s="84">
        <f t="shared" si="2"/>
        <v>13468.000000000002</v>
      </c>
      <c r="M13" s="42">
        <f t="shared" si="3"/>
        <v>6734.0000000000009</v>
      </c>
      <c r="O13" t="s">
        <v>21</v>
      </c>
      <c r="R13" s="86">
        <f t="shared" si="0"/>
        <v>13024.000000000002</v>
      </c>
    </row>
    <row r="14" spans="1:18" x14ac:dyDescent="0.4">
      <c r="A14" s="1">
        <v>7</v>
      </c>
      <c r="B14" t="s">
        <v>38</v>
      </c>
      <c r="D14" t="s">
        <v>18</v>
      </c>
      <c r="E14" t="s">
        <v>19</v>
      </c>
      <c r="F14" t="s">
        <v>20</v>
      </c>
      <c r="G14" s="80">
        <v>0.05</v>
      </c>
      <c r="H14" s="2">
        <v>60</v>
      </c>
      <c r="I14" s="81">
        <v>20</v>
      </c>
      <c r="J14" s="102">
        <f t="shared" si="8"/>
        <v>86.666666666666671</v>
      </c>
      <c r="K14" s="42">
        <f t="shared" si="1"/>
        <v>5200</v>
      </c>
      <c r="L14" s="84">
        <f t="shared" si="2"/>
        <v>5460</v>
      </c>
      <c r="M14" s="42">
        <f t="shared" si="3"/>
        <v>2730</v>
      </c>
      <c r="R14" s="86">
        <f t="shared" si="0"/>
        <v>5280</v>
      </c>
    </row>
    <row r="15" spans="1:18" x14ac:dyDescent="0.4">
      <c r="A15" s="1">
        <v>8</v>
      </c>
      <c r="B15" t="s">
        <v>39</v>
      </c>
      <c r="D15" t="s">
        <v>18</v>
      </c>
      <c r="E15" t="s">
        <v>19</v>
      </c>
      <c r="F15" t="s">
        <v>20</v>
      </c>
      <c r="G15" s="80">
        <v>0.05</v>
      </c>
      <c r="H15" s="2">
        <v>25</v>
      </c>
      <c r="I15" s="81">
        <v>40</v>
      </c>
      <c r="J15" s="102">
        <f t="shared" si="8"/>
        <v>173.33333333333334</v>
      </c>
      <c r="K15" s="42">
        <f t="shared" si="1"/>
        <v>4333.3333333333339</v>
      </c>
      <c r="L15" s="84">
        <f t="shared" si="2"/>
        <v>4550.0000000000009</v>
      </c>
      <c r="M15" s="42">
        <f t="shared" si="3"/>
        <v>2275.0000000000005</v>
      </c>
      <c r="R15" s="86">
        <f t="shared" si="0"/>
        <v>4400</v>
      </c>
    </row>
    <row r="16" spans="1:18" x14ac:dyDescent="0.4">
      <c r="A16" s="1">
        <v>9</v>
      </c>
      <c r="B16" t="s">
        <v>40</v>
      </c>
      <c r="D16" t="s">
        <v>18</v>
      </c>
      <c r="E16" t="s">
        <v>19</v>
      </c>
      <c r="F16" t="s">
        <v>41</v>
      </c>
      <c r="G16" s="80">
        <v>0.01</v>
      </c>
      <c r="H16" s="2">
        <v>18</v>
      </c>
      <c r="I16" s="81">
        <v>40</v>
      </c>
      <c r="J16" s="102">
        <f t="shared" si="8"/>
        <v>173.33333333333334</v>
      </c>
      <c r="K16" s="42">
        <f t="shared" si="1"/>
        <v>3120</v>
      </c>
      <c r="L16" s="84">
        <f t="shared" si="2"/>
        <v>3151.2</v>
      </c>
      <c r="M16" s="42">
        <f t="shared" si="3"/>
        <v>1575.6</v>
      </c>
      <c r="N16" t="s">
        <v>42</v>
      </c>
      <c r="R16" s="86">
        <f t="shared" si="0"/>
        <v>3168.0000000000005</v>
      </c>
    </row>
    <row r="17" spans="1:18" s="165" customFormat="1" x14ac:dyDescent="0.4">
      <c r="A17" s="164"/>
      <c r="B17" s="165" t="s">
        <v>279</v>
      </c>
      <c r="D17" s="165" t="s">
        <v>18</v>
      </c>
      <c r="E17" s="165" t="s">
        <v>19</v>
      </c>
      <c r="F17" s="165" t="s">
        <v>41</v>
      </c>
      <c r="G17" s="166">
        <v>0.01</v>
      </c>
      <c r="H17" s="167">
        <v>2</v>
      </c>
      <c r="I17" s="168">
        <v>40</v>
      </c>
      <c r="J17" s="169">
        <f>I17*52/12</f>
        <v>173.33333333333334</v>
      </c>
      <c r="K17" s="170">
        <f>H17*J17</f>
        <v>346.66666666666669</v>
      </c>
      <c r="L17" s="171">
        <f>K17*(1+G17)</f>
        <v>350.13333333333338</v>
      </c>
      <c r="M17" s="170">
        <f>L17/2</f>
        <v>175.06666666666669</v>
      </c>
      <c r="N17" s="165" t="s">
        <v>280</v>
      </c>
      <c r="O17" s="172"/>
      <c r="R17" s="173"/>
    </row>
    <row r="18" spans="1:18" s="11" customFormat="1" x14ac:dyDescent="0.4">
      <c r="A18" s="1">
        <v>10</v>
      </c>
      <c r="B18" t="s">
        <v>43</v>
      </c>
      <c r="C18"/>
      <c r="D18" t="s">
        <v>18</v>
      </c>
      <c r="E18" t="s">
        <v>19</v>
      </c>
      <c r="F18" t="s">
        <v>41</v>
      </c>
      <c r="G18" s="80">
        <v>0.01</v>
      </c>
      <c r="H18" s="2">
        <v>25</v>
      </c>
      <c r="I18" s="81">
        <v>40</v>
      </c>
      <c r="J18" s="102">
        <f t="shared" si="8"/>
        <v>173.33333333333334</v>
      </c>
      <c r="K18" s="42">
        <f t="shared" si="1"/>
        <v>4333.3333333333339</v>
      </c>
      <c r="L18" s="84">
        <f t="shared" si="2"/>
        <v>4376.666666666667</v>
      </c>
      <c r="M18" s="42">
        <f t="shared" si="3"/>
        <v>2188.3333333333335</v>
      </c>
      <c r="N18" t="s">
        <v>44</v>
      </c>
      <c r="O18" s="124"/>
      <c r="R18" s="18">
        <f t="shared" si="0"/>
        <v>4400</v>
      </c>
    </row>
    <row r="19" spans="1:18" s="103" customFormat="1" x14ac:dyDescent="0.4">
      <c r="A19" s="82"/>
      <c r="B19" s="103" t="s">
        <v>45</v>
      </c>
      <c r="D19" s="103" t="s">
        <v>18</v>
      </c>
      <c r="E19" s="103" t="s">
        <v>19</v>
      </c>
      <c r="F19" s="103" t="s">
        <v>41</v>
      </c>
      <c r="G19" s="104">
        <v>0.01</v>
      </c>
      <c r="H19" s="83">
        <v>20</v>
      </c>
      <c r="I19" s="105"/>
      <c r="J19" s="108">
        <f t="shared" si="8"/>
        <v>0</v>
      </c>
      <c r="K19" s="85">
        <f t="shared" si="1"/>
        <v>0</v>
      </c>
      <c r="L19" s="106">
        <f t="shared" si="2"/>
        <v>0</v>
      </c>
      <c r="M19" s="85">
        <f t="shared" si="3"/>
        <v>0</v>
      </c>
      <c r="N19" s="103" t="s">
        <v>46</v>
      </c>
      <c r="O19" s="123" t="s">
        <v>47</v>
      </c>
      <c r="R19" s="107">
        <f t="shared" si="0"/>
        <v>0</v>
      </c>
    </row>
    <row r="20" spans="1:18" s="28" customFormat="1" x14ac:dyDescent="0.4">
      <c r="A20" s="92">
        <v>11</v>
      </c>
      <c r="B20" s="28" t="s">
        <v>48</v>
      </c>
      <c r="D20" s="28" t="s">
        <v>18</v>
      </c>
      <c r="E20" s="28" t="s">
        <v>49</v>
      </c>
      <c r="F20" s="28" t="s">
        <v>41</v>
      </c>
      <c r="G20" s="93">
        <v>0.01</v>
      </c>
      <c r="H20" s="94">
        <v>21</v>
      </c>
      <c r="I20" s="48">
        <v>40</v>
      </c>
      <c r="J20" s="155">
        <f t="shared" si="8"/>
        <v>173.33333333333334</v>
      </c>
      <c r="K20" s="156">
        <f t="shared" si="1"/>
        <v>3640</v>
      </c>
      <c r="L20" s="49">
        <f t="shared" si="2"/>
        <v>3676.4</v>
      </c>
      <c r="M20" s="100">
        <f t="shared" si="3"/>
        <v>1838.2</v>
      </c>
      <c r="O20" s="125"/>
      <c r="R20" s="95">
        <f t="shared" si="0"/>
        <v>3696.0000000000005</v>
      </c>
    </row>
    <row r="21" spans="1:18" s="11" customFormat="1" hidden="1" x14ac:dyDescent="0.4">
      <c r="A21" s="10"/>
      <c r="B21" s="11" t="s">
        <v>50</v>
      </c>
      <c r="D21" s="11" t="s">
        <v>32</v>
      </c>
      <c r="E21" s="11" t="s">
        <v>19</v>
      </c>
      <c r="F21" s="11" t="s">
        <v>27</v>
      </c>
      <c r="G21" s="12">
        <v>0.01</v>
      </c>
      <c r="H21" s="13">
        <v>87</v>
      </c>
      <c r="I21" s="14">
        <v>40</v>
      </c>
      <c r="J21" s="19">
        <f>I21*52/12</f>
        <v>173.33333333333334</v>
      </c>
      <c r="K21" s="20">
        <f>H21*J21</f>
        <v>15080</v>
      </c>
      <c r="L21" s="17">
        <f>K21*(1+G21)</f>
        <v>15230.8</v>
      </c>
      <c r="M21" s="16">
        <f>L21/2</f>
        <v>7615.4</v>
      </c>
      <c r="O21" s="11" t="s">
        <v>21</v>
      </c>
      <c r="R21" s="18">
        <f>H21*I21*4*1.1</f>
        <v>15312.000000000002</v>
      </c>
    </row>
    <row r="22" spans="1:18" s="11" customFormat="1" hidden="1" x14ac:dyDescent="0.4">
      <c r="A22" s="10"/>
      <c r="B22" s="11" t="s">
        <v>48</v>
      </c>
      <c r="D22" s="11" t="s">
        <v>18</v>
      </c>
      <c r="E22" s="11" t="s">
        <v>51</v>
      </c>
      <c r="F22" s="11" t="s">
        <v>41</v>
      </c>
      <c r="G22" s="12">
        <v>0.01</v>
      </c>
      <c r="H22" s="13">
        <v>23</v>
      </c>
      <c r="I22" s="14">
        <v>20</v>
      </c>
      <c r="J22" s="19">
        <f t="shared" ref="J22:J23" si="9">I22*52/12</f>
        <v>86.666666666666671</v>
      </c>
      <c r="K22" s="20">
        <f t="shared" ref="K22:K23" si="10">H22*J22</f>
        <v>1993.3333333333335</v>
      </c>
      <c r="L22" s="17">
        <f t="shared" ref="L22:L23" si="11">K22*(1+G22)</f>
        <v>2013.2666666666669</v>
      </c>
      <c r="M22" s="16">
        <f t="shared" ref="M22:M108" si="12">L22/2</f>
        <v>1006.6333333333334</v>
      </c>
      <c r="O22" s="11" t="s">
        <v>51</v>
      </c>
      <c r="R22" s="18">
        <f t="shared" si="0"/>
        <v>2024.0000000000002</v>
      </c>
    </row>
    <row r="23" spans="1:18" x14ac:dyDescent="0.4">
      <c r="B23" t="s">
        <v>52</v>
      </c>
      <c r="D23" t="s">
        <v>18</v>
      </c>
      <c r="E23" t="s">
        <v>19</v>
      </c>
      <c r="F23" t="s">
        <v>27</v>
      </c>
      <c r="G23" s="80">
        <v>0.01</v>
      </c>
      <c r="H23" s="2">
        <v>50</v>
      </c>
      <c r="I23" s="81">
        <v>30</v>
      </c>
      <c r="J23" s="108">
        <f t="shared" si="9"/>
        <v>130</v>
      </c>
      <c r="K23" s="85">
        <f t="shared" si="10"/>
        <v>6500</v>
      </c>
      <c r="L23" s="84">
        <f t="shared" si="11"/>
        <v>6565</v>
      </c>
      <c r="M23" s="42">
        <f t="shared" si="12"/>
        <v>3282.5</v>
      </c>
      <c r="N23" t="s">
        <v>53</v>
      </c>
      <c r="R23" s="86">
        <f t="shared" si="0"/>
        <v>6600.0000000000009</v>
      </c>
    </row>
    <row r="24" spans="1:18" s="11" customFormat="1" hidden="1" x14ac:dyDescent="0.4">
      <c r="A24" s="10"/>
      <c r="B24" s="11" t="s">
        <v>54</v>
      </c>
      <c r="D24" s="11" t="s">
        <v>32</v>
      </c>
      <c r="E24" s="11" t="s">
        <v>37</v>
      </c>
      <c r="F24" s="11" t="s">
        <v>27</v>
      </c>
      <c r="G24" s="12">
        <v>0.01</v>
      </c>
      <c r="H24" s="13">
        <v>125</v>
      </c>
      <c r="I24" s="14">
        <v>30</v>
      </c>
      <c r="J24" s="19">
        <f>I24*52/12</f>
        <v>130</v>
      </c>
      <c r="K24" s="20">
        <f>H24*J24</f>
        <v>16250</v>
      </c>
      <c r="L24" s="17">
        <f>K24*(1+G24)</f>
        <v>16412.5</v>
      </c>
      <c r="M24" s="20">
        <f>L24/2</f>
        <v>8206.25</v>
      </c>
      <c r="O24" s="11" t="s">
        <v>21</v>
      </c>
      <c r="R24" s="18"/>
    </row>
    <row r="25" spans="1:18" s="11" customFormat="1" hidden="1" x14ac:dyDescent="0.4">
      <c r="A25" s="10">
        <v>13</v>
      </c>
      <c r="B25" s="11" t="s">
        <v>55</v>
      </c>
      <c r="D25" s="11" t="s">
        <v>18</v>
      </c>
      <c r="E25" s="11" t="s">
        <v>51</v>
      </c>
      <c r="F25" s="11" t="s">
        <v>41</v>
      </c>
      <c r="G25" s="12">
        <v>0.01</v>
      </c>
      <c r="H25" s="13"/>
      <c r="I25" s="14"/>
      <c r="J25" s="21"/>
      <c r="K25" s="31">
        <v>1250</v>
      </c>
      <c r="L25" s="17">
        <f>K25*(1+G25)</f>
        <v>1262.5</v>
      </c>
      <c r="M25" s="20">
        <f t="shared" si="12"/>
        <v>631.25</v>
      </c>
      <c r="N25" s="11" t="s">
        <v>56</v>
      </c>
      <c r="R25" s="18">
        <f>L25</f>
        <v>1262.5</v>
      </c>
    </row>
    <row r="26" spans="1:18" s="28" customFormat="1" x14ac:dyDescent="0.4">
      <c r="A26" s="92"/>
      <c r="B26" s="28" t="s">
        <v>55</v>
      </c>
      <c r="D26" s="28" t="s">
        <v>18</v>
      </c>
      <c r="E26" s="28" t="s">
        <v>49</v>
      </c>
      <c r="F26" s="28" t="s">
        <v>41</v>
      </c>
      <c r="G26" s="93">
        <v>0.01</v>
      </c>
      <c r="H26" s="94"/>
      <c r="I26" s="48"/>
      <c r="J26" s="157"/>
      <c r="K26" s="158">
        <v>2500</v>
      </c>
      <c r="L26" s="49">
        <f>K26*(1+G26)</f>
        <v>2525</v>
      </c>
      <c r="M26" s="156">
        <f t="shared" si="12"/>
        <v>1262.5</v>
      </c>
      <c r="N26" s="28" t="s">
        <v>282</v>
      </c>
      <c r="O26" s="125"/>
      <c r="R26" s="95"/>
    </row>
    <row r="27" spans="1:18" x14ac:dyDescent="0.4">
      <c r="A27" s="1">
        <v>15</v>
      </c>
      <c r="B27" t="s">
        <v>57</v>
      </c>
      <c r="D27" t="s">
        <v>18</v>
      </c>
      <c r="E27" t="s">
        <v>19</v>
      </c>
      <c r="F27" t="s">
        <v>58</v>
      </c>
      <c r="G27" s="80">
        <v>0.12</v>
      </c>
      <c r="H27" s="2">
        <v>18</v>
      </c>
      <c r="I27" s="81">
        <v>40</v>
      </c>
      <c r="J27" s="108">
        <f>I27*52/12</f>
        <v>173.33333333333334</v>
      </c>
      <c r="K27" s="85">
        <f>H27*J27</f>
        <v>3120</v>
      </c>
      <c r="L27" s="84">
        <f t="shared" ref="L27:L64" si="13">K27*(1+G27)</f>
        <v>3494.4000000000005</v>
      </c>
      <c r="M27" s="42">
        <f t="shared" si="12"/>
        <v>1747.2000000000003</v>
      </c>
      <c r="N27" t="s">
        <v>59</v>
      </c>
      <c r="R27" s="86">
        <f t="shared" si="0"/>
        <v>3168.0000000000005</v>
      </c>
    </row>
    <row r="28" spans="1:18" s="98" customFormat="1" x14ac:dyDescent="0.4">
      <c r="A28" s="143">
        <v>15</v>
      </c>
      <c r="B28" s="98" t="s">
        <v>57</v>
      </c>
      <c r="D28" s="98" t="s">
        <v>18</v>
      </c>
      <c r="E28" s="98" t="s">
        <v>19</v>
      </c>
      <c r="F28" s="98" t="s">
        <v>58</v>
      </c>
      <c r="G28" s="144">
        <v>0.12</v>
      </c>
      <c r="H28" s="145">
        <v>18</v>
      </c>
      <c r="I28" s="146">
        <v>-40</v>
      </c>
      <c r="J28" s="147">
        <f>I28*52/12</f>
        <v>-173.33333333333334</v>
      </c>
      <c r="K28" s="148">
        <f>H28*J28</f>
        <v>-3120</v>
      </c>
      <c r="L28" s="149">
        <f t="shared" ref="L28" si="14">K28*(1+G28)</f>
        <v>-3494.4000000000005</v>
      </c>
      <c r="M28" s="148">
        <f t="shared" ref="M28" si="15">L28/2</f>
        <v>-1747.2000000000003</v>
      </c>
      <c r="N28" s="98" t="s">
        <v>296</v>
      </c>
      <c r="O28" s="150"/>
      <c r="R28" s="151"/>
    </row>
    <row r="29" spans="1:18" s="165" customFormat="1" x14ac:dyDescent="0.4">
      <c r="A29" s="164"/>
      <c r="B29" s="165" t="s">
        <v>57</v>
      </c>
      <c r="D29" s="165" t="s">
        <v>18</v>
      </c>
      <c r="E29" s="165" t="s">
        <v>19</v>
      </c>
      <c r="F29" s="165" t="s">
        <v>58</v>
      </c>
      <c r="G29" s="166">
        <v>0.1</v>
      </c>
      <c r="H29" s="167">
        <v>20</v>
      </c>
      <c r="I29" s="168">
        <v>20</v>
      </c>
      <c r="J29" s="169">
        <f>I29*52/12</f>
        <v>86.666666666666671</v>
      </c>
      <c r="K29" s="170">
        <f>H29*J29</f>
        <v>1733.3333333333335</v>
      </c>
      <c r="L29" s="171">
        <f t="shared" ref="L29" si="16">K29*(1+G29)</f>
        <v>1906.666666666667</v>
      </c>
      <c r="M29" s="170"/>
      <c r="N29" s="165" t="s">
        <v>302</v>
      </c>
      <c r="O29" s="172"/>
      <c r="R29" s="173"/>
    </row>
    <row r="30" spans="1:18" x14ac:dyDescent="0.4">
      <c r="A30" s="1">
        <v>16</v>
      </c>
      <c r="B30" t="s">
        <v>60</v>
      </c>
      <c r="D30" t="s">
        <v>18</v>
      </c>
      <c r="E30" t="s">
        <v>37</v>
      </c>
      <c r="F30" t="s">
        <v>58</v>
      </c>
      <c r="G30" s="80">
        <v>0.12</v>
      </c>
      <c r="H30" s="2">
        <v>36.880000000000003</v>
      </c>
      <c r="I30" s="81">
        <v>40</v>
      </c>
      <c r="J30" s="108">
        <f t="shared" ref="J30:J65" si="17">I30*52/12</f>
        <v>173.33333333333334</v>
      </c>
      <c r="K30" s="85">
        <f>H30*J30</f>
        <v>6392.5333333333338</v>
      </c>
      <c r="L30" s="84">
        <f t="shared" si="13"/>
        <v>7159.6373333333349</v>
      </c>
      <c r="M30" s="42">
        <f t="shared" si="12"/>
        <v>3579.8186666666675</v>
      </c>
      <c r="N30" t="s">
        <v>61</v>
      </c>
      <c r="R30" s="86">
        <f t="shared" si="0"/>
        <v>6490.880000000001</v>
      </c>
    </row>
    <row r="31" spans="1:18" x14ac:dyDescent="0.4">
      <c r="A31" s="1">
        <v>18</v>
      </c>
      <c r="B31" t="s">
        <v>62</v>
      </c>
      <c r="D31" t="s">
        <v>18</v>
      </c>
      <c r="E31" t="s">
        <v>37</v>
      </c>
      <c r="F31" t="s">
        <v>58</v>
      </c>
      <c r="G31" s="80">
        <v>0.1</v>
      </c>
      <c r="H31" s="2">
        <v>19</v>
      </c>
      <c r="I31" s="81">
        <v>10</v>
      </c>
      <c r="J31" s="108">
        <f t="shared" si="17"/>
        <v>43.333333333333336</v>
      </c>
      <c r="K31" s="85">
        <f t="shared" ref="K31:K66" si="18">H31*J31</f>
        <v>823.33333333333337</v>
      </c>
      <c r="L31" s="84">
        <f t="shared" si="13"/>
        <v>905.66666666666674</v>
      </c>
      <c r="M31" s="42">
        <f t="shared" si="12"/>
        <v>452.83333333333337</v>
      </c>
      <c r="N31" t="s">
        <v>63</v>
      </c>
      <c r="R31" s="86">
        <f t="shared" si="0"/>
        <v>836.00000000000011</v>
      </c>
    </row>
    <row r="32" spans="1:18" s="178" customFormat="1" x14ac:dyDescent="0.4">
      <c r="A32" s="177">
        <v>18</v>
      </c>
      <c r="B32" s="178" t="s">
        <v>300</v>
      </c>
      <c r="D32" s="178" t="s">
        <v>18</v>
      </c>
      <c r="E32" s="178" t="s">
        <v>37</v>
      </c>
      <c r="F32" s="178" t="s">
        <v>58</v>
      </c>
      <c r="G32" s="179">
        <v>0.12</v>
      </c>
      <c r="H32" s="180">
        <v>43</v>
      </c>
      <c r="I32" s="174">
        <v>40</v>
      </c>
      <c r="J32" s="175">
        <f t="shared" ref="J32" si="19">I32*52/12</f>
        <v>173.33333333333334</v>
      </c>
      <c r="K32" s="176">
        <f t="shared" ref="K32" si="20">H32*J32</f>
        <v>7453.3333333333339</v>
      </c>
      <c r="L32" s="181"/>
      <c r="M32" s="182"/>
      <c r="N32" s="178" t="s">
        <v>301</v>
      </c>
      <c r="O32" s="183"/>
      <c r="R32" s="184"/>
    </row>
    <row r="33" spans="1:18" x14ac:dyDescent="0.4">
      <c r="A33" s="1">
        <v>19</v>
      </c>
      <c r="B33" t="s">
        <v>64</v>
      </c>
      <c r="D33" t="s">
        <v>18</v>
      </c>
      <c r="E33" t="s">
        <v>37</v>
      </c>
      <c r="F33" t="s">
        <v>58</v>
      </c>
      <c r="G33" s="80">
        <v>0.1</v>
      </c>
      <c r="H33" s="2">
        <v>18</v>
      </c>
      <c r="I33" s="81">
        <v>16</v>
      </c>
      <c r="J33" s="108">
        <f t="shared" si="17"/>
        <v>69.333333333333329</v>
      </c>
      <c r="K33" s="85">
        <f t="shared" si="18"/>
        <v>1248</v>
      </c>
      <c r="L33" s="84">
        <f t="shared" si="13"/>
        <v>1372.8000000000002</v>
      </c>
      <c r="M33" s="42">
        <f t="shared" si="12"/>
        <v>686.40000000000009</v>
      </c>
      <c r="N33" t="s">
        <v>63</v>
      </c>
      <c r="R33" s="86">
        <f t="shared" si="0"/>
        <v>1267.2</v>
      </c>
    </row>
    <row r="34" spans="1:18" x14ac:dyDescent="0.4">
      <c r="A34" s="1">
        <v>20</v>
      </c>
      <c r="B34" t="s">
        <v>65</v>
      </c>
      <c r="D34" t="s">
        <v>18</v>
      </c>
      <c r="E34" t="s">
        <v>37</v>
      </c>
      <c r="F34" t="s">
        <v>58</v>
      </c>
      <c r="G34" s="80">
        <v>0.1</v>
      </c>
      <c r="H34" s="2">
        <v>71.62</v>
      </c>
      <c r="I34" s="81">
        <v>40</v>
      </c>
      <c r="J34" s="108">
        <f t="shared" si="17"/>
        <v>173.33333333333334</v>
      </c>
      <c r="K34" s="85">
        <f t="shared" si="18"/>
        <v>12414.133333333335</v>
      </c>
      <c r="L34" s="84">
        <f t="shared" si="13"/>
        <v>13655.546666666669</v>
      </c>
      <c r="M34" s="42">
        <f t="shared" si="12"/>
        <v>6827.7733333333344</v>
      </c>
      <c r="N34" t="s">
        <v>66</v>
      </c>
      <c r="R34" s="86">
        <f t="shared" si="0"/>
        <v>12605.120000000003</v>
      </c>
    </row>
    <row r="35" spans="1:18" x14ac:dyDescent="0.4">
      <c r="A35" s="1">
        <v>22</v>
      </c>
      <c r="B35" t="s">
        <v>69</v>
      </c>
      <c r="D35" t="s">
        <v>18</v>
      </c>
      <c r="E35" t="s">
        <v>19</v>
      </c>
      <c r="F35" t="s">
        <v>58</v>
      </c>
      <c r="G35" s="80">
        <v>0.12</v>
      </c>
      <c r="H35" s="2">
        <v>54.22</v>
      </c>
      <c r="I35" s="81">
        <v>40</v>
      </c>
      <c r="J35" s="108">
        <f t="shared" si="17"/>
        <v>173.33333333333334</v>
      </c>
      <c r="K35" s="85">
        <f t="shared" si="18"/>
        <v>9398.1333333333332</v>
      </c>
      <c r="L35" s="84">
        <f t="shared" si="13"/>
        <v>10525.909333333335</v>
      </c>
      <c r="M35" s="42">
        <f t="shared" si="12"/>
        <v>5262.9546666666674</v>
      </c>
      <c r="N35" t="s">
        <v>61</v>
      </c>
      <c r="R35" s="86">
        <f t="shared" si="0"/>
        <v>9542.7200000000012</v>
      </c>
    </row>
    <row r="36" spans="1:18" x14ac:dyDescent="0.4">
      <c r="A36" s="1">
        <v>23</v>
      </c>
      <c r="B36" t="s">
        <v>70</v>
      </c>
      <c r="D36" t="s">
        <v>18</v>
      </c>
      <c r="E36" t="s">
        <v>71</v>
      </c>
      <c r="F36" t="s">
        <v>58</v>
      </c>
      <c r="G36" s="80">
        <v>0.12</v>
      </c>
      <c r="H36" s="2">
        <v>38</v>
      </c>
      <c r="I36" s="81">
        <v>40</v>
      </c>
      <c r="J36" s="108">
        <f t="shared" si="17"/>
        <v>173.33333333333334</v>
      </c>
      <c r="K36" s="85">
        <f t="shared" si="18"/>
        <v>6586.666666666667</v>
      </c>
      <c r="L36" s="84">
        <f t="shared" si="13"/>
        <v>7377.0666666666675</v>
      </c>
      <c r="M36" s="42">
        <f t="shared" si="12"/>
        <v>3688.5333333333338</v>
      </c>
      <c r="N36" t="s">
        <v>72</v>
      </c>
      <c r="R36" s="86">
        <f t="shared" si="0"/>
        <v>6688.0000000000009</v>
      </c>
    </row>
    <row r="37" spans="1:18" x14ac:dyDescent="0.4">
      <c r="A37" s="1">
        <v>24</v>
      </c>
      <c r="B37" t="s">
        <v>73</v>
      </c>
      <c r="D37" t="s">
        <v>18</v>
      </c>
      <c r="E37" t="s">
        <v>74</v>
      </c>
      <c r="F37" t="s">
        <v>58</v>
      </c>
      <c r="G37" s="80">
        <v>0.12</v>
      </c>
      <c r="H37" s="2">
        <v>33</v>
      </c>
      <c r="I37" s="81">
        <v>40</v>
      </c>
      <c r="J37" s="108">
        <f t="shared" si="17"/>
        <v>173.33333333333334</v>
      </c>
      <c r="K37" s="85">
        <f t="shared" si="18"/>
        <v>5720</v>
      </c>
      <c r="L37" s="84">
        <f t="shared" si="13"/>
        <v>6406.4000000000005</v>
      </c>
      <c r="M37" s="42">
        <f t="shared" si="12"/>
        <v>3203.2000000000003</v>
      </c>
      <c r="N37" t="s">
        <v>61</v>
      </c>
      <c r="R37" s="86">
        <f t="shared" si="0"/>
        <v>5808.0000000000009</v>
      </c>
    </row>
    <row r="38" spans="1:18" s="98" customFormat="1" x14ac:dyDescent="0.4">
      <c r="A38" s="143"/>
      <c r="B38" s="98" t="s">
        <v>73</v>
      </c>
      <c r="D38" s="98" t="s">
        <v>18</v>
      </c>
      <c r="E38" s="98" t="s">
        <v>74</v>
      </c>
      <c r="F38" s="98" t="s">
        <v>58</v>
      </c>
      <c r="G38" s="144">
        <v>0.12</v>
      </c>
      <c r="H38" s="145">
        <v>33</v>
      </c>
      <c r="I38" s="146">
        <v>-40</v>
      </c>
      <c r="J38" s="147">
        <f t="shared" ref="J38" si="21">I38*52/12</f>
        <v>-173.33333333333334</v>
      </c>
      <c r="K38" s="148">
        <f t="shared" ref="K38" si="22">H38*J38</f>
        <v>-5720</v>
      </c>
      <c r="L38" s="149">
        <f t="shared" ref="L38" si="23">K38*(1+G38)</f>
        <v>-6406.4000000000005</v>
      </c>
      <c r="M38" s="148">
        <f t="shared" ref="M38" si="24">L38/2</f>
        <v>-3203.2000000000003</v>
      </c>
      <c r="N38" s="98" t="s">
        <v>285</v>
      </c>
      <c r="O38" s="150"/>
      <c r="R38" s="151"/>
    </row>
    <row r="39" spans="1:18" x14ac:dyDescent="0.4">
      <c r="A39" s="1">
        <v>25</v>
      </c>
      <c r="B39" t="s">
        <v>75</v>
      </c>
      <c r="D39" t="s">
        <v>18</v>
      </c>
      <c r="E39" t="s">
        <v>19</v>
      </c>
      <c r="F39" t="s">
        <v>58</v>
      </c>
      <c r="G39" s="80">
        <v>0.12</v>
      </c>
      <c r="H39" s="2">
        <v>22.5</v>
      </c>
      <c r="I39" s="81">
        <v>40</v>
      </c>
      <c r="J39" s="108">
        <f t="shared" si="17"/>
        <v>173.33333333333334</v>
      </c>
      <c r="K39" s="85">
        <f t="shared" si="18"/>
        <v>3900</v>
      </c>
      <c r="L39" s="84">
        <f t="shared" si="13"/>
        <v>4368</v>
      </c>
      <c r="M39" s="42">
        <f t="shared" si="12"/>
        <v>2184</v>
      </c>
      <c r="N39" t="s">
        <v>72</v>
      </c>
      <c r="R39" s="86">
        <f t="shared" si="0"/>
        <v>3960.0000000000005</v>
      </c>
    </row>
    <row r="40" spans="1:18" x14ac:dyDescent="0.4">
      <c r="B40" t="s">
        <v>317</v>
      </c>
      <c r="D40" t="s">
        <v>18</v>
      </c>
      <c r="E40" t="s">
        <v>19</v>
      </c>
      <c r="F40" t="s">
        <v>58</v>
      </c>
      <c r="G40" s="80">
        <v>0.12</v>
      </c>
      <c r="H40" s="2"/>
      <c r="I40" s="81"/>
      <c r="J40" s="108"/>
      <c r="K40" s="85">
        <f>52*100/12</f>
        <v>433.33333333333331</v>
      </c>
      <c r="L40" s="84">
        <f t="shared" si="13"/>
        <v>485.33333333333337</v>
      </c>
      <c r="M40" s="42">
        <f t="shared" si="12"/>
        <v>242.66666666666669</v>
      </c>
      <c r="N40" t="s">
        <v>316</v>
      </c>
      <c r="R40" s="86"/>
    </row>
    <row r="41" spans="1:18" x14ac:dyDescent="0.4">
      <c r="A41" s="1">
        <v>27</v>
      </c>
      <c r="B41" t="s">
        <v>76</v>
      </c>
      <c r="D41" t="s">
        <v>18</v>
      </c>
      <c r="E41" t="s">
        <v>37</v>
      </c>
      <c r="F41" t="s">
        <v>58</v>
      </c>
      <c r="G41" s="80">
        <v>0.12</v>
      </c>
      <c r="H41" s="2">
        <v>52.01</v>
      </c>
      <c r="I41" s="81">
        <v>40</v>
      </c>
      <c r="J41" s="108">
        <f t="shared" si="17"/>
        <v>173.33333333333334</v>
      </c>
      <c r="K41" s="85">
        <f t="shared" si="18"/>
        <v>9015.0666666666675</v>
      </c>
      <c r="L41" s="84">
        <f t="shared" si="13"/>
        <v>10096.874666666668</v>
      </c>
      <c r="M41" s="42">
        <f t="shared" si="12"/>
        <v>5048.4373333333342</v>
      </c>
      <c r="N41" t="s">
        <v>61</v>
      </c>
      <c r="R41" s="86">
        <f t="shared" si="0"/>
        <v>9153.760000000002</v>
      </c>
    </row>
    <row r="42" spans="1:18" x14ac:dyDescent="0.4">
      <c r="A42" s="1">
        <v>28</v>
      </c>
      <c r="B42" t="s">
        <v>77</v>
      </c>
      <c r="D42" t="s">
        <v>18</v>
      </c>
      <c r="E42" t="s">
        <v>49</v>
      </c>
      <c r="F42" t="s">
        <v>58</v>
      </c>
      <c r="G42" s="80">
        <v>0.1</v>
      </c>
      <c r="H42" s="2">
        <v>21</v>
      </c>
      <c r="I42" s="81">
        <v>40</v>
      </c>
      <c r="J42" s="108">
        <f t="shared" si="17"/>
        <v>173.33333333333334</v>
      </c>
      <c r="K42" s="85">
        <f t="shared" si="18"/>
        <v>3640</v>
      </c>
      <c r="L42" s="84">
        <f t="shared" si="13"/>
        <v>4004.0000000000005</v>
      </c>
      <c r="M42" s="42">
        <f t="shared" si="12"/>
        <v>2002.0000000000002</v>
      </c>
      <c r="N42" t="s">
        <v>78</v>
      </c>
      <c r="R42" s="86">
        <f t="shared" si="0"/>
        <v>3696.0000000000005</v>
      </c>
    </row>
    <row r="43" spans="1:18" x14ac:dyDescent="0.4">
      <c r="A43" s="1">
        <v>29</v>
      </c>
      <c r="B43" t="s">
        <v>79</v>
      </c>
      <c r="D43" t="s">
        <v>18</v>
      </c>
      <c r="E43" t="s">
        <v>49</v>
      </c>
      <c r="F43" t="s">
        <v>58</v>
      </c>
      <c r="G43" s="80">
        <v>0.12</v>
      </c>
      <c r="H43" s="2">
        <v>23</v>
      </c>
      <c r="I43" s="81">
        <v>40</v>
      </c>
      <c r="J43" s="108">
        <f t="shared" si="17"/>
        <v>173.33333333333334</v>
      </c>
      <c r="K43" s="85">
        <f t="shared" si="18"/>
        <v>3986.666666666667</v>
      </c>
      <c r="L43" s="84">
        <f t="shared" si="13"/>
        <v>4465.0666666666675</v>
      </c>
      <c r="M43" s="42">
        <f t="shared" si="12"/>
        <v>2232.5333333333338</v>
      </c>
      <c r="N43" t="s">
        <v>61</v>
      </c>
      <c r="R43" s="86">
        <f t="shared" si="0"/>
        <v>4048.0000000000005</v>
      </c>
    </row>
    <row r="44" spans="1:18" s="98" customFormat="1" x14ac:dyDescent="0.4">
      <c r="A44" s="143"/>
      <c r="B44" s="98" t="s">
        <v>79</v>
      </c>
      <c r="D44" s="98" t="s">
        <v>18</v>
      </c>
      <c r="E44" s="98" t="s">
        <v>49</v>
      </c>
      <c r="F44" s="98" t="s">
        <v>58</v>
      </c>
      <c r="G44" s="144">
        <v>0.12</v>
      </c>
      <c r="H44" s="145">
        <v>23</v>
      </c>
      <c r="I44" s="146">
        <v>-40</v>
      </c>
      <c r="J44" s="147">
        <f>I44*52/12</f>
        <v>-173.33333333333334</v>
      </c>
      <c r="K44" s="148">
        <f>H44*J44</f>
        <v>-3986.666666666667</v>
      </c>
      <c r="L44" s="149">
        <f>K44*(1+G44)</f>
        <v>-4465.0666666666675</v>
      </c>
      <c r="M44" s="148">
        <f>L44/2</f>
        <v>-2232.5333333333338</v>
      </c>
      <c r="N44" s="98" t="s">
        <v>285</v>
      </c>
      <c r="O44" s="150">
        <v>7722</v>
      </c>
      <c r="R44" s="151"/>
    </row>
    <row r="45" spans="1:18" x14ac:dyDescent="0.4">
      <c r="A45" s="1">
        <v>31</v>
      </c>
      <c r="B45" t="s">
        <v>80</v>
      </c>
      <c r="D45" t="s">
        <v>18</v>
      </c>
      <c r="E45" t="s">
        <v>74</v>
      </c>
      <c r="F45" t="s">
        <v>58</v>
      </c>
      <c r="G45" s="80">
        <v>0.12</v>
      </c>
      <c r="H45" s="2">
        <v>45.67</v>
      </c>
      <c r="I45" s="81">
        <v>40</v>
      </c>
      <c r="J45" s="108">
        <f t="shared" si="17"/>
        <v>173.33333333333334</v>
      </c>
      <c r="K45" s="85">
        <f t="shared" si="18"/>
        <v>7916.1333333333341</v>
      </c>
      <c r="L45" s="84">
        <f t="shared" si="13"/>
        <v>8866.0693333333347</v>
      </c>
      <c r="M45" s="42">
        <f t="shared" si="12"/>
        <v>4433.0346666666674</v>
      </c>
      <c r="N45" t="s">
        <v>72</v>
      </c>
      <c r="R45" s="86">
        <f t="shared" si="0"/>
        <v>8037.9200000000019</v>
      </c>
    </row>
    <row r="46" spans="1:18" x14ac:dyDescent="0.4">
      <c r="B46" t="s">
        <v>81</v>
      </c>
      <c r="D46" t="s">
        <v>18</v>
      </c>
      <c r="E46" t="s">
        <v>37</v>
      </c>
      <c r="F46" t="s">
        <v>58</v>
      </c>
      <c r="G46" s="80">
        <v>0.1</v>
      </c>
      <c r="H46" s="2">
        <v>30</v>
      </c>
      <c r="I46" s="81">
        <v>40</v>
      </c>
      <c r="J46" s="108">
        <f t="shared" si="17"/>
        <v>173.33333333333334</v>
      </c>
      <c r="K46" s="85">
        <f t="shared" si="18"/>
        <v>5200</v>
      </c>
      <c r="L46" s="84">
        <f t="shared" si="13"/>
        <v>5720.0000000000009</v>
      </c>
      <c r="M46" s="42">
        <f t="shared" si="12"/>
        <v>2860.0000000000005</v>
      </c>
      <c r="N46" t="s">
        <v>82</v>
      </c>
      <c r="R46" s="86">
        <f t="shared" si="0"/>
        <v>5280</v>
      </c>
    </row>
    <row r="47" spans="1:18" s="98" customFormat="1" x14ac:dyDescent="0.4">
      <c r="A47" s="143"/>
      <c r="B47" s="98" t="s">
        <v>81</v>
      </c>
      <c r="D47" s="98" t="s">
        <v>18</v>
      </c>
      <c r="E47" s="98" t="s">
        <v>37</v>
      </c>
      <c r="F47" s="98" t="s">
        <v>58</v>
      </c>
      <c r="G47" s="144">
        <v>0.1</v>
      </c>
      <c r="H47" s="145">
        <v>30</v>
      </c>
      <c r="I47" s="146">
        <v>-40</v>
      </c>
      <c r="J47" s="147">
        <f t="shared" ref="J47" si="25">I47*52/12</f>
        <v>-173.33333333333334</v>
      </c>
      <c r="K47" s="148">
        <f t="shared" ref="K47" si="26">H47*J47</f>
        <v>-5200</v>
      </c>
      <c r="L47" s="149">
        <f t="shared" ref="L47" si="27">K47*(1+G47)</f>
        <v>-5720.0000000000009</v>
      </c>
      <c r="M47" s="148">
        <f t="shared" ref="M47" si="28">L47/2</f>
        <v>-2860.0000000000005</v>
      </c>
      <c r="N47" s="98" t="s">
        <v>285</v>
      </c>
      <c r="O47" s="150"/>
      <c r="R47" s="151"/>
    </row>
    <row r="48" spans="1:18" x14ac:dyDescent="0.4">
      <c r="A48" s="1">
        <v>32</v>
      </c>
      <c r="B48" t="s">
        <v>83</v>
      </c>
      <c r="D48" t="s">
        <v>18</v>
      </c>
      <c r="E48" t="s">
        <v>84</v>
      </c>
      <c r="F48" t="s">
        <v>58</v>
      </c>
      <c r="G48" s="80">
        <v>0.1</v>
      </c>
      <c r="H48" s="2">
        <v>38</v>
      </c>
      <c r="I48" s="81">
        <v>25</v>
      </c>
      <c r="J48" s="108">
        <f t="shared" si="17"/>
        <v>108.33333333333333</v>
      </c>
      <c r="K48" s="85">
        <f t="shared" si="18"/>
        <v>4116.6666666666661</v>
      </c>
      <c r="L48" s="84">
        <f t="shared" si="13"/>
        <v>4528.333333333333</v>
      </c>
      <c r="M48" s="42">
        <f t="shared" si="12"/>
        <v>2264.1666666666665</v>
      </c>
      <c r="R48" s="86">
        <f t="shared" si="0"/>
        <v>4180</v>
      </c>
    </row>
    <row r="49" spans="1:18" s="98" customFormat="1" x14ac:dyDescent="0.4">
      <c r="A49" s="143">
        <v>32</v>
      </c>
      <c r="B49" s="98" t="s">
        <v>286</v>
      </c>
      <c r="D49" s="98" t="s">
        <v>18</v>
      </c>
      <c r="E49" s="98" t="s">
        <v>84</v>
      </c>
      <c r="F49" s="98" t="s">
        <v>58</v>
      </c>
      <c r="G49" s="144">
        <v>0.1</v>
      </c>
      <c r="H49" s="145">
        <v>38</v>
      </c>
      <c r="I49" s="146">
        <v>-25</v>
      </c>
      <c r="J49" s="147">
        <f t="shared" ref="J49:J50" si="29">I49*52/12</f>
        <v>-108.33333333333333</v>
      </c>
      <c r="K49" s="148">
        <f t="shared" ref="K49:K50" si="30">H49*J49</f>
        <v>-4116.6666666666661</v>
      </c>
      <c r="L49" s="149">
        <f t="shared" ref="L49:L50" si="31">K49*(1+G49)</f>
        <v>-4528.333333333333</v>
      </c>
      <c r="M49" s="148">
        <f t="shared" ref="M49:M50" si="32">L49/2</f>
        <v>-2264.1666666666665</v>
      </c>
      <c r="N49" s="98" t="s">
        <v>285</v>
      </c>
      <c r="O49" s="150"/>
      <c r="R49" s="151"/>
    </row>
    <row r="50" spans="1:18" s="165" customFormat="1" x14ac:dyDescent="0.4">
      <c r="A50" s="164"/>
      <c r="B50" s="165" t="s">
        <v>293</v>
      </c>
      <c r="D50" s="165" t="s">
        <v>18</v>
      </c>
      <c r="E50" s="165" t="s">
        <v>84</v>
      </c>
      <c r="F50" s="165" t="s">
        <v>58</v>
      </c>
      <c r="G50" s="166">
        <v>0.1</v>
      </c>
      <c r="H50" s="167">
        <v>27</v>
      </c>
      <c r="I50" s="168">
        <v>20</v>
      </c>
      <c r="J50" s="169">
        <f t="shared" si="29"/>
        <v>86.666666666666671</v>
      </c>
      <c r="K50" s="170">
        <f t="shared" si="30"/>
        <v>2340</v>
      </c>
      <c r="L50" s="171">
        <f t="shared" si="31"/>
        <v>2574</v>
      </c>
      <c r="M50" s="170">
        <f t="shared" si="32"/>
        <v>1287</v>
      </c>
      <c r="N50" s="165" t="s">
        <v>288</v>
      </c>
      <c r="O50" s="172"/>
      <c r="R50" s="173"/>
    </row>
    <row r="51" spans="1:18" s="165" customFormat="1" x14ac:dyDescent="0.4">
      <c r="A51" s="164"/>
      <c r="B51" s="165" t="s">
        <v>298</v>
      </c>
      <c r="D51" s="165" t="s">
        <v>18</v>
      </c>
      <c r="E51" s="165" t="s">
        <v>84</v>
      </c>
      <c r="F51" s="165" t="s">
        <v>58</v>
      </c>
      <c r="G51" s="166">
        <v>0.1</v>
      </c>
      <c r="H51" s="167">
        <v>25</v>
      </c>
      <c r="I51" s="168">
        <v>20</v>
      </c>
      <c r="J51" s="169">
        <f t="shared" ref="J51" si="33">I51*52/12</f>
        <v>86.666666666666671</v>
      </c>
      <c r="K51" s="170">
        <f t="shared" ref="K51" si="34">H51*J51</f>
        <v>2166.666666666667</v>
      </c>
      <c r="L51" s="171">
        <f t="shared" ref="L51" si="35">K51*(1+G51)</f>
        <v>2383.3333333333339</v>
      </c>
      <c r="M51" s="170">
        <f t="shared" ref="M51" si="36">L51/2</f>
        <v>1191.666666666667</v>
      </c>
      <c r="N51" s="165" t="s">
        <v>288</v>
      </c>
      <c r="O51" s="172"/>
      <c r="R51" s="173"/>
    </row>
    <row r="52" spans="1:18" s="103" customFormat="1" x14ac:dyDescent="0.4">
      <c r="A52" s="82"/>
      <c r="B52" s="103" t="s">
        <v>287</v>
      </c>
      <c r="D52" s="103" t="s">
        <v>18</v>
      </c>
      <c r="E52" s="103" t="s">
        <v>84</v>
      </c>
      <c r="F52" s="103" t="s">
        <v>58</v>
      </c>
      <c r="G52" s="104">
        <v>0.1</v>
      </c>
      <c r="H52" s="83">
        <v>25</v>
      </c>
      <c r="I52" s="105">
        <v>20</v>
      </c>
      <c r="J52" s="108">
        <f t="shared" ref="J52:J54" si="37">I52*52/12</f>
        <v>86.666666666666671</v>
      </c>
      <c r="K52" s="85">
        <f t="shared" ref="K52:K54" si="38">H52*J52</f>
        <v>2166.666666666667</v>
      </c>
      <c r="L52" s="106">
        <f t="shared" ref="L52" si="39">K52*(1+G52)</f>
        <v>2383.3333333333339</v>
      </c>
      <c r="M52" s="85">
        <f t="shared" ref="M52:M54" si="40">L52/2</f>
        <v>1191.666666666667</v>
      </c>
      <c r="N52" s="103" t="s">
        <v>288</v>
      </c>
      <c r="O52" s="123"/>
      <c r="R52" s="107"/>
    </row>
    <row r="53" spans="1:18" s="98" customFormat="1" x14ac:dyDescent="0.4">
      <c r="A53" s="143"/>
      <c r="B53" s="98" t="s">
        <v>287</v>
      </c>
      <c r="D53" s="98" t="s">
        <v>18</v>
      </c>
      <c r="E53" s="98" t="s">
        <v>84</v>
      </c>
      <c r="F53" s="98" t="s">
        <v>58</v>
      </c>
      <c r="G53" s="144">
        <v>0.1</v>
      </c>
      <c r="H53" s="145">
        <v>25</v>
      </c>
      <c r="I53" s="146">
        <v>-20</v>
      </c>
      <c r="J53" s="147">
        <f t="shared" ref="J53" si="41">I53*52/12</f>
        <v>-86.666666666666671</v>
      </c>
      <c r="K53" s="148">
        <f t="shared" ref="K53" si="42">H53*J53</f>
        <v>-2166.666666666667</v>
      </c>
      <c r="L53" s="149">
        <f t="shared" ref="L53" si="43">K53*(1+G53)</f>
        <v>-2383.3333333333339</v>
      </c>
      <c r="M53" s="148">
        <f t="shared" ref="M53" si="44">L53/2</f>
        <v>-1191.666666666667</v>
      </c>
      <c r="N53" s="98" t="s">
        <v>292</v>
      </c>
      <c r="O53" s="150"/>
      <c r="R53" s="151"/>
    </row>
    <row r="54" spans="1:18" s="159" customFormat="1" x14ac:dyDescent="0.4">
      <c r="A54" s="157"/>
      <c r="B54" s="159" t="s">
        <v>295</v>
      </c>
      <c r="D54" s="28" t="s">
        <v>18</v>
      </c>
      <c r="E54" s="28" t="s">
        <v>84</v>
      </c>
      <c r="F54" s="28" t="s">
        <v>58</v>
      </c>
      <c r="G54" s="93">
        <v>0.1</v>
      </c>
      <c r="H54" s="94">
        <v>25</v>
      </c>
      <c r="I54" s="174">
        <v>10</v>
      </c>
      <c r="J54" s="155">
        <f t="shared" si="37"/>
        <v>43.333333333333336</v>
      </c>
      <c r="K54" s="156">
        <f t="shared" si="38"/>
        <v>1083.3333333333335</v>
      </c>
      <c r="L54" s="149"/>
      <c r="M54" s="100">
        <f t="shared" si="40"/>
        <v>0</v>
      </c>
      <c r="N54" s="159" t="s">
        <v>288</v>
      </c>
      <c r="O54" s="160"/>
      <c r="R54" s="161"/>
    </row>
    <row r="55" spans="1:18" ht="14.25" customHeight="1" x14ac:dyDescent="0.4">
      <c r="A55" s="1">
        <v>33</v>
      </c>
      <c r="B55" t="s">
        <v>85</v>
      </c>
      <c r="D55" t="s">
        <v>18</v>
      </c>
      <c r="E55" t="s">
        <v>84</v>
      </c>
      <c r="F55" t="s">
        <v>58</v>
      </c>
      <c r="G55" s="80">
        <v>0.1</v>
      </c>
      <c r="H55" s="2">
        <v>32.5</v>
      </c>
      <c r="I55" s="81">
        <v>25</v>
      </c>
      <c r="J55" s="108">
        <f t="shared" si="17"/>
        <v>108.33333333333333</v>
      </c>
      <c r="K55" s="85">
        <f t="shared" si="18"/>
        <v>3520.833333333333</v>
      </c>
      <c r="L55" s="84">
        <f t="shared" si="13"/>
        <v>3872.9166666666665</v>
      </c>
      <c r="M55" s="42">
        <f t="shared" si="12"/>
        <v>1936.4583333333333</v>
      </c>
      <c r="R55" s="86">
        <f t="shared" si="0"/>
        <v>3575.0000000000005</v>
      </c>
    </row>
    <row r="56" spans="1:18" s="98" customFormat="1" ht="14.25" customHeight="1" x14ac:dyDescent="0.4">
      <c r="A56" s="143"/>
      <c r="B56" s="98" t="s">
        <v>85</v>
      </c>
      <c r="D56" s="98" t="s">
        <v>18</v>
      </c>
      <c r="E56" s="98" t="s">
        <v>84</v>
      </c>
      <c r="F56" s="98" t="s">
        <v>58</v>
      </c>
      <c r="G56" s="144">
        <v>0.1</v>
      </c>
      <c r="H56" s="145">
        <v>32.5</v>
      </c>
      <c r="I56" s="146">
        <v>-25</v>
      </c>
      <c r="J56" s="147">
        <f t="shared" ref="J56" si="45">I56*52/12</f>
        <v>-108.33333333333333</v>
      </c>
      <c r="K56" s="148">
        <f t="shared" ref="K56" si="46">H56*J56</f>
        <v>-3520.833333333333</v>
      </c>
      <c r="L56" s="149">
        <f t="shared" ref="L56" si="47">K56*(1+G56)</f>
        <v>-3872.9166666666665</v>
      </c>
      <c r="M56" s="148">
        <f t="shared" ref="M56" si="48">L56/2</f>
        <v>-1936.4583333333333</v>
      </c>
      <c r="N56" s="98" t="s">
        <v>285</v>
      </c>
      <c r="O56" s="150"/>
      <c r="R56" s="151"/>
    </row>
    <row r="57" spans="1:18" hidden="1" x14ac:dyDescent="0.4">
      <c r="A57" s="1">
        <v>35</v>
      </c>
      <c r="B57" t="s">
        <v>88</v>
      </c>
      <c r="D57" t="s">
        <v>18</v>
      </c>
      <c r="E57" t="s">
        <v>89</v>
      </c>
      <c r="F57" t="s">
        <v>58</v>
      </c>
      <c r="G57" s="80">
        <v>0.1</v>
      </c>
      <c r="H57" s="2">
        <v>35</v>
      </c>
      <c r="I57" s="81">
        <v>7</v>
      </c>
      <c r="J57" s="108">
        <f t="shared" si="17"/>
        <v>30.333333333333332</v>
      </c>
      <c r="K57" s="85">
        <f t="shared" si="18"/>
        <v>1061.6666666666665</v>
      </c>
      <c r="L57" s="84">
        <f t="shared" si="13"/>
        <v>1167.8333333333333</v>
      </c>
      <c r="M57" s="42">
        <f t="shared" si="12"/>
        <v>583.91666666666663</v>
      </c>
      <c r="O57"/>
      <c r="R57" s="86">
        <f t="shared" si="0"/>
        <v>1078</v>
      </c>
    </row>
    <row r="58" spans="1:18" hidden="1" x14ac:dyDescent="0.4">
      <c r="A58" s="1">
        <v>36</v>
      </c>
      <c r="B58" t="s">
        <v>93</v>
      </c>
      <c r="D58" t="s">
        <v>18</v>
      </c>
      <c r="E58" t="s">
        <v>89</v>
      </c>
      <c r="F58" t="s">
        <v>58</v>
      </c>
      <c r="G58" s="80">
        <v>0.1</v>
      </c>
      <c r="H58" s="2">
        <v>35</v>
      </c>
      <c r="I58" s="81">
        <v>20</v>
      </c>
      <c r="J58" s="108">
        <f t="shared" si="17"/>
        <v>86.666666666666671</v>
      </c>
      <c r="K58" s="85">
        <f t="shared" si="18"/>
        <v>3033.3333333333335</v>
      </c>
      <c r="L58" s="84">
        <f t="shared" si="13"/>
        <v>3336.666666666667</v>
      </c>
      <c r="M58" s="42">
        <f t="shared" si="12"/>
        <v>1668.3333333333335</v>
      </c>
      <c r="O58"/>
      <c r="R58" s="86">
        <f t="shared" si="0"/>
        <v>3080.0000000000005</v>
      </c>
    </row>
    <row r="59" spans="1:18" s="165" customFormat="1" x14ac:dyDescent="0.4">
      <c r="A59" s="164">
        <v>36</v>
      </c>
      <c r="B59" s="165" t="s">
        <v>93</v>
      </c>
      <c r="D59" s="165" t="s">
        <v>18</v>
      </c>
      <c r="E59" s="165" t="s">
        <v>37</v>
      </c>
      <c r="F59" s="165" t="s">
        <v>58</v>
      </c>
      <c r="G59" s="166">
        <v>0.1</v>
      </c>
      <c r="H59" s="167">
        <v>35</v>
      </c>
      <c r="I59" s="168">
        <v>10</v>
      </c>
      <c r="J59" s="169">
        <f t="shared" ref="J59" si="49">I59*52/12</f>
        <v>43.333333333333336</v>
      </c>
      <c r="K59" s="170">
        <f t="shared" ref="K59" si="50">H59*J59</f>
        <v>1516.6666666666667</v>
      </c>
      <c r="L59" s="171">
        <f t="shared" ref="L59" si="51">K59*(1+G59)</f>
        <v>1668.3333333333335</v>
      </c>
      <c r="M59" s="170">
        <f t="shared" ref="M59" si="52">L59/2</f>
        <v>834.16666666666674</v>
      </c>
      <c r="N59" s="165" t="s">
        <v>288</v>
      </c>
      <c r="R59" s="173"/>
    </row>
    <row r="60" spans="1:18" x14ac:dyDescent="0.4">
      <c r="A60" s="1">
        <v>37</v>
      </c>
      <c r="B60" t="s">
        <v>94</v>
      </c>
      <c r="D60" t="s">
        <v>18</v>
      </c>
      <c r="E60" t="s">
        <v>19</v>
      </c>
      <c r="F60" t="s">
        <v>58</v>
      </c>
      <c r="G60" s="80">
        <v>0.1</v>
      </c>
      <c r="H60" s="2">
        <v>18</v>
      </c>
      <c r="I60" s="81">
        <v>12.5</v>
      </c>
      <c r="J60" s="108">
        <f t="shared" si="17"/>
        <v>54.166666666666664</v>
      </c>
      <c r="K60" s="85">
        <f t="shared" si="18"/>
        <v>975</v>
      </c>
      <c r="L60" s="84">
        <f t="shared" si="13"/>
        <v>1072.5</v>
      </c>
      <c r="M60" s="42">
        <f t="shared" si="12"/>
        <v>536.25</v>
      </c>
      <c r="R60" s="86">
        <f t="shared" si="0"/>
        <v>990.00000000000011</v>
      </c>
    </row>
    <row r="61" spans="1:18" x14ac:dyDescent="0.4">
      <c r="A61" s="1">
        <v>38</v>
      </c>
      <c r="B61" t="s">
        <v>95</v>
      </c>
      <c r="D61" t="s">
        <v>18</v>
      </c>
      <c r="E61" t="s">
        <v>19</v>
      </c>
      <c r="F61" t="s">
        <v>58</v>
      </c>
      <c r="G61" s="80">
        <v>0.1</v>
      </c>
      <c r="H61" s="2">
        <v>18</v>
      </c>
      <c r="I61" s="81">
        <v>20</v>
      </c>
      <c r="J61" s="108">
        <f t="shared" si="17"/>
        <v>86.666666666666671</v>
      </c>
      <c r="K61" s="85">
        <f t="shared" si="18"/>
        <v>1560</v>
      </c>
      <c r="L61" s="84">
        <f t="shared" si="13"/>
        <v>1716.0000000000002</v>
      </c>
      <c r="M61" s="42">
        <f t="shared" si="12"/>
        <v>858.00000000000011</v>
      </c>
      <c r="R61" s="86">
        <f t="shared" si="0"/>
        <v>1584.0000000000002</v>
      </c>
    </row>
    <row r="62" spans="1:18" s="165" customFormat="1" x14ac:dyDescent="0.4">
      <c r="A62" s="164"/>
      <c r="B62" s="165" t="s">
        <v>319</v>
      </c>
      <c r="D62" s="165" t="s">
        <v>18</v>
      </c>
      <c r="E62" s="165" t="s">
        <v>49</v>
      </c>
      <c r="F62" t="s">
        <v>58</v>
      </c>
      <c r="G62" s="80">
        <v>0.1</v>
      </c>
      <c r="H62" s="167">
        <v>18</v>
      </c>
      <c r="I62" s="168">
        <v>10</v>
      </c>
      <c r="J62" s="169">
        <f t="shared" si="17"/>
        <v>43.333333333333336</v>
      </c>
      <c r="K62" s="170">
        <f t="shared" si="18"/>
        <v>780</v>
      </c>
      <c r="L62" s="171">
        <f t="shared" si="13"/>
        <v>858.00000000000011</v>
      </c>
      <c r="M62" s="170">
        <f t="shared" si="12"/>
        <v>429.00000000000006</v>
      </c>
      <c r="O62" s="172"/>
      <c r="R62" s="173">
        <f t="shared" si="0"/>
        <v>792.00000000000011</v>
      </c>
    </row>
    <row r="63" spans="1:18" s="165" customFormat="1" x14ac:dyDescent="0.4">
      <c r="A63" s="164"/>
      <c r="B63" s="165" t="s">
        <v>320</v>
      </c>
      <c r="D63" s="165" t="s">
        <v>18</v>
      </c>
      <c r="E63" s="165" t="s">
        <v>49</v>
      </c>
      <c r="F63" t="s">
        <v>58</v>
      </c>
      <c r="G63" s="80">
        <v>0.1</v>
      </c>
      <c r="H63" s="167">
        <v>25</v>
      </c>
      <c r="I63" s="168">
        <v>10</v>
      </c>
      <c r="J63" s="169">
        <f t="shared" ref="J63" si="53">I63*52/12</f>
        <v>43.333333333333336</v>
      </c>
      <c r="K63" s="170">
        <f t="shared" ref="K63" si="54">H63*J63</f>
        <v>1083.3333333333335</v>
      </c>
      <c r="L63" s="171">
        <f t="shared" ref="L63" si="55">K63*(1+G63)</f>
        <v>1191.666666666667</v>
      </c>
      <c r="M63" s="170">
        <f t="shared" ref="M63" si="56">L63/2</f>
        <v>595.83333333333348</v>
      </c>
      <c r="O63" s="172"/>
      <c r="R63" s="173"/>
    </row>
    <row r="64" spans="1:18" s="103" customFormat="1" x14ac:dyDescent="0.4">
      <c r="A64" s="82"/>
      <c r="B64" s="103" t="s">
        <v>98</v>
      </c>
      <c r="D64" s="103" t="s">
        <v>18</v>
      </c>
      <c r="E64" s="103" t="s">
        <v>37</v>
      </c>
      <c r="F64" s="103" t="s">
        <v>41</v>
      </c>
      <c r="G64" s="104">
        <v>0.1</v>
      </c>
      <c r="H64" s="83">
        <v>16</v>
      </c>
      <c r="I64" s="105">
        <v>40</v>
      </c>
      <c r="J64" s="108">
        <f t="shared" ref="J64" si="57">I64*52/12</f>
        <v>173.33333333333334</v>
      </c>
      <c r="K64" s="85">
        <f>J64*H64</f>
        <v>2773.3333333333335</v>
      </c>
      <c r="L64" s="106">
        <f t="shared" si="13"/>
        <v>3050.666666666667</v>
      </c>
      <c r="M64" s="85">
        <f t="shared" si="12"/>
        <v>1525.3333333333335</v>
      </c>
      <c r="N64" s="103" t="s">
        <v>99</v>
      </c>
      <c r="O64" s="123"/>
      <c r="R64" s="107"/>
    </row>
    <row r="65" spans="1:18" s="98" customFormat="1" x14ac:dyDescent="0.4">
      <c r="A65" s="143"/>
      <c r="B65" s="98" t="s">
        <v>98</v>
      </c>
      <c r="D65" s="98" t="s">
        <v>18</v>
      </c>
      <c r="E65" s="98" t="s">
        <v>37</v>
      </c>
      <c r="F65" s="98" t="s">
        <v>41</v>
      </c>
      <c r="G65" s="144">
        <v>0.1</v>
      </c>
      <c r="H65" s="145">
        <v>16</v>
      </c>
      <c r="I65" s="146">
        <v>-40</v>
      </c>
      <c r="J65" s="147">
        <f t="shared" si="17"/>
        <v>-173.33333333333334</v>
      </c>
      <c r="K65" s="148">
        <f>J65*H65</f>
        <v>-2773.3333333333335</v>
      </c>
      <c r="L65" s="149">
        <f t="shared" ref="L65" si="58">K65*(1+G65)</f>
        <v>-3050.666666666667</v>
      </c>
      <c r="M65" s="148">
        <f t="shared" ref="M65" si="59">L65/2</f>
        <v>-1525.3333333333335</v>
      </c>
      <c r="N65" s="98" t="s">
        <v>285</v>
      </c>
      <c r="O65" s="150"/>
      <c r="R65" s="151"/>
    </row>
    <row r="66" spans="1:18" x14ac:dyDescent="0.4">
      <c r="B66" t="s">
        <v>100</v>
      </c>
      <c r="D66" t="s">
        <v>18</v>
      </c>
      <c r="E66" t="s">
        <v>49</v>
      </c>
      <c r="F66" t="s">
        <v>27</v>
      </c>
      <c r="G66" s="80">
        <v>0.1</v>
      </c>
      <c r="H66" s="2">
        <v>40</v>
      </c>
      <c r="I66" s="81">
        <v>10</v>
      </c>
      <c r="J66" s="108">
        <v>40</v>
      </c>
      <c r="K66" s="85">
        <f t="shared" si="18"/>
        <v>1600</v>
      </c>
      <c r="L66" s="84">
        <f>K66</f>
        <v>1600</v>
      </c>
      <c r="M66" s="42">
        <f t="shared" si="12"/>
        <v>800</v>
      </c>
      <c r="N66" t="s">
        <v>101</v>
      </c>
      <c r="R66" s="86"/>
    </row>
    <row r="67" spans="1:18" s="98" customFormat="1" x14ac:dyDescent="0.4">
      <c r="A67" s="143"/>
      <c r="B67" s="98" t="s">
        <v>100</v>
      </c>
      <c r="D67" s="98" t="s">
        <v>18</v>
      </c>
      <c r="E67" s="98" t="s">
        <v>49</v>
      </c>
      <c r="F67" s="98" t="s">
        <v>27</v>
      </c>
      <c r="G67" s="144">
        <v>0.1</v>
      </c>
      <c r="H67" s="145">
        <v>40</v>
      </c>
      <c r="I67" s="146">
        <v>-5</v>
      </c>
      <c r="J67" s="147">
        <v>-20</v>
      </c>
      <c r="K67" s="148">
        <f t="shared" ref="K67" si="60">H67*J67</f>
        <v>-800</v>
      </c>
      <c r="L67" s="149">
        <f>K67</f>
        <v>-800</v>
      </c>
      <c r="M67" s="148">
        <f t="shared" ref="M67" si="61">L67/2</f>
        <v>-400</v>
      </c>
      <c r="N67" s="98" t="s">
        <v>285</v>
      </c>
      <c r="O67" s="150"/>
      <c r="R67" s="151"/>
    </row>
    <row r="68" spans="1:18" x14ac:dyDescent="0.4">
      <c r="B68" t="s">
        <v>102</v>
      </c>
      <c r="D68" t="s">
        <v>18</v>
      </c>
      <c r="E68" t="s">
        <v>49</v>
      </c>
      <c r="F68" t="s">
        <v>41</v>
      </c>
      <c r="G68" s="39">
        <v>0.1</v>
      </c>
      <c r="H68" s="2">
        <v>26</v>
      </c>
      <c r="I68" s="116">
        <v>40</v>
      </c>
      <c r="J68" s="108">
        <f>I68*52/12</f>
        <v>173.33333333333334</v>
      </c>
      <c r="K68" s="85">
        <f>H68*J68</f>
        <v>4506.666666666667</v>
      </c>
      <c r="L68" s="84">
        <f>K68*(1+G68)</f>
        <v>4957.3333333333339</v>
      </c>
      <c r="M68" s="42">
        <f>L68/2</f>
        <v>2478.666666666667</v>
      </c>
      <c r="N68" t="s">
        <v>318</v>
      </c>
    </row>
    <row r="69" spans="1:18" x14ac:dyDescent="0.4">
      <c r="B69" t="s">
        <v>103</v>
      </c>
      <c r="D69" t="s">
        <v>104</v>
      </c>
      <c r="E69" t="s">
        <v>19</v>
      </c>
      <c r="F69" t="s">
        <v>105</v>
      </c>
      <c r="G69" s="1" t="s">
        <v>106</v>
      </c>
      <c r="L69" s="87">
        <v>1350</v>
      </c>
      <c r="M69" s="42">
        <f t="shared" si="12"/>
        <v>675</v>
      </c>
      <c r="N69" t="s">
        <v>107</v>
      </c>
    </row>
    <row r="70" spans="1:18" s="98" customFormat="1" x14ac:dyDescent="0.4">
      <c r="A70" s="143"/>
      <c r="B70" s="98" t="s">
        <v>103</v>
      </c>
      <c r="D70" s="98" t="s">
        <v>104</v>
      </c>
      <c r="E70" s="98" t="s">
        <v>19</v>
      </c>
      <c r="F70" s="98" t="s">
        <v>105</v>
      </c>
      <c r="G70" s="143" t="s">
        <v>106</v>
      </c>
      <c r="L70" s="153">
        <v>-675</v>
      </c>
      <c r="M70" s="148">
        <f t="shared" ref="M70" si="62">L70/2</f>
        <v>-337.5</v>
      </c>
      <c r="N70" s="98" t="s">
        <v>290</v>
      </c>
      <c r="O70" s="150" t="s">
        <v>291</v>
      </c>
    </row>
    <row r="71" spans="1:18" x14ac:dyDescent="0.4">
      <c r="B71" t="s">
        <v>108</v>
      </c>
      <c r="D71" t="s">
        <v>104</v>
      </c>
      <c r="E71" t="s">
        <v>19</v>
      </c>
      <c r="F71" t="s">
        <v>105</v>
      </c>
      <c r="G71" s="1" t="s">
        <v>106</v>
      </c>
      <c r="L71" s="87">
        <v>5374</v>
      </c>
      <c r="M71" s="42">
        <f t="shared" si="12"/>
        <v>2687</v>
      </c>
      <c r="N71" t="s">
        <v>306</v>
      </c>
    </row>
    <row r="72" spans="1:18" x14ac:dyDescent="0.4">
      <c r="B72" t="s">
        <v>110</v>
      </c>
      <c r="D72" t="s">
        <v>104</v>
      </c>
      <c r="E72" t="s">
        <v>111</v>
      </c>
      <c r="F72" t="s">
        <v>112</v>
      </c>
      <c r="G72" s="1" t="s">
        <v>106</v>
      </c>
      <c r="L72" s="87">
        <v>2200</v>
      </c>
      <c r="M72" s="42">
        <f t="shared" si="12"/>
        <v>1100</v>
      </c>
      <c r="N72" t="s">
        <v>113</v>
      </c>
    </row>
    <row r="73" spans="1:18" x14ac:dyDescent="0.4">
      <c r="B73" t="s">
        <v>114</v>
      </c>
      <c r="D73" t="s">
        <v>104</v>
      </c>
      <c r="E73" t="s">
        <v>111</v>
      </c>
      <c r="F73" t="s">
        <v>112</v>
      </c>
      <c r="G73" s="1" t="s">
        <v>106</v>
      </c>
      <c r="L73" s="87">
        <v>10500</v>
      </c>
      <c r="M73" s="42">
        <f t="shared" si="12"/>
        <v>5250</v>
      </c>
      <c r="N73" t="s">
        <v>307</v>
      </c>
    </row>
    <row r="74" spans="1:18" x14ac:dyDescent="0.4">
      <c r="B74" t="s">
        <v>116</v>
      </c>
      <c r="D74" t="s">
        <v>104</v>
      </c>
      <c r="E74" t="s">
        <v>111</v>
      </c>
      <c r="F74" t="s">
        <v>112</v>
      </c>
      <c r="G74" s="1" t="s">
        <v>106</v>
      </c>
      <c r="L74" s="87">
        <v>-512</v>
      </c>
      <c r="M74" s="42">
        <f t="shared" si="12"/>
        <v>-256</v>
      </c>
      <c r="N74" t="s">
        <v>308</v>
      </c>
    </row>
    <row r="75" spans="1:18" x14ac:dyDescent="0.4">
      <c r="B75" t="s">
        <v>303</v>
      </c>
      <c r="D75" t="s">
        <v>104</v>
      </c>
      <c r="E75" t="s">
        <v>111</v>
      </c>
      <c r="F75" t="s">
        <v>119</v>
      </c>
      <c r="G75" s="1" t="s">
        <v>106</v>
      </c>
      <c r="L75" s="87">
        <v>1062</v>
      </c>
      <c r="M75" s="42">
        <f t="shared" si="12"/>
        <v>531</v>
      </c>
      <c r="N75" t="s">
        <v>308</v>
      </c>
      <c r="O75" s="121">
        <v>45607</v>
      </c>
    </row>
    <row r="76" spans="1:18" x14ac:dyDescent="0.4">
      <c r="B76" t="s">
        <v>121</v>
      </c>
      <c r="D76" t="s">
        <v>104</v>
      </c>
      <c r="E76" t="s">
        <v>111</v>
      </c>
      <c r="F76" t="s">
        <v>105</v>
      </c>
      <c r="G76" s="1" t="s">
        <v>106</v>
      </c>
      <c r="L76" s="87">
        <v>2828</v>
      </c>
      <c r="M76" s="42">
        <f t="shared" si="12"/>
        <v>1414</v>
      </c>
      <c r="N76" t="s">
        <v>314</v>
      </c>
    </row>
    <row r="77" spans="1:18" x14ac:dyDescent="0.4">
      <c r="B77" t="s">
        <v>123</v>
      </c>
      <c r="D77" t="s">
        <v>104</v>
      </c>
      <c r="E77" t="s">
        <v>19</v>
      </c>
      <c r="F77" t="s">
        <v>105</v>
      </c>
      <c r="G77" s="1" t="s">
        <v>106</v>
      </c>
      <c r="L77" s="87">
        <v>2424</v>
      </c>
      <c r="M77" s="42">
        <f t="shared" ref="M77:M84" si="63">L77/2</f>
        <v>1212</v>
      </c>
    </row>
    <row r="78" spans="1:18" x14ac:dyDescent="0.4">
      <c r="B78" t="s">
        <v>124</v>
      </c>
      <c r="D78" t="s">
        <v>104</v>
      </c>
      <c r="E78" t="s">
        <v>19</v>
      </c>
      <c r="F78" t="s">
        <v>105</v>
      </c>
      <c r="G78" s="1" t="s">
        <v>106</v>
      </c>
      <c r="L78" s="87">
        <v>1131</v>
      </c>
      <c r="M78" s="42">
        <f t="shared" si="63"/>
        <v>565.5</v>
      </c>
    </row>
    <row r="79" spans="1:18" x14ac:dyDescent="0.4">
      <c r="B79" t="s">
        <v>311</v>
      </c>
      <c r="D79" t="s">
        <v>104</v>
      </c>
      <c r="E79" t="s">
        <v>84</v>
      </c>
      <c r="F79" t="s">
        <v>105</v>
      </c>
      <c r="G79" s="1" t="s">
        <v>106</v>
      </c>
      <c r="L79" s="87">
        <v>100</v>
      </c>
      <c r="M79" s="42">
        <f t="shared" si="63"/>
        <v>50</v>
      </c>
    </row>
    <row r="80" spans="1:18" x14ac:dyDescent="0.4">
      <c r="B80" t="s">
        <v>312</v>
      </c>
      <c r="D80" t="s">
        <v>104</v>
      </c>
      <c r="E80" t="s">
        <v>84</v>
      </c>
      <c r="F80" t="s">
        <v>105</v>
      </c>
      <c r="G80" s="1" t="s">
        <v>106</v>
      </c>
      <c r="L80" s="87">
        <v>99</v>
      </c>
      <c r="M80" s="42">
        <f t="shared" si="63"/>
        <v>49.5</v>
      </c>
    </row>
    <row r="81" spans="1:14" x14ac:dyDescent="0.4">
      <c r="B81" t="s">
        <v>127</v>
      </c>
      <c r="D81" t="s">
        <v>104</v>
      </c>
      <c r="E81" t="s">
        <v>49</v>
      </c>
      <c r="F81" t="s">
        <v>105</v>
      </c>
      <c r="G81" s="1" t="s">
        <v>106</v>
      </c>
      <c r="L81" s="87">
        <v>689</v>
      </c>
      <c r="M81" s="42">
        <f t="shared" si="63"/>
        <v>344.5</v>
      </c>
    </row>
    <row r="82" spans="1:14" x14ac:dyDescent="0.4">
      <c r="B82" t="s">
        <v>309</v>
      </c>
      <c r="D82" t="s">
        <v>104</v>
      </c>
      <c r="E82" t="s">
        <v>111</v>
      </c>
      <c r="F82" t="s">
        <v>105</v>
      </c>
      <c r="G82" s="1" t="s">
        <v>106</v>
      </c>
      <c r="L82" s="87">
        <v>158</v>
      </c>
      <c r="M82" s="42">
        <f t="shared" si="63"/>
        <v>79</v>
      </c>
    </row>
    <row r="83" spans="1:14" x14ac:dyDescent="0.4">
      <c r="B83" t="s">
        <v>310</v>
      </c>
      <c r="D83" t="s">
        <v>104</v>
      </c>
      <c r="E83" t="s">
        <v>111</v>
      </c>
      <c r="F83" t="s">
        <v>105</v>
      </c>
      <c r="G83" s="1" t="s">
        <v>106</v>
      </c>
      <c r="L83" s="87">
        <v>151</v>
      </c>
      <c r="M83" s="42">
        <f t="shared" si="63"/>
        <v>75.5</v>
      </c>
    </row>
    <row r="84" spans="1:14" x14ac:dyDescent="0.4">
      <c r="B84" t="s">
        <v>313</v>
      </c>
      <c r="D84" t="s">
        <v>104</v>
      </c>
      <c r="E84" t="s">
        <v>111</v>
      </c>
      <c r="F84" t="s">
        <v>105</v>
      </c>
      <c r="G84" s="1" t="s">
        <v>106</v>
      </c>
      <c r="L84" s="87">
        <v>121</v>
      </c>
      <c r="M84" s="42">
        <f t="shared" si="63"/>
        <v>60.5</v>
      </c>
    </row>
    <row r="85" spans="1:14" x14ac:dyDescent="0.4">
      <c r="B85" t="s">
        <v>128</v>
      </c>
      <c r="D85" t="s">
        <v>104</v>
      </c>
      <c r="E85" t="s">
        <v>111</v>
      </c>
      <c r="F85" t="s">
        <v>105</v>
      </c>
      <c r="G85" s="1" t="s">
        <v>106</v>
      </c>
      <c r="L85" s="87">
        <v>225</v>
      </c>
      <c r="M85" s="42">
        <f t="shared" si="12"/>
        <v>112.5</v>
      </c>
      <c r="N85" t="s">
        <v>129</v>
      </c>
    </row>
    <row r="86" spans="1:14" x14ac:dyDescent="0.4">
      <c r="B86" t="s">
        <v>130</v>
      </c>
      <c r="D86" t="s">
        <v>104</v>
      </c>
      <c r="E86" t="s">
        <v>19</v>
      </c>
      <c r="F86" t="s">
        <v>105</v>
      </c>
      <c r="G86" s="1" t="s">
        <v>106</v>
      </c>
      <c r="L86" s="87">
        <v>150</v>
      </c>
      <c r="M86" s="42">
        <f t="shared" si="12"/>
        <v>75</v>
      </c>
      <c r="N86" t="s">
        <v>129</v>
      </c>
    </row>
    <row r="87" spans="1:14" s="128" customFormat="1" hidden="1" x14ac:dyDescent="0.4">
      <c r="A87" s="127"/>
      <c r="B87" s="128" t="s">
        <v>131</v>
      </c>
      <c r="D87" s="128" t="s">
        <v>32</v>
      </c>
      <c r="E87" s="128" t="s">
        <v>132</v>
      </c>
      <c r="F87" s="128" t="s">
        <v>105</v>
      </c>
      <c r="G87" s="127" t="s">
        <v>106</v>
      </c>
      <c r="L87" s="129">
        <v>45.08</v>
      </c>
      <c r="M87" s="130">
        <f t="shared" si="12"/>
        <v>22.54</v>
      </c>
      <c r="N87" s="128" t="s">
        <v>133</v>
      </c>
    </row>
    <row r="88" spans="1:14" s="24" customFormat="1" hidden="1" x14ac:dyDescent="0.4">
      <c r="A88" s="23"/>
      <c r="B88" s="24" t="s">
        <v>134</v>
      </c>
      <c r="D88" s="24" t="s">
        <v>32</v>
      </c>
      <c r="E88" s="24" t="s">
        <v>132</v>
      </c>
      <c r="F88" s="24" t="s">
        <v>105</v>
      </c>
      <c r="G88" s="23" t="s">
        <v>106</v>
      </c>
      <c r="L88" s="25">
        <v>9500</v>
      </c>
      <c r="M88" s="26">
        <f t="shared" si="12"/>
        <v>4750</v>
      </c>
      <c r="N88" s="24" t="s">
        <v>135</v>
      </c>
    </row>
    <row r="89" spans="1:14" s="24" customFormat="1" hidden="1" x14ac:dyDescent="0.4">
      <c r="A89" s="23"/>
      <c r="B89" s="24" t="s">
        <v>136</v>
      </c>
      <c r="D89" s="24" t="s">
        <v>32</v>
      </c>
      <c r="E89" s="24" t="s">
        <v>132</v>
      </c>
      <c r="F89" s="24" t="s">
        <v>112</v>
      </c>
      <c r="G89" s="23" t="s">
        <v>106</v>
      </c>
      <c r="L89" s="25">
        <v>18166</v>
      </c>
      <c r="M89" s="26">
        <f t="shared" si="12"/>
        <v>9083</v>
      </c>
      <c r="N89" s="24" t="s">
        <v>137</v>
      </c>
    </row>
    <row r="90" spans="1:14" s="24" customFormat="1" hidden="1" x14ac:dyDescent="0.4">
      <c r="A90" s="23"/>
      <c r="B90" s="24" t="s">
        <v>138</v>
      </c>
      <c r="D90" s="24" t="s">
        <v>32</v>
      </c>
      <c r="E90" s="24" t="s">
        <v>132</v>
      </c>
      <c r="F90" s="24" t="s">
        <v>91</v>
      </c>
      <c r="G90" s="23" t="s">
        <v>106</v>
      </c>
      <c r="L90" s="25">
        <v>80</v>
      </c>
      <c r="M90" s="26">
        <f t="shared" si="12"/>
        <v>40</v>
      </c>
      <c r="N90" s="24" t="s">
        <v>139</v>
      </c>
    </row>
    <row r="91" spans="1:14" s="24" customFormat="1" hidden="1" x14ac:dyDescent="0.4">
      <c r="A91" s="23"/>
      <c r="B91" s="24" t="s">
        <v>138</v>
      </c>
      <c r="D91" s="24" t="s">
        <v>32</v>
      </c>
      <c r="E91" s="24" t="s">
        <v>132</v>
      </c>
      <c r="F91" s="24" t="s">
        <v>91</v>
      </c>
      <c r="G91" s="23" t="s">
        <v>106</v>
      </c>
      <c r="L91" s="25">
        <v>632.44000000000005</v>
      </c>
      <c r="M91" s="27">
        <f t="shared" si="12"/>
        <v>316.22000000000003</v>
      </c>
      <c r="N91" s="24" t="s">
        <v>139</v>
      </c>
    </row>
    <row r="92" spans="1:14" x14ac:dyDescent="0.4">
      <c r="B92" t="s">
        <v>140</v>
      </c>
      <c r="D92" t="s">
        <v>104</v>
      </c>
      <c r="E92" t="s">
        <v>111</v>
      </c>
      <c r="F92" t="s">
        <v>141</v>
      </c>
      <c r="G92" s="1" t="s">
        <v>106</v>
      </c>
      <c r="L92" s="87">
        <v>412</v>
      </c>
      <c r="M92" s="9">
        <f t="shared" si="12"/>
        <v>206</v>
      </c>
      <c r="N92" t="s">
        <v>142</v>
      </c>
    </row>
    <row r="93" spans="1:14" x14ac:dyDescent="0.4">
      <c r="B93" t="s">
        <v>145</v>
      </c>
      <c r="D93" t="s">
        <v>104</v>
      </c>
      <c r="E93" t="s">
        <v>111</v>
      </c>
      <c r="F93" t="s">
        <v>91</v>
      </c>
      <c r="G93" s="1" t="s">
        <v>106</v>
      </c>
      <c r="L93" s="87">
        <v>1020</v>
      </c>
      <c r="M93" s="9">
        <f t="shared" si="12"/>
        <v>510</v>
      </c>
      <c r="N93" t="s">
        <v>146</v>
      </c>
    </row>
    <row r="94" spans="1:14" x14ac:dyDescent="0.4">
      <c r="B94" t="s">
        <v>147</v>
      </c>
      <c r="D94" t="s">
        <v>104</v>
      </c>
      <c r="E94" t="s">
        <v>111</v>
      </c>
      <c r="F94" t="s">
        <v>91</v>
      </c>
      <c r="G94" s="1" t="s">
        <v>106</v>
      </c>
      <c r="L94" s="87">
        <v>150</v>
      </c>
      <c r="M94" s="9">
        <f t="shared" si="12"/>
        <v>75</v>
      </c>
      <c r="N94" t="s">
        <v>148</v>
      </c>
    </row>
    <row r="95" spans="1:14" x14ac:dyDescent="0.4">
      <c r="B95" s="98" t="s">
        <v>147</v>
      </c>
      <c r="C95" s="98"/>
      <c r="D95" s="98" t="s">
        <v>104</v>
      </c>
      <c r="E95" s="98" t="s">
        <v>111</v>
      </c>
      <c r="F95" s="98" t="s">
        <v>91</v>
      </c>
      <c r="G95" s="143" t="s">
        <v>106</v>
      </c>
      <c r="H95" s="98"/>
      <c r="I95" s="98"/>
      <c r="J95" s="98"/>
      <c r="K95" s="98"/>
      <c r="L95" s="153">
        <v>-150</v>
      </c>
      <c r="M95" s="154">
        <f t="shared" ref="M95" si="64">L95/2</f>
        <v>-75</v>
      </c>
      <c r="N95" s="98" t="s">
        <v>285</v>
      </c>
    </row>
    <row r="96" spans="1:14" x14ac:dyDescent="0.4">
      <c r="B96" t="s">
        <v>149</v>
      </c>
      <c r="D96" t="s">
        <v>104</v>
      </c>
      <c r="E96" t="s">
        <v>111</v>
      </c>
      <c r="F96" t="s">
        <v>91</v>
      </c>
      <c r="G96" s="1" t="s">
        <v>106</v>
      </c>
      <c r="L96" s="87">
        <v>731</v>
      </c>
      <c r="M96" s="9">
        <f t="shared" si="12"/>
        <v>365.5</v>
      </c>
      <c r="N96" t="s">
        <v>150</v>
      </c>
    </row>
    <row r="97" spans="1:15" s="128" customFormat="1" x14ac:dyDescent="0.4">
      <c r="A97" s="127"/>
      <c r="B97" s="128" t="s">
        <v>299</v>
      </c>
      <c r="D97" s="128" t="s">
        <v>104</v>
      </c>
      <c r="E97" s="128" t="s">
        <v>111</v>
      </c>
      <c r="F97" s="128" t="s">
        <v>91</v>
      </c>
      <c r="G97" s="127" t="s">
        <v>106</v>
      </c>
      <c r="L97" s="129">
        <v>1000</v>
      </c>
      <c r="M97" s="136">
        <f t="shared" si="12"/>
        <v>500</v>
      </c>
      <c r="N97" s="128" t="s">
        <v>152</v>
      </c>
      <c r="O97" s="131"/>
    </row>
    <row r="98" spans="1:15" s="128" customFormat="1" x14ac:dyDescent="0.4">
      <c r="A98" s="127"/>
      <c r="B98" s="128" t="s">
        <v>153</v>
      </c>
      <c r="D98" s="128" t="s">
        <v>104</v>
      </c>
      <c r="E98" s="128" t="s">
        <v>111</v>
      </c>
      <c r="F98" s="128" t="s">
        <v>91</v>
      </c>
      <c r="G98" s="127" t="s">
        <v>106</v>
      </c>
      <c r="L98" s="129">
        <v>850</v>
      </c>
      <c r="M98" s="136">
        <f t="shared" si="12"/>
        <v>425</v>
      </c>
      <c r="O98" s="131"/>
    </row>
    <row r="99" spans="1:15" x14ac:dyDescent="0.4">
      <c r="B99" t="s">
        <v>154</v>
      </c>
      <c r="D99" t="s">
        <v>104</v>
      </c>
      <c r="E99" t="s">
        <v>155</v>
      </c>
      <c r="F99" t="s">
        <v>105</v>
      </c>
      <c r="G99" s="1" t="s">
        <v>106</v>
      </c>
      <c r="L99" s="87">
        <v>0</v>
      </c>
      <c r="M99" s="9">
        <f t="shared" si="12"/>
        <v>0</v>
      </c>
      <c r="N99" t="s">
        <v>156</v>
      </c>
    </row>
    <row r="100" spans="1:15" x14ac:dyDescent="0.4">
      <c r="B100" t="s">
        <v>157</v>
      </c>
      <c r="D100" t="s">
        <v>104</v>
      </c>
      <c r="E100" t="s">
        <v>19</v>
      </c>
      <c r="F100" t="s">
        <v>105</v>
      </c>
      <c r="G100" s="1" t="s">
        <v>106</v>
      </c>
      <c r="L100" s="87">
        <v>688.88</v>
      </c>
      <c r="M100" s="9">
        <f t="shared" si="12"/>
        <v>344.44</v>
      </c>
      <c r="N100" t="s">
        <v>304</v>
      </c>
    </row>
    <row r="101" spans="1:15" s="128" customFormat="1" hidden="1" x14ac:dyDescent="0.4">
      <c r="A101" s="127"/>
      <c r="B101" s="128" t="s">
        <v>158</v>
      </c>
      <c r="D101" s="128" t="s">
        <v>32</v>
      </c>
      <c r="E101" s="128" t="s">
        <v>19</v>
      </c>
      <c r="F101" s="128" t="s">
        <v>105</v>
      </c>
      <c r="G101" s="127" t="s">
        <v>106</v>
      </c>
      <c r="L101" s="129">
        <v>867</v>
      </c>
      <c r="M101" s="136">
        <f t="shared" si="12"/>
        <v>433.5</v>
      </c>
    </row>
    <row r="102" spans="1:15" x14ac:dyDescent="0.4">
      <c r="B102" t="s">
        <v>161</v>
      </c>
      <c r="D102" t="s">
        <v>104</v>
      </c>
      <c r="E102" t="s">
        <v>49</v>
      </c>
      <c r="F102" t="s">
        <v>105</v>
      </c>
      <c r="G102" s="1" t="s">
        <v>106</v>
      </c>
      <c r="L102" s="87">
        <v>149</v>
      </c>
      <c r="M102" s="9">
        <f t="shared" si="12"/>
        <v>74.5</v>
      </c>
    </row>
    <row r="103" spans="1:15" x14ac:dyDescent="0.4">
      <c r="B103" t="s">
        <v>162</v>
      </c>
      <c r="D103" t="s">
        <v>104</v>
      </c>
      <c r="E103" t="s">
        <v>19</v>
      </c>
      <c r="F103" t="s">
        <v>105</v>
      </c>
      <c r="G103" s="1" t="s">
        <v>106</v>
      </c>
      <c r="L103" s="87">
        <v>499</v>
      </c>
      <c r="M103" s="9">
        <f t="shared" si="12"/>
        <v>249.5</v>
      </c>
      <c r="N103" t="s">
        <v>163</v>
      </c>
    </row>
    <row r="104" spans="1:15" x14ac:dyDescent="0.4">
      <c r="B104" t="s">
        <v>164</v>
      </c>
      <c r="D104" t="s">
        <v>104</v>
      </c>
      <c r="E104" t="s">
        <v>111</v>
      </c>
      <c r="F104" t="s">
        <v>105</v>
      </c>
      <c r="G104" s="1" t="s">
        <v>106</v>
      </c>
      <c r="L104" s="87">
        <v>199</v>
      </c>
      <c r="M104" s="9">
        <f t="shared" si="12"/>
        <v>99.5</v>
      </c>
    </row>
    <row r="105" spans="1:15" x14ac:dyDescent="0.4">
      <c r="B105" t="s">
        <v>165</v>
      </c>
      <c r="D105" t="s">
        <v>104</v>
      </c>
      <c r="E105" t="s">
        <v>49</v>
      </c>
      <c r="F105" t="s">
        <v>105</v>
      </c>
      <c r="G105" s="1" t="s">
        <v>106</v>
      </c>
      <c r="L105" s="87">
        <v>75</v>
      </c>
      <c r="M105" s="9">
        <f t="shared" si="12"/>
        <v>37.5</v>
      </c>
    </row>
    <row r="106" spans="1:15" x14ac:dyDescent="0.4">
      <c r="B106" t="s">
        <v>166</v>
      </c>
      <c r="D106" t="s">
        <v>104</v>
      </c>
      <c r="E106" t="s">
        <v>49</v>
      </c>
      <c r="F106" t="s">
        <v>105</v>
      </c>
      <c r="G106" s="1" t="s">
        <v>106</v>
      </c>
      <c r="L106" s="87">
        <v>639.96</v>
      </c>
      <c r="M106" s="9">
        <f t="shared" si="12"/>
        <v>319.98</v>
      </c>
    </row>
    <row r="107" spans="1:15" x14ac:dyDescent="0.4">
      <c r="B107" t="s">
        <v>167</v>
      </c>
      <c r="D107" t="s">
        <v>104</v>
      </c>
      <c r="E107" t="s">
        <v>19</v>
      </c>
      <c r="F107" t="s">
        <v>105</v>
      </c>
      <c r="G107" s="1" t="s">
        <v>106</v>
      </c>
      <c r="L107" s="87">
        <v>337</v>
      </c>
      <c r="M107" s="9">
        <f t="shared" si="12"/>
        <v>168.5</v>
      </c>
    </row>
    <row r="108" spans="1:15" x14ac:dyDescent="0.4">
      <c r="B108" t="s">
        <v>168</v>
      </c>
      <c r="D108" t="s">
        <v>104</v>
      </c>
      <c r="E108" t="s">
        <v>49</v>
      </c>
      <c r="F108" t="s">
        <v>105</v>
      </c>
      <c r="G108" s="1" t="s">
        <v>106</v>
      </c>
      <c r="L108" s="87">
        <v>1581</v>
      </c>
      <c r="M108" s="9">
        <f t="shared" si="12"/>
        <v>790.5</v>
      </c>
    </row>
    <row r="109" spans="1:15" x14ac:dyDescent="0.4">
      <c r="B109" t="s">
        <v>169</v>
      </c>
      <c r="D109" t="s">
        <v>104</v>
      </c>
      <c r="E109" t="s">
        <v>49</v>
      </c>
      <c r="F109" t="s">
        <v>105</v>
      </c>
      <c r="G109" s="1" t="s">
        <v>106</v>
      </c>
      <c r="L109" s="87">
        <v>25</v>
      </c>
      <c r="M109" s="9">
        <f t="shared" ref="M109:M114" si="65">L109/2</f>
        <v>12.5</v>
      </c>
    </row>
    <row r="110" spans="1:15" x14ac:dyDescent="0.4">
      <c r="B110" t="s">
        <v>170</v>
      </c>
      <c r="D110" t="s">
        <v>104</v>
      </c>
      <c r="E110" t="s">
        <v>49</v>
      </c>
      <c r="F110" t="s">
        <v>105</v>
      </c>
      <c r="G110" s="1" t="s">
        <v>106</v>
      </c>
      <c r="L110" s="87">
        <v>39.5</v>
      </c>
      <c r="M110" s="9">
        <f t="shared" si="65"/>
        <v>19.75</v>
      </c>
    </row>
    <row r="111" spans="1:15" x14ac:dyDescent="0.4">
      <c r="B111" t="s">
        <v>171</v>
      </c>
      <c r="D111" t="s">
        <v>104</v>
      </c>
      <c r="E111" t="s">
        <v>49</v>
      </c>
      <c r="F111" t="s">
        <v>105</v>
      </c>
      <c r="G111" s="1" t="s">
        <v>106</v>
      </c>
      <c r="L111" s="87">
        <v>15</v>
      </c>
      <c r="M111" s="9">
        <f t="shared" si="65"/>
        <v>7.5</v>
      </c>
    </row>
    <row r="112" spans="1:15" x14ac:dyDescent="0.4">
      <c r="B112" t="s">
        <v>172</v>
      </c>
      <c r="D112" t="s">
        <v>104</v>
      </c>
      <c r="E112" t="s">
        <v>49</v>
      </c>
      <c r="F112" t="s">
        <v>105</v>
      </c>
      <c r="G112" s="1" t="s">
        <v>106</v>
      </c>
      <c r="L112" s="87">
        <v>527</v>
      </c>
      <c r="M112" s="9">
        <f t="shared" si="65"/>
        <v>263.5</v>
      </c>
      <c r="N112" t="s">
        <v>173</v>
      </c>
    </row>
    <row r="113" spans="1:18" x14ac:dyDescent="0.4">
      <c r="B113" t="s">
        <v>174</v>
      </c>
      <c r="D113" t="s">
        <v>104</v>
      </c>
      <c r="E113" t="s">
        <v>111</v>
      </c>
      <c r="F113" t="s">
        <v>27</v>
      </c>
      <c r="G113" s="1" t="s">
        <v>106</v>
      </c>
      <c r="L113" s="87">
        <v>77</v>
      </c>
      <c r="M113" s="9">
        <f t="shared" si="65"/>
        <v>38.5</v>
      </c>
      <c r="N113" t="s">
        <v>175</v>
      </c>
    </row>
    <row r="114" spans="1:18" s="103" customFormat="1" x14ac:dyDescent="0.4">
      <c r="A114" s="82"/>
      <c r="B114" s="103" t="s">
        <v>176</v>
      </c>
      <c r="D114" s="103" t="s">
        <v>104</v>
      </c>
      <c r="E114" s="103" t="s">
        <v>111</v>
      </c>
      <c r="F114" s="103" t="s">
        <v>27</v>
      </c>
      <c r="G114" s="82" t="s">
        <v>106</v>
      </c>
      <c r="L114" s="162">
        <v>900</v>
      </c>
      <c r="M114" s="163">
        <f t="shared" si="65"/>
        <v>450</v>
      </c>
      <c r="N114" s="103" t="s">
        <v>277</v>
      </c>
      <c r="O114" s="123"/>
    </row>
    <row r="115" spans="1:18" s="98" customFormat="1" x14ac:dyDescent="0.4">
      <c r="A115" s="143"/>
      <c r="B115" s="98" t="s">
        <v>176</v>
      </c>
      <c r="D115" s="98" t="s">
        <v>104</v>
      </c>
      <c r="E115" s="98" t="s">
        <v>111</v>
      </c>
      <c r="F115" s="98" t="s">
        <v>27</v>
      </c>
      <c r="G115" s="143" t="s">
        <v>106</v>
      </c>
      <c r="L115" s="153">
        <v>-900</v>
      </c>
      <c r="M115" s="154">
        <f t="shared" ref="M115" si="66">L115/2</f>
        <v>-450</v>
      </c>
      <c r="N115" s="98" t="s">
        <v>285</v>
      </c>
      <c r="O115" s="150"/>
    </row>
    <row r="116" spans="1:18" x14ac:dyDescent="0.4">
      <c r="B116" t="s">
        <v>177</v>
      </c>
      <c r="D116" t="s">
        <v>104</v>
      </c>
      <c r="E116" t="s">
        <v>37</v>
      </c>
      <c r="F116" t="s">
        <v>27</v>
      </c>
      <c r="G116" s="1" t="s">
        <v>106</v>
      </c>
      <c r="L116" s="87">
        <v>400</v>
      </c>
      <c r="M116" s="9">
        <f>L116/2</f>
        <v>200</v>
      </c>
      <c r="N116" t="s">
        <v>178</v>
      </c>
    </row>
    <row r="117" spans="1:18" x14ac:dyDescent="0.4">
      <c r="B117" t="s">
        <v>179</v>
      </c>
      <c r="D117" t="s">
        <v>104</v>
      </c>
      <c r="E117" t="s">
        <v>19</v>
      </c>
      <c r="F117" t="s">
        <v>105</v>
      </c>
      <c r="G117" s="1" t="s">
        <v>106</v>
      </c>
      <c r="L117" s="87">
        <v>83</v>
      </c>
      <c r="M117" s="9">
        <f>L117/2</f>
        <v>41.5</v>
      </c>
      <c r="N117" t="s">
        <v>180</v>
      </c>
    </row>
    <row r="118" spans="1:18" x14ac:dyDescent="0.4">
      <c r="B118" t="s">
        <v>181</v>
      </c>
      <c r="D118" t="s">
        <v>104</v>
      </c>
      <c r="E118" t="s">
        <v>111</v>
      </c>
      <c r="F118" t="s">
        <v>105</v>
      </c>
      <c r="G118" s="1" t="s">
        <v>106</v>
      </c>
      <c r="L118" s="87">
        <v>366.45</v>
      </c>
      <c r="M118" s="9">
        <f>L118/2</f>
        <v>183.22499999999999</v>
      </c>
    </row>
    <row r="119" spans="1:18" s="24" customFormat="1" hidden="1" x14ac:dyDescent="0.4">
      <c r="A119" s="23"/>
      <c r="B119" s="24" t="s">
        <v>182</v>
      </c>
      <c r="D119" s="24" t="s">
        <v>32</v>
      </c>
      <c r="E119" s="24" t="s">
        <v>19</v>
      </c>
      <c r="F119" s="24" t="s">
        <v>91</v>
      </c>
      <c r="G119" s="23" t="s">
        <v>106</v>
      </c>
      <c r="L119" s="25">
        <v>1709.52</v>
      </c>
      <c r="M119" s="27">
        <f>L119/2</f>
        <v>854.76</v>
      </c>
    </row>
    <row r="120" spans="1:18" x14ac:dyDescent="0.4">
      <c r="B120" t="s">
        <v>183</v>
      </c>
      <c r="D120" t="s">
        <v>104</v>
      </c>
      <c r="E120" t="s">
        <v>49</v>
      </c>
      <c r="F120" t="s">
        <v>105</v>
      </c>
      <c r="G120" s="1"/>
      <c r="L120" s="87">
        <v>20</v>
      </c>
      <c r="M120" s="9">
        <f t="shared" ref="M120:M126" si="67">L120/2</f>
        <v>10</v>
      </c>
    </row>
    <row r="121" spans="1:18" x14ac:dyDescent="0.4">
      <c r="B121" t="s">
        <v>184</v>
      </c>
      <c r="D121" t="s">
        <v>104</v>
      </c>
      <c r="E121" t="s">
        <v>37</v>
      </c>
      <c r="F121" t="s">
        <v>105</v>
      </c>
      <c r="L121" s="87">
        <v>232.03</v>
      </c>
      <c r="M121" s="9">
        <f t="shared" si="67"/>
        <v>116.015</v>
      </c>
      <c r="N121" t="s">
        <v>305</v>
      </c>
    </row>
    <row r="122" spans="1:18" x14ac:dyDescent="0.4">
      <c r="B122" t="s">
        <v>294</v>
      </c>
      <c r="D122" t="s">
        <v>104</v>
      </c>
      <c r="E122" t="s">
        <v>111</v>
      </c>
      <c r="F122" t="s">
        <v>105</v>
      </c>
      <c r="L122" s="87">
        <v>99</v>
      </c>
      <c r="M122" s="9">
        <f t="shared" si="67"/>
        <v>49.5</v>
      </c>
    </row>
    <row r="123" spans="1:18" x14ac:dyDescent="0.4">
      <c r="B123" t="s">
        <v>186</v>
      </c>
      <c r="D123" t="s">
        <v>104</v>
      </c>
      <c r="E123" t="s">
        <v>84</v>
      </c>
      <c r="F123" t="s">
        <v>105</v>
      </c>
      <c r="L123" s="87">
        <v>239</v>
      </c>
      <c r="M123" s="9">
        <f t="shared" si="67"/>
        <v>119.5</v>
      </c>
      <c r="N123" t="s">
        <v>187</v>
      </c>
    </row>
    <row r="124" spans="1:18" x14ac:dyDescent="0.4">
      <c r="B124" t="s">
        <v>188</v>
      </c>
      <c r="D124" t="s">
        <v>104</v>
      </c>
      <c r="E124" t="s">
        <v>37</v>
      </c>
      <c r="F124" t="s">
        <v>105</v>
      </c>
      <c r="L124" s="87">
        <v>250</v>
      </c>
      <c r="M124" s="9">
        <f t="shared" si="67"/>
        <v>125</v>
      </c>
      <c r="N124" t="s">
        <v>189</v>
      </c>
    </row>
    <row r="125" spans="1:18" s="159" customFormat="1" x14ac:dyDescent="0.4">
      <c r="A125" s="157"/>
      <c r="B125" s="159" t="s">
        <v>190</v>
      </c>
      <c r="D125" s="159" t="s">
        <v>104</v>
      </c>
      <c r="E125" s="159" t="s">
        <v>37</v>
      </c>
      <c r="F125" s="159" t="s">
        <v>105</v>
      </c>
      <c r="J125" s="186"/>
      <c r="K125" s="161"/>
      <c r="L125" s="187">
        <v>9</v>
      </c>
      <c r="M125" s="188">
        <f t="shared" si="67"/>
        <v>4.5</v>
      </c>
      <c r="N125" s="159" t="s">
        <v>191</v>
      </c>
      <c r="O125" s="160"/>
    </row>
    <row r="126" spans="1:18" x14ac:dyDescent="0.4">
      <c r="B126" t="s">
        <v>192</v>
      </c>
      <c r="D126" t="s">
        <v>104</v>
      </c>
      <c r="E126" t="s">
        <v>111</v>
      </c>
      <c r="F126" t="s">
        <v>27</v>
      </c>
      <c r="L126" s="87">
        <v>167</v>
      </c>
      <c r="M126" s="9">
        <f t="shared" si="67"/>
        <v>83.5</v>
      </c>
      <c r="N126" t="s">
        <v>193</v>
      </c>
    </row>
    <row r="127" spans="1:18" x14ac:dyDescent="0.4">
      <c r="L127" s="87"/>
      <c r="M127" s="9"/>
      <c r="O127"/>
    </row>
    <row r="128" spans="1:18" ht="15" thickBot="1" x14ac:dyDescent="0.45">
      <c r="B128" s="1"/>
      <c r="C128" s="1"/>
      <c r="D128" s="1"/>
      <c r="E128" s="1"/>
      <c r="F128" s="1"/>
      <c r="J128" s="42">
        <f>L128*0.923</f>
        <v>0</v>
      </c>
      <c r="L128" s="4"/>
      <c r="M128" s="9"/>
      <c r="N128" s="96" t="s">
        <v>194</v>
      </c>
      <c r="O128"/>
      <c r="R128" s="3"/>
    </row>
    <row r="129" spans="2:15" ht="15" thickTop="1" x14ac:dyDescent="0.4">
      <c r="B129" t="s">
        <v>195</v>
      </c>
      <c r="J129" t="s">
        <v>196</v>
      </c>
      <c r="N129" s="97">
        <v>173102</v>
      </c>
      <c r="O129"/>
    </row>
    <row r="130" spans="2:15" x14ac:dyDescent="0.4">
      <c r="B130" t="s">
        <v>197</v>
      </c>
      <c r="L130" s="29">
        <f>L128/L135</f>
        <v>0</v>
      </c>
      <c r="M130" s="37" t="s">
        <v>198</v>
      </c>
      <c r="N130" s="99">
        <f>206164-208629</f>
        <v>-2465</v>
      </c>
      <c r="O130" s="98" t="s">
        <v>199</v>
      </c>
    </row>
    <row r="131" spans="2:15" x14ac:dyDescent="0.4">
      <c r="J131" s="42"/>
      <c r="L131" s="35">
        <f>L128/L136</f>
        <v>0</v>
      </c>
      <c r="M131" s="37" t="s">
        <v>200</v>
      </c>
      <c r="O131"/>
    </row>
    <row r="132" spans="2:15" x14ac:dyDescent="0.4">
      <c r="B132" t="s">
        <v>201</v>
      </c>
      <c r="O132"/>
    </row>
    <row r="133" spans="2:15" x14ac:dyDescent="0.4">
      <c r="B133" t="s">
        <v>202</v>
      </c>
      <c r="J133" s="42"/>
      <c r="O133"/>
    </row>
    <row r="134" spans="2:15" x14ac:dyDescent="0.4">
      <c r="J134" s="42"/>
    </row>
    <row r="135" spans="2:15" x14ac:dyDescent="0.4">
      <c r="J135" s="42"/>
      <c r="L135" s="36">
        <v>400000</v>
      </c>
      <c r="M135" t="s">
        <v>203</v>
      </c>
    </row>
    <row r="136" spans="2:15" x14ac:dyDescent="0.4">
      <c r="B136" s="38" t="s">
        <v>204</v>
      </c>
      <c r="C136" s="47"/>
      <c r="L136" s="36">
        <v>146766</v>
      </c>
      <c r="M136" t="s">
        <v>205</v>
      </c>
    </row>
    <row r="137" spans="2:15" x14ac:dyDescent="0.4">
      <c r="B137" s="47"/>
      <c r="C137" s="47"/>
      <c r="L137" s="36">
        <v>130220</v>
      </c>
      <c r="M137" t="s">
        <v>206</v>
      </c>
    </row>
    <row r="138" spans="2:15" x14ac:dyDescent="0.4">
      <c r="B138" t="s">
        <v>207</v>
      </c>
      <c r="L138" s="114">
        <f>L137/L136</f>
        <v>0.88726271752313202</v>
      </c>
      <c r="M138" s="98" t="s">
        <v>208</v>
      </c>
    </row>
    <row r="139" spans="2:15" x14ac:dyDescent="0.4">
      <c r="B139" t="s">
        <v>209</v>
      </c>
      <c r="L139" s="115">
        <f>L136*0.6</f>
        <v>88059.599999999991</v>
      </c>
      <c r="M139" t="s">
        <v>210</v>
      </c>
    </row>
    <row r="140" spans="2:15" x14ac:dyDescent="0.4">
      <c r="B140" t="s">
        <v>211</v>
      </c>
      <c r="L140" s="133">
        <f>L137-L139</f>
        <v>42160.400000000009</v>
      </c>
      <c r="M140" s="134" t="s">
        <v>212</v>
      </c>
    </row>
    <row r="141" spans="2:15" x14ac:dyDescent="0.4">
      <c r="B141" t="s">
        <v>213</v>
      </c>
      <c r="L141" s="1" t="s">
        <v>214</v>
      </c>
      <c r="M141" t="s">
        <v>215</v>
      </c>
    </row>
    <row r="142" spans="2:15" x14ac:dyDescent="0.4">
      <c r="L142" s="39">
        <v>0.08</v>
      </c>
      <c r="M142" t="s">
        <v>216</v>
      </c>
    </row>
    <row r="145" spans="2:14" x14ac:dyDescent="0.4">
      <c r="L145" s="109" t="s">
        <v>217</v>
      </c>
      <c r="M145" s="109"/>
      <c r="N145" s="109"/>
    </row>
    <row r="146" spans="2:14" x14ac:dyDescent="0.4">
      <c r="L146" s="110">
        <v>208076</v>
      </c>
      <c r="M146" s="109" t="s">
        <v>218</v>
      </c>
      <c r="N146" s="111" t="s">
        <v>219</v>
      </c>
    </row>
    <row r="147" spans="2:14" x14ac:dyDescent="0.4">
      <c r="L147" s="112">
        <v>207226</v>
      </c>
      <c r="M147" s="109"/>
      <c r="N147" s="113">
        <v>45508</v>
      </c>
    </row>
    <row r="148" spans="2:14" x14ac:dyDescent="0.4">
      <c r="B148" s="40" t="s">
        <v>220</v>
      </c>
      <c r="C148" s="40"/>
      <c r="D148" s="40">
        <v>100</v>
      </c>
      <c r="E148" s="40" t="s">
        <v>221</v>
      </c>
      <c r="F148" s="40" t="s">
        <v>222</v>
      </c>
      <c r="L148" s="112">
        <v>210100</v>
      </c>
      <c r="M148" s="109"/>
      <c r="N148" s="113" t="s">
        <v>223</v>
      </c>
    </row>
    <row r="149" spans="2:14" x14ac:dyDescent="0.4">
      <c r="B149" s="40" t="s">
        <v>32</v>
      </c>
      <c r="C149" s="40"/>
      <c r="D149" s="45">
        <v>30</v>
      </c>
      <c r="E149" s="45" t="s">
        <v>224</v>
      </c>
      <c r="F149" s="44">
        <v>0.4</v>
      </c>
      <c r="L149" s="112">
        <v>209770</v>
      </c>
      <c r="M149" s="109"/>
      <c r="N149" s="113">
        <v>45596</v>
      </c>
    </row>
    <row r="150" spans="2:14" x14ac:dyDescent="0.4">
      <c r="B150" s="40" t="s">
        <v>225</v>
      </c>
      <c r="C150" s="40"/>
      <c r="D150" s="45">
        <v>70</v>
      </c>
      <c r="E150" s="45"/>
      <c r="F150" s="44">
        <v>0.6</v>
      </c>
      <c r="L150" s="110">
        <v>207326</v>
      </c>
      <c r="M150" s="109"/>
      <c r="N150" s="113" t="s">
        <v>226</v>
      </c>
    </row>
    <row r="151" spans="2:14" ht="15" thickBot="1" x14ac:dyDescent="0.45">
      <c r="B151" s="40" t="s">
        <v>227</v>
      </c>
      <c r="C151" s="40"/>
      <c r="D151" s="40">
        <v>32</v>
      </c>
      <c r="E151" s="40" t="s">
        <v>228</v>
      </c>
      <c r="F151" s="46">
        <v>0.38</v>
      </c>
      <c r="L151" s="110">
        <v>198481</v>
      </c>
      <c r="M151" s="109"/>
      <c r="N151" s="113" t="s">
        <v>281</v>
      </c>
    </row>
    <row r="152" spans="2:14" ht="15" thickBot="1" x14ac:dyDescent="0.45">
      <c r="B152" s="40" t="s">
        <v>229</v>
      </c>
      <c r="C152" s="40"/>
      <c r="D152" s="40">
        <v>10</v>
      </c>
      <c r="E152" s="43"/>
      <c r="F152" s="41">
        <v>4.3200000000000002E-2</v>
      </c>
      <c r="L152" s="135">
        <v>173102</v>
      </c>
      <c r="M152" s="185">
        <f>L152+30000</f>
        <v>203102</v>
      </c>
      <c r="N152" s="113">
        <v>45799</v>
      </c>
    </row>
    <row r="153" spans="2:14" x14ac:dyDescent="0.4">
      <c r="B153" s="40" t="s">
        <v>230</v>
      </c>
      <c r="C153" s="40"/>
      <c r="D153" s="40">
        <v>20</v>
      </c>
      <c r="E153" s="40" t="s">
        <v>231</v>
      </c>
      <c r="F153" s="46">
        <v>0.1326</v>
      </c>
      <c r="L153" s="3"/>
      <c r="N153" s="113" t="s">
        <v>297</v>
      </c>
    </row>
    <row r="154" spans="2:14" x14ac:dyDescent="0.4">
      <c r="B154" s="40" t="s">
        <v>232</v>
      </c>
      <c r="C154" s="40"/>
      <c r="D154" s="40">
        <v>8</v>
      </c>
      <c r="E154" s="40"/>
      <c r="F154" s="41">
        <v>0.08</v>
      </c>
      <c r="K154" s="125">
        <v>45845</v>
      </c>
      <c r="L154" s="189">
        <v>175948</v>
      </c>
    </row>
    <row r="155" spans="2:14" x14ac:dyDescent="0.4">
      <c r="B155" s="40"/>
      <c r="C155" s="40"/>
      <c r="D155" s="40">
        <v>100</v>
      </c>
      <c r="E155" s="40"/>
      <c r="F155" s="41"/>
    </row>
  </sheetData>
  <autoFilter ref="B2:O133" xr:uid="{7E5AD0D8-AEC6-4D59-ABD8-4F64D4C92A68}">
    <filterColumn colId="2">
      <filters blank="1">
        <filter val="Expense"/>
        <filter val="Payroll"/>
      </filters>
    </filterColumn>
    <filterColumn colId="3">
      <filters blank="1">
        <filter val="Admin"/>
        <filter val="Biz Dev"/>
        <filter val="COGS"/>
        <filter val="General"/>
        <filter val="Help Desk"/>
        <filter val="MKTG"/>
        <filter val="Operations"/>
        <filter val="Projects"/>
        <filter val="Services"/>
      </filters>
    </filterColumn>
  </autoFilter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F23C4-DA2F-4004-B723-9C0B4E0C5DA6}">
  <dimension ref="A1:R132"/>
  <sheetViews>
    <sheetView zoomScale="90" zoomScaleNormal="90" workbookViewId="0">
      <pane xSplit="5" ySplit="2" topLeftCell="F26" activePane="bottomRight" state="frozen"/>
      <selection pane="topRight" activeCell="D1" sqref="D1"/>
      <selection pane="bottomLeft" activeCell="A2" sqref="A2"/>
      <selection pane="bottomRight" activeCell="A40" sqref="A40:XFD40"/>
    </sheetView>
  </sheetViews>
  <sheetFormatPr defaultColWidth="9.15234375" defaultRowHeight="14.6" x14ac:dyDescent="0.4"/>
  <cols>
    <col min="1" max="1" width="4.3828125" style="1" customWidth="1"/>
    <col min="2" max="2" width="39.84375" customWidth="1"/>
    <col min="3" max="3" width="7.53515625" customWidth="1"/>
    <col min="4" max="4" width="14.3828125" customWidth="1"/>
    <col min="5" max="5" width="16.15234375" customWidth="1"/>
    <col min="6" max="7" width="16.84375" customWidth="1"/>
    <col min="8" max="8" width="11.53515625" customWidth="1"/>
    <col min="9" max="9" width="14" customWidth="1"/>
    <col min="10" max="10" width="14.3828125" bestFit="1" customWidth="1"/>
    <col min="11" max="11" width="14.53515625" customWidth="1"/>
    <col min="12" max="12" width="18.53515625" customWidth="1"/>
    <col min="13" max="13" width="13.53515625" customWidth="1"/>
    <col min="14" max="14" width="64.53515625" bestFit="1" customWidth="1"/>
    <col min="15" max="15" width="11.53515625" style="121" bestFit="1" customWidth="1"/>
    <col min="17" max="17" width="8.53515625" customWidth="1"/>
    <col min="18" max="18" width="24.3828125" customWidth="1"/>
  </cols>
  <sheetData>
    <row r="1" spans="1:18" x14ac:dyDescent="0.4">
      <c r="A1" t="s">
        <v>0</v>
      </c>
      <c r="D1" t="s">
        <v>1</v>
      </c>
    </row>
    <row r="2" spans="1:18" s="91" customFormat="1" ht="58.3" x14ac:dyDescent="0.4">
      <c r="A2" s="88"/>
      <c r="B2" s="89" t="s">
        <v>2</v>
      </c>
      <c r="C2" s="89" t="s">
        <v>3</v>
      </c>
      <c r="D2" s="89" t="s">
        <v>4</v>
      </c>
      <c r="E2" s="89" t="s">
        <v>5</v>
      </c>
      <c r="F2" s="89" t="s">
        <v>6</v>
      </c>
      <c r="G2" s="90" t="s">
        <v>7</v>
      </c>
      <c r="H2" s="90" t="s">
        <v>8</v>
      </c>
      <c r="I2" s="90" t="s">
        <v>9</v>
      </c>
      <c r="J2" s="90" t="s">
        <v>10</v>
      </c>
      <c r="K2" s="90" t="s">
        <v>11</v>
      </c>
      <c r="L2" s="90" t="s">
        <v>12</v>
      </c>
      <c r="M2" s="90" t="s">
        <v>13</v>
      </c>
      <c r="N2" s="89" t="s">
        <v>14</v>
      </c>
      <c r="O2" s="122" t="s">
        <v>15</v>
      </c>
      <c r="R2" s="91" t="s">
        <v>16</v>
      </c>
    </row>
    <row r="3" spans="1:18" x14ac:dyDescent="0.4">
      <c r="A3" s="1">
        <v>1</v>
      </c>
      <c r="B3" t="s">
        <v>17</v>
      </c>
      <c r="D3" t="s">
        <v>18</v>
      </c>
      <c r="E3" t="s">
        <v>19</v>
      </c>
      <c r="F3" t="s">
        <v>20</v>
      </c>
      <c r="G3" s="80">
        <v>0.05</v>
      </c>
      <c r="H3" s="2">
        <v>45</v>
      </c>
      <c r="I3" s="81">
        <v>40</v>
      </c>
      <c r="J3" s="102">
        <f>I3*52/12</f>
        <v>173.33333333333334</v>
      </c>
      <c r="K3" s="42">
        <f>H3*J3</f>
        <v>7800</v>
      </c>
      <c r="L3" s="84">
        <f>K3*(1+G3)</f>
        <v>8190</v>
      </c>
      <c r="M3" s="42">
        <f>L3/2</f>
        <v>4095</v>
      </c>
      <c r="O3" s="121" t="s">
        <v>21</v>
      </c>
      <c r="R3" s="86">
        <f>H3*I3*4*1.1</f>
        <v>7920.0000000000009</v>
      </c>
    </row>
    <row r="4" spans="1:18" s="103" customFormat="1" x14ac:dyDescent="0.4">
      <c r="A4" s="82"/>
      <c r="B4" s="103" t="s">
        <v>22</v>
      </c>
      <c r="D4" s="103" t="s">
        <v>18</v>
      </c>
      <c r="E4" s="103" t="s">
        <v>19</v>
      </c>
      <c r="F4" s="103" t="s">
        <v>20</v>
      </c>
      <c r="G4" s="104">
        <v>0.05</v>
      </c>
      <c r="H4" s="83">
        <v>45</v>
      </c>
      <c r="I4" s="105">
        <v>-10</v>
      </c>
      <c r="J4" s="82">
        <v>-43.33</v>
      </c>
      <c r="K4" s="85">
        <f>J4*H4</f>
        <v>-1949.85</v>
      </c>
      <c r="L4" s="106">
        <f>K4*(1+G4)</f>
        <v>-2047.3425</v>
      </c>
      <c r="M4" s="85">
        <f>L4/2</f>
        <v>-1023.67125</v>
      </c>
      <c r="N4" s="103" t="s">
        <v>23</v>
      </c>
      <c r="O4" s="123" t="s">
        <v>21</v>
      </c>
      <c r="R4" s="107">
        <f t="shared" ref="R4:R46" si="0">H4*I4*4*1.1</f>
        <v>-1980.0000000000002</v>
      </c>
    </row>
    <row r="5" spans="1:18" x14ac:dyDescent="0.4">
      <c r="A5" s="1">
        <v>2</v>
      </c>
      <c r="B5" t="s">
        <v>24</v>
      </c>
      <c r="D5" t="s">
        <v>18</v>
      </c>
      <c r="E5" t="s">
        <v>19</v>
      </c>
      <c r="F5" t="s">
        <v>20</v>
      </c>
      <c r="G5" s="80">
        <v>0.05</v>
      </c>
      <c r="H5" s="2">
        <v>52</v>
      </c>
      <c r="I5" s="81">
        <v>0</v>
      </c>
      <c r="J5" s="102">
        <f t="shared" ref="J5:J7" si="1">I5*52/12</f>
        <v>0</v>
      </c>
      <c r="K5" s="42">
        <f t="shared" ref="K5:K17" si="2">H5*J5</f>
        <v>0</v>
      </c>
      <c r="L5" s="84">
        <f t="shared" ref="L5:L17" si="3">K5*(1+G5)</f>
        <v>0</v>
      </c>
      <c r="M5" s="42">
        <f t="shared" ref="M5:M17" si="4">L5/2</f>
        <v>0</v>
      </c>
      <c r="N5" t="s">
        <v>25</v>
      </c>
      <c r="R5" s="86">
        <f t="shared" si="0"/>
        <v>0</v>
      </c>
    </row>
    <row r="6" spans="1:18" x14ac:dyDescent="0.4">
      <c r="B6" t="s">
        <v>26</v>
      </c>
      <c r="D6" t="s">
        <v>18</v>
      </c>
      <c r="E6" t="s">
        <v>19</v>
      </c>
      <c r="F6" t="s">
        <v>27</v>
      </c>
      <c r="G6" s="80">
        <v>0.05</v>
      </c>
      <c r="H6" s="2">
        <v>40</v>
      </c>
      <c r="I6" s="81">
        <v>40</v>
      </c>
      <c r="J6" s="102">
        <v>173.33</v>
      </c>
      <c r="K6" s="42">
        <f t="shared" si="2"/>
        <v>6933.2000000000007</v>
      </c>
      <c r="L6" s="84">
        <f t="shared" si="3"/>
        <v>7279.8600000000015</v>
      </c>
      <c r="M6" s="42">
        <f t="shared" si="4"/>
        <v>3639.9300000000007</v>
      </c>
      <c r="N6" t="s">
        <v>28</v>
      </c>
      <c r="R6" s="86"/>
    </row>
    <row r="7" spans="1:18" x14ac:dyDescent="0.4">
      <c r="A7" s="1">
        <v>3</v>
      </c>
      <c r="B7" t="s">
        <v>29</v>
      </c>
      <c r="D7" t="s">
        <v>18</v>
      </c>
      <c r="E7" t="s">
        <v>19</v>
      </c>
      <c r="F7" t="s">
        <v>20</v>
      </c>
      <c r="G7" s="80">
        <v>0.05</v>
      </c>
      <c r="H7" s="2">
        <v>38</v>
      </c>
      <c r="I7" s="81">
        <v>40</v>
      </c>
      <c r="J7" s="102">
        <f t="shared" si="1"/>
        <v>173.33333333333334</v>
      </c>
      <c r="K7" s="42">
        <f t="shared" si="2"/>
        <v>6586.666666666667</v>
      </c>
      <c r="L7" s="84">
        <f t="shared" si="3"/>
        <v>6916.0000000000009</v>
      </c>
      <c r="M7" s="42">
        <f t="shared" si="4"/>
        <v>3458.0000000000005</v>
      </c>
      <c r="R7" s="86">
        <f t="shared" si="0"/>
        <v>6688.0000000000009</v>
      </c>
    </row>
    <row r="8" spans="1:18" x14ac:dyDescent="0.4">
      <c r="A8" s="1">
        <v>4</v>
      </c>
      <c r="B8" t="s">
        <v>30</v>
      </c>
      <c r="D8" t="s">
        <v>18</v>
      </c>
      <c r="E8" t="s">
        <v>19</v>
      </c>
      <c r="F8" t="s">
        <v>20</v>
      </c>
      <c r="G8" s="80">
        <v>0.05</v>
      </c>
      <c r="H8" s="2">
        <v>75</v>
      </c>
      <c r="I8" s="81">
        <v>10</v>
      </c>
      <c r="J8" s="102">
        <f>I8*52/12</f>
        <v>43.333333333333336</v>
      </c>
      <c r="K8" s="42">
        <f t="shared" si="2"/>
        <v>3250</v>
      </c>
      <c r="L8" s="84">
        <f t="shared" si="3"/>
        <v>3412.5</v>
      </c>
      <c r="M8" s="42">
        <f t="shared" si="4"/>
        <v>1706.25</v>
      </c>
      <c r="N8" t="s">
        <v>31</v>
      </c>
      <c r="R8" s="86">
        <f t="shared" si="0"/>
        <v>3300.0000000000005</v>
      </c>
    </row>
    <row r="9" spans="1:18" s="11" customFormat="1" x14ac:dyDescent="0.4">
      <c r="A9" s="10"/>
      <c r="B9" s="11" t="s">
        <v>30</v>
      </c>
      <c r="D9" s="11" t="s">
        <v>32</v>
      </c>
      <c r="E9" s="11" t="s">
        <v>19</v>
      </c>
      <c r="F9" s="11" t="s">
        <v>20</v>
      </c>
      <c r="G9" s="12">
        <v>0.05</v>
      </c>
      <c r="H9" s="13"/>
      <c r="I9" s="14"/>
      <c r="J9" s="15"/>
      <c r="K9" s="16">
        <v>1500</v>
      </c>
      <c r="L9" s="17">
        <f>K9*(1+G9)</f>
        <v>1575</v>
      </c>
      <c r="M9" s="16">
        <f>L9/2</f>
        <v>787.5</v>
      </c>
      <c r="N9" s="11" t="s">
        <v>33</v>
      </c>
      <c r="O9" s="11" t="s">
        <v>21</v>
      </c>
      <c r="R9" s="18"/>
    </row>
    <row r="10" spans="1:18" x14ac:dyDescent="0.4">
      <c r="A10" s="1">
        <v>5</v>
      </c>
      <c r="B10" t="s">
        <v>34</v>
      </c>
      <c r="D10" t="s">
        <v>18</v>
      </c>
      <c r="E10" t="s">
        <v>19</v>
      </c>
      <c r="F10" t="s">
        <v>20</v>
      </c>
      <c r="G10" s="80">
        <v>0.05</v>
      </c>
      <c r="H10" s="2">
        <v>70</v>
      </c>
      <c r="I10" s="81">
        <v>24</v>
      </c>
      <c r="J10" s="102">
        <f t="shared" ref="J10:J17" si="5">I10*52/12</f>
        <v>104</v>
      </c>
      <c r="K10" s="42">
        <f t="shared" si="2"/>
        <v>7280</v>
      </c>
      <c r="L10" s="84">
        <f t="shared" si="3"/>
        <v>7644</v>
      </c>
      <c r="M10" s="42">
        <f t="shared" si="4"/>
        <v>3822</v>
      </c>
      <c r="N10" t="s">
        <v>35</v>
      </c>
      <c r="R10" s="86">
        <f t="shared" si="0"/>
        <v>7392.0000000000009</v>
      </c>
    </row>
    <row r="11" spans="1:18" s="11" customFormat="1" x14ac:dyDescent="0.4">
      <c r="A11" s="10">
        <v>6</v>
      </c>
      <c r="B11" s="11" t="s">
        <v>36</v>
      </c>
      <c r="D11" s="11" t="s">
        <v>32</v>
      </c>
      <c r="E11" s="11" t="s">
        <v>37</v>
      </c>
      <c r="F11" s="11" t="s">
        <v>20</v>
      </c>
      <c r="G11" s="12">
        <v>0.05</v>
      </c>
      <c r="H11" s="13">
        <v>74</v>
      </c>
      <c r="I11" s="14">
        <v>40</v>
      </c>
      <c r="J11" s="15">
        <f t="shared" si="5"/>
        <v>173.33333333333334</v>
      </c>
      <c r="K11" s="16">
        <f t="shared" si="2"/>
        <v>12826.666666666668</v>
      </c>
      <c r="L11" s="17">
        <f t="shared" si="3"/>
        <v>13468.000000000002</v>
      </c>
      <c r="M11" s="16">
        <f t="shared" si="4"/>
        <v>6734.0000000000009</v>
      </c>
      <c r="O11" s="11" t="s">
        <v>21</v>
      </c>
      <c r="R11" s="18">
        <f t="shared" si="0"/>
        <v>13024.000000000002</v>
      </c>
    </row>
    <row r="12" spans="1:18" s="28" customFormat="1" x14ac:dyDescent="0.4">
      <c r="A12" s="92">
        <v>7</v>
      </c>
      <c r="B12" s="28" t="s">
        <v>38</v>
      </c>
      <c r="D12" s="28" t="s">
        <v>18</v>
      </c>
      <c r="E12" s="28" t="s">
        <v>19</v>
      </c>
      <c r="F12" s="28" t="s">
        <v>20</v>
      </c>
      <c r="G12" s="93">
        <v>0.05</v>
      </c>
      <c r="H12" s="94">
        <v>60</v>
      </c>
      <c r="I12" s="48">
        <v>20</v>
      </c>
      <c r="J12" s="101">
        <f t="shared" si="5"/>
        <v>86.666666666666671</v>
      </c>
      <c r="K12" s="100">
        <f t="shared" si="2"/>
        <v>5200</v>
      </c>
      <c r="L12" s="49">
        <f t="shared" si="3"/>
        <v>5460</v>
      </c>
      <c r="M12" s="100">
        <f t="shared" si="4"/>
        <v>2730</v>
      </c>
      <c r="O12" s="125"/>
      <c r="R12" s="95">
        <f t="shared" si="0"/>
        <v>5280</v>
      </c>
    </row>
    <row r="13" spans="1:18" x14ac:dyDescent="0.4">
      <c r="A13" s="1">
        <v>8</v>
      </c>
      <c r="B13" t="s">
        <v>39</v>
      </c>
      <c r="D13" t="s">
        <v>18</v>
      </c>
      <c r="E13" t="s">
        <v>19</v>
      </c>
      <c r="F13" t="s">
        <v>20</v>
      </c>
      <c r="G13" s="80">
        <v>0.05</v>
      </c>
      <c r="H13" s="2">
        <v>25</v>
      </c>
      <c r="I13" s="81">
        <v>40</v>
      </c>
      <c r="J13" s="102">
        <f t="shared" si="5"/>
        <v>173.33333333333334</v>
      </c>
      <c r="K13" s="42">
        <f t="shared" si="2"/>
        <v>4333.3333333333339</v>
      </c>
      <c r="L13" s="84">
        <f t="shared" si="3"/>
        <v>4550.0000000000009</v>
      </c>
      <c r="M13" s="42">
        <f t="shared" si="4"/>
        <v>2275.0000000000005</v>
      </c>
      <c r="R13" s="86">
        <f t="shared" si="0"/>
        <v>4400</v>
      </c>
    </row>
    <row r="14" spans="1:18" x14ac:dyDescent="0.4">
      <c r="A14" s="1">
        <v>9</v>
      </c>
      <c r="B14" t="s">
        <v>40</v>
      </c>
      <c r="D14" t="s">
        <v>18</v>
      </c>
      <c r="E14" t="s">
        <v>19</v>
      </c>
      <c r="F14" t="s">
        <v>41</v>
      </c>
      <c r="G14" s="80">
        <v>0.01</v>
      </c>
      <c r="H14" s="2">
        <v>18</v>
      </c>
      <c r="I14" s="81">
        <v>40</v>
      </c>
      <c r="J14" s="102">
        <f t="shared" si="5"/>
        <v>173.33333333333334</v>
      </c>
      <c r="K14" s="42">
        <f t="shared" si="2"/>
        <v>3120</v>
      </c>
      <c r="L14" s="84">
        <f t="shared" si="3"/>
        <v>3151.2</v>
      </c>
      <c r="M14" s="42">
        <f t="shared" si="4"/>
        <v>1575.6</v>
      </c>
      <c r="N14" t="s">
        <v>42</v>
      </c>
      <c r="R14" s="86">
        <f t="shared" si="0"/>
        <v>3168.0000000000005</v>
      </c>
    </row>
    <row r="15" spans="1:18" s="11" customFormat="1" x14ac:dyDescent="0.4">
      <c r="A15" s="1">
        <v>10</v>
      </c>
      <c r="B15" t="s">
        <v>43</v>
      </c>
      <c r="C15"/>
      <c r="D15" t="s">
        <v>18</v>
      </c>
      <c r="E15" t="s">
        <v>19</v>
      </c>
      <c r="F15" t="s">
        <v>41</v>
      </c>
      <c r="G15" s="80">
        <v>0.01</v>
      </c>
      <c r="H15" s="2">
        <v>25</v>
      </c>
      <c r="I15" s="81">
        <v>40</v>
      </c>
      <c r="J15" s="102">
        <f t="shared" si="5"/>
        <v>173.33333333333334</v>
      </c>
      <c r="K15" s="42">
        <f t="shared" si="2"/>
        <v>4333.3333333333339</v>
      </c>
      <c r="L15" s="84">
        <f t="shared" si="3"/>
        <v>4376.666666666667</v>
      </c>
      <c r="M15" s="42">
        <f t="shared" si="4"/>
        <v>2188.3333333333335</v>
      </c>
      <c r="N15" t="s">
        <v>44</v>
      </c>
      <c r="O15" s="124"/>
      <c r="R15" s="18">
        <f t="shared" si="0"/>
        <v>4400</v>
      </c>
    </row>
    <row r="16" spans="1:18" s="103" customFormat="1" x14ac:dyDescent="0.4">
      <c r="A16" s="82"/>
      <c r="B16" s="103" t="s">
        <v>45</v>
      </c>
      <c r="D16" s="103" t="s">
        <v>18</v>
      </c>
      <c r="E16" s="103" t="s">
        <v>19</v>
      </c>
      <c r="F16" s="103" t="s">
        <v>41</v>
      </c>
      <c r="G16" s="104">
        <v>0.01</v>
      </c>
      <c r="H16" s="83">
        <v>20</v>
      </c>
      <c r="I16" s="105"/>
      <c r="J16" s="108">
        <f t="shared" si="5"/>
        <v>0</v>
      </c>
      <c r="K16" s="85">
        <f t="shared" si="2"/>
        <v>0</v>
      </c>
      <c r="L16" s="106">
        <f t="shared" si="3"/>
        <v>0</v>
      </c>
      <c r="M16" s="85">
        <f t="shared" si="4"/>
        <v>0</v>
      </c>
      <c r="N16" s="103" t="s">
        <v>46</v>
      </c>
      <c r="O16" s="123" t="s">
        <v>47</v>
      </c>
      <c r="R16" s="107">
        <f t="shared" si="0"/>
        <v>0</v>
      </c>
    </row>
    <row r="17" spans="1:18" x14ac:dyDescent="0.4">
      <c r="A17" s="1">
        <v>11</v>
      </c>
      <c r="B17" t="s">
        <v>48</v>
      </c>
      <c r="D17" t="s">
        <v>18</v>
      </c>
      <c r="E17" t="s">
        <v>49</v>
      </c>
      <c r="F17" t="s">
        <v>41</v>
      </c>
      <c r="G17" s="80">
        <v>0.01</v>
      </c>
      <c r="H17" s="2">
        <v>23</v>
      </c>
      <c r="I17" s="81">
        <v>20</v>
      </c>
      <c r="J17" s="108">
        <f t="shared" si="5"/>
        <v>86.666666666666671</v>
      </c>
      <c r="K17" s="85">
        <f t="shared" si="2"/>
        <v>1993.3333333333335</v>
      </c>
      <c r="L17" s="84">
        <f t="shared" si="3"/>
        <v>2013.2666666666669</v>
      </c>
      <c r="M17" s="42">
        <f t="shared" si="4"/>
        <v>1006.6333333333334</v>
      </c>
      <c r="R17" s="86">
        <f t="shared" si="0"/>
        <v>2024.0000000000002</v>
      </c>
    </row>
    <row r="18" spans="1:18" s="11" customFormat="1" x14ac:dyDescent="0.4">
      <c r="A18" s="10"/>
      <c r="B18" s="11" t="s">
        <v>50</v>
      </c>
      <c r="D18" s="11" t="s">
        <v>32</v>
      </c>
      <c r="E18" s="11" t="s">
        <v>19</v>
      </c>
      <c r="F18" s="11" t="s">
        <v>27</v>
      </c>
      <c r="G18" s="12">
        <v>0.01</v>
      </c>
      <c r="H18" s="13">
        <v>87</v>
      </c>
      <c r="I18" s="14">
        <v>40</v>
      </c>
      <c r="J18" s="19">
        <f>I18*52/12</f>
        <v>173.33333333333334</v>
      </c>
      <c r="K18" s="20">
        <f>H18*J18</f>
        <v>15080</v>
      </c>
      <c r="L18" s="17">
        <f>K18*(1+G18)</f>
        <v>15230.8</v>
      </c>
      <c r="M18" s="16">
        <f>L18/2</f>
        <v>7615.4</v>
      </c>
      <c r="O18" s="11" t="s">
        <v>21</v>
      </c>
      <c r="R18" s="18">
        <f>H18*I18*4*1.1</f>
        <v>15312.000000000002</v>
      </c>
    </row>
    <row r="19" spans="1:18" s="11" customFormat="1" x14ac:dyDescent="0.4">
      <c r="A19" s="10"/>
      <c r="B19" s="11" t="s">
        <v>48</v>
      </c>
      <c r="D19" s="11" t="s">
        <v>18</v>
      </c>
      <c r="E19" s="11" t="s">
        <v>51</v>
      </c>
      <c r="F19" s="11" t="s">
        <v>41</v>
      </c>
      <c r="G19" s="12">
        <v>0.01</v>
      </c>
      <c r="H19" s="13">
        <v>23</v>
      </c>
      <c r="I19" s="14">
        <v>20</v>
      </c>
      <c r="J19" s="19">
        <f t="shared" ref="J19:J20" si="6">I19*52/12</f>
        <v>86.666666666666671</v>
      </c>
      <c r="K19" s="20">
        <f t="shared" ref="K19:K20" si="7">H19*J19</f>
        <v>1993.3333333333335</v>
      </c>
      <c r="L19" s="17">
        <f t="shared" ref="L19:L20" si="8">K19*(1+G19)</f>
        <v>2013.2666666666669</v>
      </c>
      <c r="M19" s="16">
        <f t="shared" ref="M19:M87" si="9">L19/2</f>
        <v>1006.6333333333334</v>
      </c>
      <c r="O19" s="11" t="s">
        <v>51</v>
      </c>
      <c r="R19" s="18">
        <f t="shared" si="0"/>
        <v>2024.0000000000002</v>
      </c>
    </row>
    <row r="20" spans="1:18" x14ac:dyDescent="0.4">
      <c r="B20" t="s">
        <v>52</v>
      </c>
      <c r="D20" t="s">
        <v>18</v>
      </c>
      <c r="E20" t="s">
        <v>19</v>
      </c>
      <c r="F20" t="s">
        <v>27</v>
      </c>
      <c r="G20" s="80">
        <v>0.01</v>
      </c>
      <c r="H20" s="2">
        <v>50</v>
      </c>
      <c r="I20" s="81">
        <v>30</v>
      </c>
      <c r="J20" s="108">
        <f t="shared" si="6"/>
        <v>130</v>
      </c>
      <c r="K20" s="85">
        <f t="shared" si="7"/>
        <v>6500</v>
      </c>
      <c r="L20" s="84">
        <f t="shared" si="8"/>
        <v>6565</v>
      </c>
      <c r="M20" s="42">
        <f t="shared" si="9"/>
        <v>3282.5</v>
      </c>
      <c r="N20" t="s">
        <v>53</v>
      </c>
      <c r="R20" s="86">
        <f t="shared" si="0"/>
        <v>6600.0000000000009</v>
      </c>
    </row>
    <row r="21" spans="1:18" s="11" customFormat="1" x14ac:dyDescent="0.4">
      <c r="A21" s="10"/>
      <c r="B21" s="11" t="s">
        <v>54</v>
      </c>
      <c r="D21" s="11" t="s">
        <v>32</v>
      </c>
      <c r="E21" s="11" t="s">
        <v>37</v>
      </c>
      <c r="F21" s="11" t="s">
        <v>27</v>
      </c>
      <c r="G21" s="12">
        <v>0.01</v>
      </c>
      <c r="H21" s="13">
        <v>125</v>
      </c>
      <c r="I21" s="14">
        <v>30</v>
      </c>
      <c r="J21" s="19">
        <f>I21*52/12</f>
        <v>130</v>
      </c>
      <c r="K21" s="20">
        <f>H21*J21</f>
        <v>16250</v>
      </c>
      <c r="L21" s="17">
        <f>K21*(1+G21)</f>
        <v>16412.5</v>
      </c>
      <c r="M21" s="20">
        <f>L21/2</f>
        <v>8206.25</v>
      </c>
      <c r="O21" s="11" t="s">
        <v>21</v>
      </c>
      <c r="R21" s="18"/>
    </row>
    <row r="22" spans="1:18" s="11" customFormat="1" x14ac:dyDescent="0.4">
      <c r="A22" s="10">
        <v>13</v>
      </c>
      <c r="B22" s="11" t="s">
        <v>55</v>
      </c>
      <c r="D22" s="11" t="s">
        <v>18</v>
      </c>
      <c r="E22" s="11" t="s">
        <v>51</v>
      </c>
      <c r="F22" s="11" t="s">
        <v>41</v>
      </c>
      <c r="G22" s="12">
        <v>0.01</v>
      </c>
      <c r="H22" s="13"/>
      <c r="I22" s="14"/>
      <c r="J22" s="21"/>
      <c r="K22" s="31">
        <v>1250</v>
      </c>
      <c r="L22" s="17">
        <f>K22*(1+G22)</f>
        <v>1262.5</v>
      </c>
      <c r="M22" s="20">
        <f t="shared" si="9"/>
        <v>631.25</v>
      </c>
      <c r="N22" s="11" t="s">
        <v>56</v>
      </c>
      <c r="R22" s="18">
        <f>L22</f>
        <v>1262.5</v>
      </c>
    </row>
    <row r="23" spans="1:18" x14ac:dyDescent="0.4">
      <c r="B23" t="s">
        <v>55</v>
      </c>
      <c r="D23" t="s">
        <v>18</v>
      </c>
      <c r="E23" t="s">
        <v>49</v>
      </c>
      <c r="F23" t="s">
        <v>41</v>
      </c>
      <c r="G23" s="80">
        <v>0.01</v>
      </c>
      <c r="H23" s="2"/>
      <c r="I23" s="81"/>
      <c r="J23" s="82"/>
      <c r="K23" s="83">
        <v>1250</v>
      </c>
      <c r="L23" s="84">
        <f>K23*(1+G23)</f>
        <v>1262.5</v>
      </c>
      <c r="M23" s="85">
        <f t="shared" si="9"/>
        <v>631.25</v>
      </c>
      <c r="R23" s="86"/>
    </row>
    <row r="24" spans="1:18" x14ac:dyDescent="0.4">
      <c r="A24" s="1">
        <v>15</v>
      </c>
      <c r="B24" t="s">
        <v>57</v>
      </c>
      <c r="D24" t="s">
        <v>18</v>
      </c>
      <c r="E24" t="s">
        <v>19</v>
      </c>
      <c r="F24" t="s">
        <v>58</v>
      </c>
      <c r="G24" s="80">
        <v>0.12</v>
      </c>
      <c r="H24" s="2">
        <v>18</v>
      </c>
      <c r="I24" s="81">
        <v>40</v>
      </c>
      <c r="J24" s="108">
        <f>I24*52/12</f>
        <v>173.33333333333334</v>
      </c>
      <c r="K24" s="85">
        <f>H24*J24</f>
        <v>3120</v>
      </c>
      <c r="L24" s="84">
        <f t="shared" ref="L24:L48" si="10">K24*(1+G24)</f>
        <v>3494.4000000000005</v>
      </c>
      <c r="M24" s="42">
        <f t="shared" si="9"/>
        <v>1747.2000000000003</v>
      </c>
      <c r="N24" t="s">
        <v>59</v>
      </c>
      <c r="R24" s="86">
        <f t="shared" si="0"/>
        <v>3168.0000000000005</v>
      </c>
    </row>
    <row r="25" spans="1:18" x14ac:dyDescent="0.4">
      <c r="A25" s="1">
        <v>16</v>
      </c>
      <c r="B25" t="s">
        <v>60</v>
      </c>
      <c r="D25" t="s">
        <v>18</v>
      </c>
      <c r="E25" t="s">
        <v>37</v>
      </c>
      <c r="F25" t="s">
        <v>58</v>
      </c>
      <c r="G25" s="80">
        <v>0.12</v>
      </c>
      <c r="H25" s="2">
        <v>36.880000000000003</v>
      </c>
      <c r="I25" s="81">
        <v>40</v>
      </c>
      <c r="J25" s="108">
        <f t="shared" ref="J25:J46" si="11">I25*52/12</f>
        <v>173.33333333333334</v>
      </c>
      <c r="K25" s="85">
        <f>H25*J25</f>
        <v>6392.5333333333338</v>
      </c>
      <c r="L25" s="84">
        <f t="shared" si="10"/>
        <v>7159.6373333333349</v>
      </c>
      <c r="M25" s="42">
        <f t="shared" si="9"/>
        <v>3579.8186666666675</v>
      </c>
      <c r="N25" t="s">
        <v>61</v>
      </c>
      <c r="R25" s="86">
        <f t="shared" si="0"/>
        <v>6490.880000000001</v>
      </c>
    </row>
    <row r="26" spans="1:18" x14ac:dyDescent="0.4">
      <c r="A26" s="1">
        <v>18</v>
      </c>
      <c r="B26" t="s">
        <v>62</v>
      </c>
      <c r="D26" t="s">
        <v>18</v>
      </c>
      <c r="E26" t="s">
        <v>37</v>
      </c>
      <c r="F26" t="s">
        <v>58</v>
      </c>
      <c r="G26" s="80">
        <v>0.1</v>
      </c>
      <c r="H26" s="2">
        <v>19</v>
      </c>
      <c r="I26" s="81">
        <v>10</v>
      </c>
      <c r="J26" s="108">
        <f t="shared" si="11"/>
        <v>43.333333333333336</v>
      </c>
      <c r="K26" s="85">
        <f t="shared" ref="K26:K49" si="12">H26*J26</f>
        <v>823.33333333333337</v>
      </c>
      <c r="L26" s="84">
        <f t="shared" si="10"/>
        <v>905.66666666666674</v>
      </c>
      <c r="M26" s="42">
        <f t="shared" si="9"/>
        <v>452.83333333333337</v>
      </c>
      <c r="N26" t="s">
        <v>63</v>
      </c>
      <c r="R26" s="86">
        <f t="shared" si="0"/>
        <v>836.00000000000011</v>
      </c>
    </row>
    <row r="27" spans="1:18" x14ac:dyDescent="0.4">
      <c r="A27" s="1">
        <v>19</v>
      </c>
      <c r="B27" t="s">
        <v>64</v>
      </c>
      <c r="D27" t="s">
        <v>18</v>
      </c>
      <c r="E27" t="s">
        <v>37</v>
      </c>
      <c r="F27" t="s">
        <v>58</v>
      </c>
      <c r="G27" s="80">
        <v>0.1</v>
      </c>
      <c r="H27" s="2">
        <v>18</v>
      </c>
      <c r="I27" s="81">
        <v>16</v>
      </c>
      <c r="J27" s="108">
        <f t="shared" si="11"/>
        <v>69.333333333333329</v>
      </c>
      <c r="K27" s="85">
        <f t="shared" si="12"/>
        <v>1248</v>
      </c>
      <c r="L27" s="84">
        <f t="shared" si="10"/>
        <v>1372.8000000000002</v>
      </c>
      <c r="M27" s="42">
        <f t="shared" si="9"/>
        <v>686.40000000000009</v>
      </c>
      <c r="N27" t="s">
        <v>63</v>
      </c>
      <c r="R27" s="86">
        <f t="shared" si="0"/>
        <v>1267.2</v>
      </c>
    </row>
    <row r="28" spans="1:18" x14ac:dyDescent="0.4">
      <c r="A28" s="1">
        <v>20</v>
      </c>
      <c r="B28" t="s">
        <v>65</v>
      </c>
      <c r="D28" t="s">
        <v>18</v>
      </c>
      <c r="E28" t="s">
        <v>37</v>
      </c>
      <c r="F28" t="s">
        <v>58</v>
      </c>
      <c r="G28" s="80">
        <v>0.1</v>
      </c>
      <c r="H28" s="2">
        <v>71.62</v>
      </c>
      <c r="I28" s="81">
        <v>40</v>
      </c>
      <c r="J28" s="108">
        <f t="shared" si="11"/>
        <v>173.33333333333334</v>
      </c>
      <c r="K28" s="85">
        <f t="shared" si="12"/>
        <v>12414.133333333335</v>
      </c>
      <c r="L28" s="84">
        <f t="shared" si="10"/>
        <v>13655.546666666669</v>
      </c>
      <c r="M28" s="42">
        <f t="shared" si="9"/>
        <v>6827.7733333333344</v>
      </c>
      <c r="N28" t="s">
        <v>66</v>
      </c>
      <c r="R28" s="86">
        <f t="shared" si="0"/>
        <v>12605.120000000003</v>
      </c>
    </row>
    <row r="29" spans="1:18" x14ac:dyDescent="0.4">
      <c r="A29" s="1">
        <v>21</v>
      </c>
      <c r="B29" t="s">
        <v>67</v>
      </c>
      <c r="D29" t="s">
        <v>18</v>
      </c>
      <c r="E29" t="s">
        <v>37</v>
      </c>
      <c r="F29" t="s">
        <v>58</v>
      </c>
      <c r="G29" s="80">
        <v>0.1</v>
      </c>
      <c r="H29" s="2">
        <v>18</v>
      </c>
      <c r="I29" s="81"/>
      <c r="J29" s="108">
        <f t="shared" si="11"/>
        <v>0</v>
      </c>
      <c r="K29" s="85">
        <f t="shared" si="12"/>
        <v>0</v>
      </c>
      <c r="L29" s="84">
        <f t="shared" si="10"/>
        <v>0</v>
      </c>
      <c r="M29" s="42">
        <f t="shared" si="9"/>
        <v>0</v>
      </c>
      <c r="N29" t="s">
        <v>68</v>
      </c>
      <c r="R29" s="86">
        <f t="shared" si="0"/>
        <v>0</v>
      </c>
    </row>
    <row r="30" spans="1:18" x14ac:dyDescent="0.4">
      <c r="A30" s="1">
        <v>22</v>
      </c>
      <c r="B30" t="s">
        <v>69</v>
      </c>
      <c r="D30" t="s">
        <v>18</v>
      </c>
      <c r="E30" t="s">
        <v>19</v>
      </c>
      <c r="F30" t="s">
        <v>58</v>
      </c>
      <c r="G30" s="80">
        <v>0.12</v>
      </c>
      <c r="H30" s="2">
        <v>54.22</v>
      </c>
      <c r="I30" s="81">
        <v>40</v>
      </c>
      <c r="J30" s="108">
        <f t="shared" si="11"/>
        <v>173.33333333333334</v>
      </c>
      <c r="K30" s="85">
        <f t="shared" si="12"/>
        <v>9398.1333333333332</v>
      </c>
      <c r="L30" s="84">
        <f t="shared" si="10"/>
        <v>10525.909333333335</v>
      </c>
      <c r="M30" s="42">
        <f t="shared" si="9"/>
        <v>5262.9546666666674</v>
      </c>
      <c r="N30" t="s">
        <v>61</v>
      </c>
      <c r="R30" s="86">
        <f t="shared" si="0"/>
        <v>9542.7200000000012</v>
      </c>
    </row>
    <row r="31" spans="1:18" x14ac:dyDescent="0.4">
      <c r="A31" s="1">
        <v>23</v>
      </c>
      <c r="B31" t="s">
        <v>70</v>
      </c>
      <c r="D31" t="s">
        <v>18</v>
      </c>
      <c r="E31" t="s">
        <v>71</v>
      </c>
      <c r="F31" t="s">
        <v>58</v>
      </c>
      <c r="G31" s="80">
        <v>0.12</v>
      </c>
      <c r="H31" s="2">
        <v>38</v>
      </c>
      <c r="I31" s="81">
        <v>40</v>
      </c>
      <c r="J31" s="108">
        <f t="shared" si="11"/>
        <v>173.33333333333334</v>
      </c>
      <c r="K31" s="85">
        <f t="shared" si="12"/>
        <v>6586.666666666667</v>
      </c>
      <c r="L31" s="84">
        <f t="shared" si="10"/>
        <v>7377.0666666666675</v>
      </c>
      <c r="M31" s="42">
        <f t="shared" si="9"/>
        <v>3688.5333333333338</v>
      </c>
      <c r="N31" t="s">
        <v>72</v>
      </c>
      <c r="R31" s="86">
        <f t="shared" si="0"/>
        <v>6688.0000000000009</v>
      </c>
    </row>
    <row r="32" spans="1:18" x14ac:dyDescent="0.4">
      <c r="A32" s="1">
        <v>24</v>
      </c>
      <c r="B32" t="s">
        <v>73</v>
      </c>
      <c r="D32" t="s">
        <v>18</v>
      </c>
      <c r="E32" t="s">
        <v>74</v>
      </c>
      <c r="F32" t="s">
        <v>58</v>
      </c>
      <c r="G32" s="80">
        <v>0.12</v>
      </c>
      <c r="H32" s="2">
        <v>33</v>
      </c>
      <c r="I32" s="81">
        <v>40</v>
      </c>
      <c r="J32" s="108">
        <f t="shared" si="11"/>
        <v>173.33333333333334</v>
      </c>
      <c r="K32" s="85">
        <f t="shared" si="12"/>
        <v>5720</v>
      </c>
      <c r="L32" s="84">
        <f t="shared" si="10"/>
        <v>6406.4000000000005</v>
      </c>
      <c r="M32" s="42">
        <f t="shared" si="9"/>
        <v>3203.2000000000003</v>
      </c>
      <c r="N32" t="s">
        <v>61</v>
      </c>
      <c r="R32" s="86">
        <f t="shared" si="0"/>
        <v>5808.0000000000009</v>
      </c>
    </row>
    <row r="33" spans="1:18" x14ac:dyDescent="0.4">
      <c r="A33" s="1">
        <v>25</v>
      </c>
      <c r="B33" t="s">
        <v>75</v>
      </c>
      <c r="D33" t="s">
        <v>18</v>
      </c>
      <c r="E33" t="s">
        <v>19</v>
      </c>
      <c r="F33" t="s">
        <v>58</v>
      </c>
      <c r="G33" s="80">
        <v>0.12</v>
      </c>
      <c r="H33" s="2">
        <v>22.5</v>
      </c>
      <c r="I33" s="81">
        <v>40</v>
      </c>
      <c r="J33" s="108">
        <f t="shared" si="11"/>
        <v>173.33333333333334</v>
      </c>
      <c r="K33" s="85">
        <f t="shared" si="12"/>
        <v>3900</v>
      </c>
      <c r="L33" s="84">
        <f t="shared" si="10"/>
        <v>4368</v>
      </c>
      <c r="M33" s="42">
        <f t="shared" si="9"/>
        <v>2184</v>
      </c>
      <c r="N33" t="s">
        <v>72</v>
      </c>
      <c r="R33" s="86">
        <f t="shared" si="0"/>
        <v>3960.0000000000005</v>
      </c>
    </row>
    <row r="34" spans="1:18" x14ac:dyDescent="0.4">
      <c r="A34" s="1">
        <v>27</v>
      </c>
      <c r="B34" t="s">
        <v>76</v>
      </c>
      <c r="D34" t="s">
        <v>18</v>
      </c>
      <c r="E34" t="s">
        <v>37</v>
      </c>
      <c r="F34" t="s">
        <v>58</v>
      </c>
      <c r="G34" s="80">
        <v>0.12</v>
      </c>
      <c r="H34" s="2">
        <v>52.01</v>
      </c>
      <c r="I34" s="81">
        <v>40</v>
      </c>
      <c r="J34" s="108">
        <f t="shared" si="11"/>
        <v>173.33333333333334</v>
      </c>
      <c r="K34" s="85">
        <f t="shared" si="12"/>
        <v>9015.0666666666675</v>
      </c>
      <c r="L34" s="84">
        <f t="shared" si="10"/>
        <v>10096.874666666668</v>
      </c>
      <c r="M34" s="42">
        <f t="shared" si="9"/>
        <v>5048.4373333333342</v>
      </c>
      <c r="N34" t="s">
        <v>61</v>
      </c>
      <c r="R34" s="86">
        <f t="shared" si="0"/>
        <v>9153.760000000002</v>
      </c>
    </row>
    <row r="35" spans="1:18" x14ac:dyDescent="0.4">
      <c r="A35" s="1">
        <v>28</v>
      </c>
      <c r="B35" t="s">
        <v>77</v>
      </c>
      <c r="D35" t="s">
        <v>18</v>
      </c>
      <c r="E35" t="s">
        <v>49</v>
      </c>
      <c r="F35" t="s">
        <v>58</v>
      </c>
      <c r="G35" s="80">
        <v>0.1</v>
      </c>
      <c r="H35" s="2">
        <v>21</v>
      </c>
      <c r="I35" s="81">
        <v>40</v>
      </c>
      <c r="J35" s="108">
        <f t="shared" si="11"/>
        <v>173.33333333333334</v>
      </c>
      <c r="K35" s="85">
        <f t="shared" si="12"/>
        <v>3640</v>
      </c>
      <c r="L35" s="84">
        <f t="shared" si="10"/>
        <v>4004.0000000000005</v>
      </c>
      <c r="M35" s="42">
        <f t="shared" si="9"/>
        <v>2002.0000000000002</v>
      </c>
      <c r="N35" t="s">
        <v>78</v>
      </c>
      <c r="R35" s="86">
        <f t="shared" si="0"/>
        <v>3696.0000000000005</v>
      </c>
    </row>
    <row r="36" spans="1:18" x14ac:dyDescent="0.4">
      <c r="A36" s="1">
        <v>29</v>
      </c>
      <c r="B36" t="s">
        <v>79</v>
      </c>
      <c r="D36" t="s">
        <v>18</v>
      </c>
      <c r="E36" t="s">
        <v>49</v>
      </c>
      <c r="F36" t="s">
        <v>58</v>
      </c>
      <c r="G36" s="80">
        <v>0.12</v>
      </c>
      <c r="H36" s="2">
        <v>23</v>
      </c>
      <c r="I36" s="81">
        <v>40</v>
      </c>
      <c r="J36" s="108">
        <f t="shared" si="11"/>
        <v>173.33333333333334</v>
      </c>
      <c r="K36" s="85">
        <f t="shared" si="12"/>
        <v>3986.666666666667</v>
      </c>
      <c r="L36" s="84">
        <f t="shared" si="10"/>
        <v>4465.0666666666675</v>
      </c>
      <c r="M36" s="42">
        <f t="shared" si="9"/>
        <v>2232.5333333333338</v>
      </c>
      <c r="N36" t="s">
        <v>61</v>
      </c>
      <c r="R36" s="86">
        <f t="shared" si="0"/>
        <v>4048.0000000000005</v>
      </c>
    </row>
    <row r="37" spans="1:18" x14ac:dyDescent="0.4">
      <c r="A37" s="1">
        <v>31</v>
      </c>
      <c r="B37" t="s">
        <v>80</v>
      </c>
      <c r="D37" t="s">
        <v>18</v>
      </c>
      <c r="E37" t="s">
        <v>74</v>
      </c>
      <c r="F37" t="s">
        <v>58</v>
      </c>
      <c r="G37" s="80">
        <v>0.12</v>
      </c>
      <c r="H37" s="2">
        <v>45.67</v>
      </c>
      <c r="I37" s="81">
        <v>40</v>
      </c>
      <c r="J37" s="108">
        <f t="shared" si="11"/>
        <v>173.33333333333334</v>
      </c>
      <c r="K37" s="85">
        <f t="shared" si="12"/>
        <v>7916.1333333333341</v>
      </c>
      <c r="L37" s="84">
        <f t="shared" si="10"/>
        <v>8866.0693333333347</v>
      </c>
      <c r="M37" s="42">
        <f t="shared" si="9"/>
        <v>4433.0346666666674</v>
      </c>
      <c r="N37" t="s">
        <v>72</v>
      </c>
      <c r="R37" s="86">
        <f t="shared" si="0"/>
        <v>8037.9200000000019</v>
      </c>
    </row>
    <row r="38" spans="1:18" x14ac:dyDescent="0.4">
      <c r="B38" t="s">
        <v>81</v>
      </c>
      <c r="D38" t="s">
        <v>18</v>
      </c>
      <c r="E38" t="s">
        <v>37</v>
      </c>
      <c r="F38" t="s">
        <v>58</v>
      </c>
      <c r="G38" s="80">
        <v>0.1</v>
      </c>
      <c r="H38" s="2">
        <v>30</v>
      </c>
      <c r="I38" s="81">
        <v>40</v>
      </c>
      <c r="J38" s="108">
        <f t="shared" si="11"/>
        <v>173.33333333333334</v>
      </c>
      <c r="K38" s="85">
        <f t="shared" si="12"/>
        <v>5200</v>
      </c>
      <c r="L38" s="84">
        <f t="shared" si="10"/>
        <v>5720.0000000000009</v>
      </c>
      <c r="M38" s="42">
        <f t="shared" si="9"/>
        <v>2860.0000000000005</v>
      </c>
      <c r="N38" t="s">
        <v>82</v>
      </c>
      <c r="R38" s="86">
        <f t="shared" si="0"/>
        <v>5280</v>
      </c>
    </row>
    <row r="39" spans="1:18" x14ac:dyDescent="0.4">
      <c r="A39" s="1">
        <v>32</v>
      </c>
      <c r="B39" t="s">
        <v>83</v>
      </c>
      <c r="D39" t="s">
        <v>18</v>
      </c>
      <c r="E39" t="s">
        <v>84</v>
      </c>
      <c r="F39" t="s">
        <v>58</v>
      </c>
      <c r="G39" s="80">
        <v>0.1</v>
      </c>
      <c r="H39" s="2">
        <v>38</v>
      </c>
      <c r="I39" s="81">
        <v>25</v>
      </c>
      <c r="J39" s="108">
        <f t="shared" si="11"/>
        <v>108.33333333333333</v>
      </c>
      <c r="K39" s="85">
        <f t="shared" si="12"/>
        <v>4116.6666666666661</v>
      </c>
      <c r="L39" s="84">
        <f t="shared" si="10"/>
        <v>4528.333333333333</v>
      </c>
      <c r="M39" s="42">
        <f t="shared" si="9"/>
        <v>2264.1666666666665</v>
      </c>
      <c r="R39" s="86">
        <f t="shared" si="0"/>
        <v>4180</v>
      </c>
    </row>
    <row r="40" spans="1:18" x14ac:dyDescent="0.4">
      <c r="A40" s="1">
        <v>33</v>
      </c>
      <c r="B40" t="s">
        <v>85</v>
      </c>
      <c r="D40" t="s">
        <v>18</v>
      </c>
      <c r="E40" t="s">
        <v>84</v>
      </c>
      <c r="F40" t="s">
        <v>58</v>
      </c>
      <c r="G40" s="80">
        <v>0.1</v>
      </c>
      <c r="H40" s="2">
        <v>32.5</v>
      </c>
      <c r="I40" s="81">
        <v>25</v>
      </c>
      <c r="J40" s="108">
        <f t="shared" si="11"/>
        <v>108.33333333333333</v>
      </c>
      <c r="K40" s="85">
        <f t="shared" si="12"/>
        <v>3520.833333333333</v>
      </c>
      <c r="L40" s="84">
        <f t="shared" si="10"/>
        <v>3872.9166666666665</v>
      </c>
      <c r="M40" s="42">
        <f t="shared" si="9"/>
        <v>1936.4583333333333</v>
      </c>
      <c r="R40" s="86">
        <f t="shared" si="0"/>
        <v>3575.0000000000005</v>
      </c>
    </row>
    <row r="41" spans="1:18" x14ac:dyDescent="0.4">
      <c r="A41" s="1">
        <v>34</v>
      </c>
      <c r="B41" t="s">
        <v>86</v>
      </c>
      <c r="D41" t="s">
        <v>18</v>
      </c>
      <c r="E41" t="s">
        <v>84</v>
      </c>
      <c r="F41" t="s">
        <v>58</v>
      </c>
      <c r="G41" s="80">
        <v>0.1</v>
      </c>
      <c r="H41" s="2">
        <v>25</v>
      </c>
      <c r="I41" s="81">
        <v>10</v>
      </c>
      <c r="J41" s="108">
        <f t="shared" si="11"/>
        <v>43.333333333333336</v>
      </c>
      <c r="K41" s="85"/>
      <c r="L41" s="84"/>
      <c r="M41" s="42"/>
      <c r="N41" t="s">
        <v>87</v>
      </c>
      <c r="R41" s="86">
        <f t="shared" si="0"/>
        <v>1100</v>
      </c>
    </row>
    <row r="42" spans="1:18" s="11" customFormat="1" x14ac:dyDescent="0.4">
      <c r="A42" s="10">
        <v>35</v>
      </c>
      <c r="B42" s="11" t="s">
        <v>88</v>
      </c>
      <c r="D42" s="11" t="s">
        <v>18</v>
      </c>
      <c r="E42" s="11" t="s">
        <v>89</v>
      </c>
      <c r="F42" s="11" t="s">
        <v>58</v>
      </c>
      <c r="G42" s="12">
        <v>0.1</v>
      </c>
      <c r="H42" s="13">
        <v>35</v>
      </c>
      <c r="I42" s="14">
        <v>7</v>
      </c>
      <c r="J42" s="19">
        <f t="shared" si="11"/>
        <v>30.333333333333332</v>
      </c>
      <c r="K42" s="20">
        <f t="shared" si="12"/>
        <v>1061.6666666666665</v>
      </c>
      <c r="L42" s="17">
        <f t="shared" si="10"/>
        <v>1167.8333333333333</v>
      </c>
      <c r="M42" s="16">
        <f t="shared" si="9"/>
        <v>583.91666666666663</v>
      </c>
      <c r="R42" s="18">
        <f t="shared" si="0"/>
        <v>1078</v>
      </c>
    </row>
    <row r="43" spans="1:18" x14ac:dyDescent="0.4">
      <c r="B43" t="s">
        <v>90</v>
      </c>
      <c r="D43" t="s">
        <v>18</v>
      </c>
      <c r="E43" t="s">
        <v>37</v>
      </c>
      <c r="F43" t="s">
        <v>91</v>
      </c>
      <c r="G43" s="80">
        <v>0.01</v>
      </c>
      <c r="H43" s="2">
        <v>60</v>
      </c>
      <c r="I43" s="81"/>
      <c r="J43" s="108"/>
      <c r="K43" s="85">
        <f t="shared" si="12"/>
        <v>0</v>
      </c>
      <c r="L43" s="84">
        <f t="shared" si="10"/>
        <v>0</v>
      </c>
      <c r="M43" s="42">
        <f t="shared" si="9"/>
        <v>0</v>
      </c>
      <c r="N43" t="s">
        <v>92</v>
      </c>
      <c r="R43" s="86">
        <f t="shared" si="0"/>
        <v>0</v>
      </c>
    </row>
    <row r="44" spans="1:18" s="11" customFormat="1" x14ac:dyDescent="0.4">
      <c r="A44" s="10">
        <v>36</v>
      </c>
      <c r="B44" s="11" t="s">
        <v>93</v>
      </c>
      <c r="D44" s="11" t="s">
        <v>18</v>
      </c>
      <c r="E44" s="11" t="s">
        <v>89</v>
      </c>
      <c r="F44" s="11" t="s">
        <v>58</v>
      </c>
      <c r="G44" s="12">
        <v>0.1</v>
      </c>
      <c r="H44" s="13">
        <v>35</v>
      </c>
      <c r="I44" s="14">
        <v>20</v>
      </c>
      <c r="J44" s="19">
        <f t="shared" si="11"/>
        <v>86.666666666666671</v>
      </c>
      <c r="K44" s="20">
        <f t="shared" si="12"/>
        <v>3033.3333333333335</v>
      </c>
      <c r="L44" s="17">
        <f t="shared" si="10"/>
        <v>3336.666666666667</v>
      </c>
      <c r="M44" s="16">
        <f t="shared" si="9"/>
        <v>1668.3333333333335</v>
      </c>
      <c r="R44" s="18">
        <f t="shared" si="0"/>
        <v>3080.0000000000005</v>
      </c>
    </row>
    <row r="45" spans="1:18" x14ac:dyDescent="0.4">
      <c r="A45" s="1">
        <v>37</v>
      </c>
      <c r="B45" t="s">
        <v>94</v>
      </c>
      <c r="D45" t="s">
        <v>18</v>
      </c>
      <c r="E45" t="s">
        <v>19</v>
      </c>
      <c r="F45" t="s">
        <v>58</v>
      </c>
      <c r="G45" s="80">
        <v>0.1</v>
      </c>
      <c r="H45" s="2">
        <v>18</v>
      </c>
      <c r="I45" s="81">
        <v>12.5</v>
      </c>
      <c r="J45" s="108">
        <f t="shared" si="11"/>
        <v>54.166666666666664</v>
      </c>
      <c r="K45" s="85">
        <f t="shared" si="12"/>
        <v>975</v>
      </c>
      <c r="L45" s="84">
        <f t="shared" si="10"/>
        <v>1072.5</v>
      </c>
      <c r="M45" s="42">
        <f t="shared" si="9"/>
        <v>536.25</v>
      </c>
      <c r="R45" s="86">
        <f t="shared" si="0"/>
        <v>990.00000000000011</v>
      </c>
    </row>
    <row r="46" spans="1:18" x14ac:dyDescent="0.4">
      <c r="A46" s="1">
        <v>38</v>
      </c>
      <c r="B46" t="s">
        <v>95</v>
      </c>
      <c r="D46" t="s">
        <v>18</v>
      </c>
      <c r="E46" t="s">
        <v>19</v>
      </c>
      <c r="F46" t="s">
        <v>58</v>
      </c>
      <c r="G46" s="80">
        <v>0.1</v>
      </c>
      <c r="H46" s="2">
        <v>18</v>
      </c>
      <c r="I46" s="81">
        <v>20</v>
      </c>
      <c r="J46" s="108">
        <f t="shared" si="11"/>
        <v>86.666666666666671</v>
      </c>
      <c r="K46" s="85">
        <f t="shared" si="12"/>
        <v>1560</v>
      </c>
      <c r="L46" s="84">
        <f t="shared" si="10"/>
        <v>1716.0000000000002</v>
      </c>
      <c r="M46" s="42">
        <f t="shared" si="9"/>
        <v>858.00000000000011</v>
      </c>
      <c r="R46" s="86">
        <f t="shared" si="0"/>
        <v>1584.0000000000002</v>
      </c>
    </row>
    <row r="47" spans="1:18" x14ac:dyDescent="0.4">
      <c r="B47" t="s">
        <v>96</v>
      </c>
      <c r="D47" t="s">
        <v>18</v>
      </c>
      <c r="E47" t="s">
        <v>32</v>
      </c>
      <c r="F47" t="s">
        <v>27</v>
      </c>
      <c r="G47" s="80">
        <v>0.1</v>
      </c>
      <c r="H47" s="2">
        <v>75</v>
      </c>
      <c r="I47" s="81"/>
      <c r="J47" s="108"/>
      <c r="K47" s="85">
        <f t="shared" si="12"/>
        <v>0</v>
      </c>
      <c r="L47" s="84">
        <f t="shared" si="10"/>
        <v>0</v>
      </c>
      <c r="M47" s="42">
        <f t="shared" si="9"/>
        <v>0</v>
      </c>
      <c r="N47" t="s">
        <v>97</v>
      </c>
      <c r="R47" s="86"/>
    </row>
    <row r="48" spans="1:18" x14ac:dyDescent="0.4">
      <c r="B48" t="s">
        <v>98</v>
      </c>
      <c r="D48" t="s">
        <v>18</v>
      </c>
      <c r="E48" t="s">
        <v>37</v>
      </c>
      <c r="F48" t="s">
        <v>41</v>
      </c>
      <c r="G48" s="80">
        <v>0.1</v>
      </c>
      <c r="H48" s="2">
        <v>16</v>
      </c>
      <c r="I48" s="81">
        <v>40</v>
      </c>
      <c r="J48" s="108">
        <v>80</v>
      </c>
      <c r="K48" s="85">
        <f t="shared" si="12"/>
        <v>1280</v>
      </c>
      <c r="L48" s="84">
        <f t="shared" si="10"/>
        <v>1408</v>
      </c>
      <c r="M48" s="42">
        <f t="shared" si="9"/>
        <v>704</v>
      </c>
      <c r="N48" t="s">
        <v>99</v>
      </c>
      <c r="R48" s="86"/>
    </row>
    <row r="49" spans="1:18" x14ac:dyDescent="0.4">
      <c r="B49" t="s">
        <v>100</v>
      </c>
      <c r="D49" t="s">
        <v>18</v>
      </c>
      <c r="E49" t="s">
        <v>49</v>
      </c>
      <c r="F49" t="s">
        <v>27</v>
      </c>
      <c r="G49" s="80">
        <v>0.1</v>
      </c>
      <c r="H49" s="2">
        <v>40</v>
      </c>
      <c r="I49" s="81">
        <v>10</v>
      </c>
      <c r="J49" s="108">
        <v>40</v>
      </c>
      <c r="K49" s="85">
        <f t="shared" si="12"/>
        <v>1600</v>
      </c>
      <c r="L49" s="84">
        <f>K49</f>
        <v>1600</v>
      </c>
      <c r="M49" s="42">
        <f t="shared" si="9"/>
        <v>800</v>
      </c>
      <c r="N49" t="s">
        <v>101</v>
      </c>
      <c r="R49" s="86"/>
    </row>
    <row r="50" spans="1:18" x14ac:dyDescent="0.4">
      <c r="B50" t="s">
        <v>102</v>
      </c>
      <c r="D50" t="s">
        <v>18</v>
      </c>
      <c r="E50" t="s">
        <v>49</v>
      </c>
      <c r="F50" t="s">
        <v>58</v>
      </c>
      <c r="G50" s="39">
        <v>0.12</v>
      </c>
      <c r="H50" s="2">
        <v>26</v>
      </c>
      <c r="I50" s="116">
        <v>40</v>
      </c>
      <c r="J50" s="108">
        <f>I50*52/12</f>
        <v>173.33333333333334</v>
      </c>
      <c r="K50" s="85">
        <f>H50*J50</f>
        <v>4506.666666666667</v>
      </c>
      <c r="L50" s="84">
        <f>K50*(1+G50)</f>
        <v>5047.4666666666672</v>
      </c>
      <c r="M50" s="42">
        <f>L50/2</f>
        <v>2523.7333333333336</v>
      </c>
    </row>
    <row r="51" spans="1:18" x14ac:dyDescent="0.4">
      <c r="B51" t="s">
        <v>103</v>
      </c>
      <c r="D51" t="s">
        <v>104</v>
      </c>
      <c r="E51" t="s">
        <v>19</v>
      </c>
      <c r="F51" t="s">
        <v>105</v>
      </c>
      <c r="G51" s="1" t="s">
        <v>106</v>
      </c>
      <c r="L51" s="87">
        <v>1350</v>
      </c>
      <c r="M51" s="42">
        <f t="shared" si="9"/>
        <v>675</v>
      </c>
      <c r="N51" t="s">
        <v>107</v>
      </c>
    </row>
    <row r="52" spans="1:18" s="128" customFormat="1" x14ac:dyDescent="0.4">
      <c r="A52" s="127"/>
      <c r="B52" s="128" t="s">
        <v>108</v>
      </c>
      <c r="D52" s="128" t="s">
        <v>104</v>
      </c>
      <c r="E52" s="128" t="s">
        <v>19</v>
      </c>
      <c r="F52" s="128" t="s">
        <v>105</v>
      </c>
      <c r="G52" s="127" t="s">
        <v>106</v>
      </c>
      <c r="L52" s="129">
        <v>6078</v>
      </c>
      <c r="M52" s="130">
        <f t="shared" si="9"/>
        <v>3039</v>
      </c>
      <c r="N52" s="128" t="s">
        <v>109</v>
      </c>
      <c r="O52" s="131"/>
    </row>
    <row r="53" spans="1:18" x14ac:dyDescent="0.4">
      <c r="B53" t="s">
        <v>110</v>
      </c>
      <c r="D53" t="s">
        <v>104</v>
      </c>
      <c r="E53" t="s">
        <v>111</v>
      </c>
      <c r="F53" t="s">
        <v>112</v>
      </c>
      <c r="G53" s="1" t="s">
        <v>106</v>
      </c>
      <c r="L53" s="87">
        <v>2200</v>
      </c>
      <c r="M53" s="42">
        <f t="shared" si="9"/>
        <v>1100</v>
      </c>
      <c r="N53" t="s">
        <v>113</v>
      </c>
    </row>
    <row r="54" spans="1:18" s="128" customFormat="1" x14ac:dyDescent="0.4">
      <c r="A54" s="127"/>
      <c r="B54" s="128" t="s">
        <v>114</v>
      </c>
      <c r="D54" s="128" t="s">
        <v>104</v>
      </c>
      <c r="E54" s="128" t="s">
        <v>111</v>
      </c>
      <c r="F54" s="128" t="s">
        <v>112</v>
      </c>
      <c r="G54" s="127" t="s">
        <v>106</v>
      </c>
      <c r="L54" s="129">
        <v>11996</v>
      </c>
      <c r="M54" s="130">
        <f t="shared" si="9"/>
        <v>5998</v>
      </c>
      <c r="N54" s="128" t="s">
        <v>115</v>
      </c>
      <c r="O54" s="131"/>
    </row>
    <row r="55" spans="1:18" x14ac:dyDescent="0.4">
      <c r="B55" t="s">
        <v>116</v>
      </c>
      <c r="D55" t="s">
        <v>104</v>
      </c>
      <c r="E55" t="s">
        <v>111</v>
      </c>
      <c r="F55" t="s">
        <v>112</v>
      </c>
      <c r="G55" s="1" t="s">
        <v>106</v>
      </c>
      <c r="L55" s="87">
        <v>-1156.57</v>
      </c>
      <c r="M55" s="42">
        <f t="shared" si="9"/>
        <v>-578.28499999999997</v>
      </c>
      <c r="N55" t="s">
        <v>117</v>
      </c>
    </row>
    <row r="56" spans="1:18" x14ac:dyDescent="0.4">
      <c r="B56" t="s">
        <v>118</v>
      </c>
      <c r="D56" t="s">
        <v>104</v>
      </c>
      <c r="E56" t="s">
        <v>111</v>
      </c>
      <c r="F56" t="s">
        <v>119</v>
      </c>
      <c r="G56" s="1" t="s">
        <v>106</v>
      </c>
      <c r="L56" s="87">
        <v>1039</v>
      </c>
      <c r="M56" s="42">
        <f t="shared" si="9"/>
        <v>519.5</v>
      </c>
      <c r="N56" t="s">
        <v>120</v>
      </c>
      <c r="O56" s="121">
        <v>45607</v>
      </c>
    </row>
    <row r="57" spans="1:18" x14ac:dyDescent="0.4">
      <c r="B57" t="s">
        <v>121</v>
      </c>
      <c r="D57" t="s">
        <v>104</v>
      </c>
      <c r="E57" t="s">
        <v>111</v>
      </c>
      <c r="F57" t="s">
        <v>105</v>
      </c>
      <c r="G57" s="1" t="s">
        <v>106</v>
      </c>
      <c r="L57" s="87">
        <v>2200</v>
      </c>
      <c r="M57" s="42">
        <f t="shared" si="9"/>
        <v>1100</v>
      </c>
      <c r="N57" t="s">
        <v>122</v>
      </c>
    </row>
    <row r="58" spans="1:18" x14ac:dyDescent="0.4">
      <c r="B58" t="s">
        <v>123</v>
      </c>
      <c r="D58" t="s">
        <v>104</v>
      </c>
      <c r="E58" t="s">
        <v>19</v>
      </c>
      <c r="F58" t="s">
        <v>105</v>
      </c>
      <c r="G58" s="1" t="s">
        <v>106</v>
      </c>
      <c r="L58" s="87">
        <v>3087</v>
      </c>
      <c r="M58" s="42">
        <f>L58/2</f>
        <v>1543.5</v>
      </c>
    </row>
    <row r="59" spans="1:18" x14ac:dyDescent="0.4">
      <c r="B59" t="s">
        <v>124</v>
      </c>
      <c r="D59" t="s">
        <v>104</v>
      </c>
      <c r="E59" t="s">
        <v>19</v>
      </c>
      <c r="F59" t="s">
        <v>105</v>
      </c>
      <c r="G59" s="1" t="s">
        <v>106</v>
      </c>
      <c r="L59" s="87">
        <v>1265</v>
      </c>
      <c r="M59" s="42">
        <f>L59/2</f>
        <v>632.5</v>
      </c>
    </row>
    <row r="60" spans="1:18" x14ac:dyDescent="0.4">
      <c r="B60" t="s">
        <v>125</v>
      </c>
      <c r="D60" t="s">
        <v>104</v>
      </c>
      <c r="E60" t="s">
        <v>84</v>
      </c>
      <c r="F60" t="s">
        <v>105</v>
      </c>
      <c r="G60" s="1" t="s">
        <v>106</v>
      </c>
      <c r="L60" s="87">
        <v>27</v>
      </c>
      <c r="M60" s="42">
        <f>L60/2</f>
        <v>13.5</v>
      </c>
    </row>
    <row r="61" spans="1:18" x14ac:dyDescent="0.4">
      <c r="B61" t="s">
        <v>126</v>
      </c>
      <c r="D61" t="s">
        <v>104</v>
      </c>
      <c r="E61" t="s">
        <v>84</v>
      </c>
      <c r="F61" t="s">
        <v>105</v>
      </c>
      <c r="G61" s="1" t="s">
        <v>106</v>
      </c>
      <c r="L61" s="87">
        <v>99</v>
      </c>
      <c r="M61" s="42">
        <f>L61/2</f>
        <v>49.5</v>
      </c>
    </row>
    <row r="62" spans="1:18" x14ac:dyDescent="0.4">
      <c r="B62" t="s">
        <v>127</v>
      </c>
      <c r="D62" t="s">
        <v>104</v>
      </c>
      <c r="E62" t="s">
        <v>49</v>
      </c>
      <c r="F62" t="s">
        <v>105</v>
      </c>
      <c r="G62" s="1" t="s">
        <v>106</v>
      </c>
      <c r="L62" s="87">
        <v>650</v>
      </c>
      <c r="M62" s="42">
        <f>L62/2</f>
        <v>325</v>
      </c>
    </row>
    <row r="63" spans="1:18" x14ac:dyDescent="0.4">
      <c r="B63" t="s">
        <v>128</v>
      </c>
      <c r="D63" t="s">
        <v>104</v>
      </c>
      <c r="E63" t="s">
        <v>111</v>
      </c>
      <c r="F63" t="s">
        <v>105</v>
      </c>
      <c r="G63" s="1" t="s">
        <v>106</v>
      </c>
      <c r="L63" s="87">
        <v>225</v>
      </c>
      <c r="M63" s="42">
        <f t="shared" si="9"/>
        <v>112.5</v>
      </c>
      <c r="N63" t="s">
        <v>129</v>
      </c>
    </row>
    <row r="64" spans="1:18" x14ac:dyDescent="0.4">
      <c r="B64" t="s">
        <v>130</v>
      </c>
      <c r="D64" t="s">
        <v>104</v>
      </c>
      <c r="E64" t="s">
        <v>19</v>
      </c>
      <c r="F64" t="s">
        <v>105</v>
      </c>
      <c r="G64" s="1" t="s">
        <v>106</v>
      </c>
      <c r="L64" s="87">
        <v>150</v>
      </c>
      <c r="M64" s="42">
        <f t="shared" si="9"/>
        <v>75</v>
      </c>
      <c r="N64" t="s">
        <v>129</v>
      </c>
    </row>
    <row r="65" spans="1:15" s="128" customFormat="1" x14ac:dyDescent="0.4">
      <c r="A65" s="127"/>
      <c r="B65" s="128" t="s">
        <v>131</v>
      </c>
      <c r="D65" s="128" t="s">
        <v>32</v>
      </c>
      <c r="E65" s="128" t="s">
        <v>132</v>
      </c>
      <c r="F65" s="128" t="s">
        <v>105</v>
      </c>
      <c r="G65" s="127" t="s">
        <v>106</v>
      </c>
      <c r="L65" s="129">
        <v>45.08</v>
      </c>
      <c r="M65" s="130">
        <f t="shared" si="9"/>
        <v>22.54</v>
      </c>
      <c r="N65" s="128" t="s">
        <v>133</v>
      </c>
    </row>
    <row r="66" spans="1:15" s="24" customFormat="1" x14ac:dyDescent="0.4">
      <c r="A66" s="23"/>
      <c r="B66" s="24" t="s">
        <v>134</v>
      </c>
      <c r="D66" s="24" t="s">
        <v>32</v>
      </c>
      <c r="E66" s="24" t="s">
        <v>132</v>
      </c>
      <c r="F66" s="24" t="s">
        <v>105</v>
      </c>
      <c r="G66" s="23" t="s">
        <v>106</v>
      </c>
      <c r="L66" s="25">
        <v>9500</v>
      </c>
      <c r="M66" s="26">
        <f t="shared" si="9"/>
        <v>4750</v>
      </c>
      <c r="N66" s="24" t="s">
        <v>135</v>
      </c>
    </row>
    <row r="67" spans="1:15" s="24" customFormat="1" x14ac:dyDescent="0.4">
      <c r="A67" s="23"/>
      <c r="B67" s="24" t="s">
        <v>136</v>
      </c>
      <c r="D67" s="24" t="s">
        <v>32</v>
      </c>
      <c r="E67" s="24" t="s">
        <v>132</v>
      </c>
      <c r="F67" s="24" t="s">
        <v>112</v>
      </c>
      <c r="G67" s="23" t="s">
        <v>106</v>
      </c>
      <c r="L67" s="25">
        <v>18166</v>
      </c>
      <c r="M67" s="26">
        <f t="shared" si="9"/>
        <v>9083</v>
      </c>
      <c r="N67" s="24" t="s">
        <v>137</v>
      </c>
    </row>
    <row r="68" spans="1:15" s="24" customFormat="1" x14ac:dyDescent="0.4">
      <c r="A68" s="23"/>
      <c r="B68" s="24" t="s">
        <v>138</v>
      </c>
      <c r="D68" s="24" t="s">
        <v>32</v>
      </c>
      <c r="E68" s="24" t="s">
        <v>132</v>
      </c>
      <c r="F68" s="24" t="s">
        <v>91</v>
      </c>
      <c r="G68" s="23" t="s">
        <v>106</v>
      </c>
      <c r="L68" s="25">
        <v>80</v>
      </c>
      <c r="M68" s="26">
        <f t="shared" si="9"/>
        <v>40</v>
      </c>
      <c r="N68" s="24" t="s">
        <v>139</v>
      </c>
    </row>
    <row r="69" spans="1:15" s="24" customFormat="1" x14ac:dyDescent="0.4">
      <c r="A69" s="23"/>
      <c r="B69" s="24" t="s">
        <v>138</v>
      </c>
      <c r="D69" s="24" t="s">
        <v>32</v>
      </c>
      <c r="E69" s="24" t="s">
        <v>132</v>
      </c>
      <c r="F69" s="24" t="s">
        <v>91</v>
      </c>
      <c r="G69" s="23" t="s">
        <v>106</v>
      </c>
      <c r="L69" s="25">
        <v>632.44000000000005</v>
      </c>
      <c r="M69" s="27">
        <f t="shared" si="9"/>
        <v>316.22000000000003</v>
      </c>
      <c r="N69" s="24" t="s">
        <v>139</v>
      </c>
    </row>
    <row r="70" spans="1:15" x14ac:dyDescent="0.4">
      <c r="B70" t="s">
        <v>140</v>
      </c>
      <c r="D70" t="s">
        <v>104</v>
      </c>
      <c r="E70" t="s">
        <v>111</v>
      </c>
      <c r="F70" t="s">
        <v>141</v>
      </c>
      <c r="G70" s="1" t="s">
        <v>106</v>
      </c>
      <c r="L70" s="87">
        <v>412</v>
      </c>
      <c r="M70" s="9">
        <f t="shared" si="9"/>
        <v>206</v>
      </c>
      <c r="N70" t="s">
        <v>142</v>
      </c>
    </row>
    <row r="71" spans="1:15" x14ac:dyDescent="0.4">
      <c r="B71" t="s">
        <v>143</v>
      </c>
      <c r="D71" t="s">
        <v>32</v>
      </c>
      <c r="E71" t="s">
        <v>132</v>
      </c>
      <c r="F71" t="s">
        <v>105</v>
      </c>
      <c r="G71" s="1" t="s">
        <v>106</v>
      </c>
      <c r="L71" s="87"/>
      <c r="M71" s="9">
        <f t="shared" si="9"/>
        <v>0</v>
      </c>
      <c r="N71" t="s">
        <v>144</v>
      </c>
      <c r="O71"/>
    </row>
    <row r="72" spans="1:15" x14ac:dyDescent="0.4">
      <c r="B72" t="s">
        <v>145</v>
      </c>
      <c r="D72" t="s">
        <v>104</v>
      </c>
      <c r="E72" t="s">
        <v>111</v>
      </c>
      <c r="F72" t="s">
        <v>91</v>
      </c>
      <c r="G72" s="1" t="s">
        <v>106</v>
      </c>
      <c r="L72" s="87">
        <v>950</v>
      </c>
      <c r="M72" s="9">
        <f t="shared" si="9"/>
        <v>475</v>
      </c>
      <c r="N72" t="s">
        <v>146</v>
      </c>
    </row>
    <row r="73" spans="1:15" s="128" customFormat="1" x14ac:dyDescent="0.4">
      <c r="A73" s="127"/>
      <c r="B73" s="128" t="s">
        <v>147</v>
      </c>
      <c r="D73" s="128" t="s">
        <v>104</v>
      </c>
      <c r="E73" s="128" t="s">
        <v>111</v>
      </c>
      <c r="F73" s="128" t="s">
        <v>91</v>
      </c>
      <c r="G73" s="127" t="s">
        <v>106</v>
      </c>
      <c r="L73" s="129">
        <v>150</v>
      </c>
      <c r="M73" s="136">
        <f t="shared" si="9"/>
        <v>75</v>
      </c>
      <c r="N73" s="128" t="s">
        <v>148</v>
      </c>
      <c r="O73" s="131"/>
    </row>
    <row r="74" spans="1:15" x14ac:dyDescent="0.4">
      <c r="B74" t="s">
        <v>149</v>
      </c>
      <c r="D74" t="s">
        <v>104</v>
      </c>
      <c r="E74" t="s">
        <v>111</v>
      </c>
      <c r="F74" t="s">
        <v>91</v>
      </c>
      <c r="G74" s="1" t="s">
        <v>106</v>
      </c>
      <c r="L74" s="87">
        <v>731</v>
      </c>
      <c r="M74" s="9">
        <f t="shared" si="9"/>
        <v>365.5</v>
      </c>
      <c r="N74" t="s">
        <v>150</v>
      </c>
    </row>
    <row r="75" spans="1:15" s="128" customFormat="1" x14ac:dyDescent="0.4">
      <c r="A75" s="127"/>
      <c r="B75" s="128" t="s">
        <v>151</v>
      </c>
      <c r="D75" s="128" t="s">
        <v>104</v>
      </c>
      <c r="E75" s="128" t="s">
        <v>111</v>
      </c>
      <c r="F75" s="128" t="s">
        <v>91</v>
      </c>
      <c r="G75" s="127" t="s">
        <v>106</v>
      </c>
      <c r="L75" s="129">
        <v>1000</v>
      </c>
      <c r="M75" s="136">
        <f t="shared" si="9"/>
        <v>500</v>
      </c>
      <c r="N75" s="128" t="s">
        <v>152</v>
      </c>
      <c r="O75" s="131"/>
    </row>
    <row r="76" spans="1:15" s="128" customFormat="1" x14ac:dyDescent="0.4">
      <c r="A76" s="127"/>
      <c r="B76" s="128" t="s">
        <v>153</v>
      </c>
      <c r="D76" s="128" t="s">
        <v>104</v>
      </c>
      <c r="E76" s="128" t="s">
        <v>111</v>
      </c>
      <c r="F76" s="128" t="s">
        <v>91</v>
      </c>
      <c r="G76" s="127" t="s">
        <v>106</v>
      </c>
      <c r="L76" s="129">
        <v>850</v>
      </c>
      <c r="M76" s="136">
        <f t="shared" si="9"/>
        <v>425</v>
      </c>
      <c r="O76" s="131"/>
    </row>
    <row r="77" spans="1:15" x14ac:dyDescent="0.4">
      <c r="B77" t="s">
        <v>154</v>
      </c>
      <c r="D77" t="s">
        <v>104</v>
      </c>
      <c r="E77" t="s">
        <v>155</v>
      </c>
      <c r="F77" t="s">
        <v>105</v>
      </c>
      <c r="G77" s="1" t="s">
        <v>106</v>
      </c>
      <c r="L77" s="87">
        <v>100</v>
      </c>
      <c r="M77" s="9">
        <f t="shared" si="9"/>
        <v>50</v>
      </c>
      <c r="N77" t="s">
        <v>156</v>
      </c>
    </row>
    <row r="78" spans="1:15" x14ac:dyDescent="0.4">
      <c r="B78" t="s">
        <v>157</v>
      </c>
      <c r="D78" t="s">
        <v>104</v>
      </c>
      <c r="E78" t="s">
        <v>19</v>
      </c>
      <c r="F78" t="s">
        <v>105</v>
      </c>
      <c r="G78" s="1" t="s">
        <v>106</v>
      </c>
      <c r="L78" s="87">
        <v>688.88</v>
      </c>
      <c r="M78" s="9">
        <f t="shared" si="9"/>
        <v>344.44</v>
      </c>
    </row>
    <row r="79" spans="1:15" s="128" customFormat="1" x14ac:dyDescent="0.4">
      <c r="A79" s="127"/>
      <c r="B79" s="128" t="s">
        <v>158</v>
      </c>
      <c r="D79" s="128" t="s">
        <v>32</v>
      </c>
      <c r="E79" s="128" t="s">
        <v>19</v>
      </c>
      <c r="F79" s="128" t="s">
        <v>105</v>
      </c>
      <c r="G79" s="127" t="s">
        <v>106</v>
      </c>
      <c r="L79" s="129">
        <v>867</v>
      </c>
      <c r="M79" s="136">
        <f t="shared" si="9"/>
        <v>433.5</v>
      </c>
    </row>
    <row r="80" spans="1:15" x14ac:dyDescent="0.4">
      <c r="B80" t="s">
        <v>159</v>
      </c>
      <c r="D80" t="s">
        <v>104</v>
      </c>
      <c r="E80" t="s">
        <v>49</v>
      </c>
      <c r="F80" t="s">
        <v>105</v>
      </c>
      <c r="G80" s="1" t="s">
        <v>106</v>
      </c>
      <c r="L80" s="87"/>
      <c r="M80" s="9"/>
      <c r="N80" t="s">
        <v>160</v>
      </c>
    </row>
    <row r="81" spans="1:15" x14ac:dyDescent="0.4">
      <c r="B81" t="s">
        <v>161</v>
      </c>
      <c r="D81" t="s">
        <v>104</v>
      </c>
      <c r="E81" t="s">
        <v>49</v>
      </c>
      <c r="F81" t="s">
        <v>105</v>
      </c>
      <c r="G81" s="1" t="s">
        <v>106</v>
      </c>
      <c r="L81" s="87">
        <v>149</v>
      </c>
      <c r="M81" s="9">
        <f t="shared" si="9"/>
        <v>74.5</v>
      </c>
    </row>
    <row r="82" spans="1:15" s="128" customFormat="1" x14ac:dyDescent="0.4">
      <c r="A82" s="127"/>
      <c r="B82" s="128" t="s">
        <v>162</v>
      </c>
      <c r="D82" s="128" t="s">
        <v>104</v>
      </c>
      <c r="E82" s="128" t="s">
        <v>19</v>
      </c>
      <c r="F82" s="128" t="s">
        <v>105</v>
      </c>
      <c r="G82" s="127" t="s">
        <v>106</v>
      </c>
      <c r="L82" s="129">
        <v>499</v>
      </c>
      <c r="M82" s="136">
        <f t="shared" si="9"/>
        <v>249.5</v>
      </c>
      <c r="N82" s="128" t="s">
        <v>163</v>
      </c>
      <c r="O82" s="131"/>
    </row>
    <row r="83" spans="1:15" x14ac:dyDescent="0.4">
      <c r="B83" t="s">
        <v>164</v>
      </c>
      <c r="D83" t="s">
        <v>104</v>
      </c>
      <c r="E83" t="s">
        <v>111</v>
      </c>
      <c r="F83" t="s">
        <v>105</v>
      </c>
      <c r="G83" s="1" t="s">
        <v>106</v>
      </c>
      <c r="L83" s="87">
        <v>199</v>
      </c>
      <c r="M83" s="9">
        <f t="shared" si="9"/>
        <v>99.5</v>
      </c>
    </row>
    <row r="84" spans="1:15" x14ac:dyDescent="0.4">
      <c r="B84" t="s">
        <v>165</v>
      </c>
      <c r="D84" t="s">
        <v>104</v>
      </c>
      <c r="E84" t="s">
        <v>49</v>
      </c>
      <c r="F84" t="s">
        <v>105</v>
      </c>
      <c r="G84" s="1" t="s">
        <v>106</v>
      </c>
      <c r="L84" s="87">
        <v>75</v>
      </c>
      <c r="M84" s="9">
        <f t="shared" si="9"/>
        <v>37.5</v>
      </c>
    </row>
    <row r="85" spans="1:15" x14ac:dyDescent="0.4">
      <c r="B85" t="s">
        <v>166</v>
      </c>
      <c r="D85" t="s">
        <v>104</v>
      </c>
      <c r="E85" t="s">
        <v>49</v>
      </c>
      <c r="F85" t="s">
        <v>105</v>
      </c>
      <c r="G85" s="1" t="s">
        <v>106</v>
      </c>
      <c r="L85" s="87">
        <v>639.96</v>
      </c>
      <c r="M85" s="9">
        <f t="shared" si="9"/>
        <v>319.98</v>
      </c>
    </row>
    <row r="86" spans="1:15" x14ac:dyDescent="0.4">
      <c r="B86" t="s">
        <v>167</v>
      </c>
      <c r="D86" t="s">
        <v>104</v>
      </c>
      <c r="E86" t="s">
        <v>19</v>
      </c>
      <c r="F86" t="s">
        <v>105</v>
      </c>
      <c r="G86" s="1" t="s">
        <v>106</v>
      </c>
      <c r="L86" s="87">
        <v>337</v>
      </c>
      <c r="M86" s="9">
        <f t="shared" si="9"/>
        <v>168.5</v>
      </c>
    </row>
    <row r="87" spans="1:15" x14ac:dyDescent="0.4">
      <c r="B87" t="s">
        <v>168</v>
      </c>
      <c r="D87" t="s">
        <v>104</v>
      </c>
      <c r="E87" t="s">
        <v>49</v>
      </c>
      <c r="F87" t="s">
        <v>105</v>
      </c>
      <c r="G87" s="1" t="s">
        <v>106</v>
      </c>
      <c r="L87" s="87">
        <v>1581</v>
      </c>
      <c r="M87" s="9">
        <f t="shared" si="9"/>
        <v>790.5</v>
      </c>
    </row>
    <row r="88" spans="1:15" x14ac:dyDescent="0.4">
      <c r="B88" t="s">
        <v>169</v>
      </c>
      <c r="D88" t="s">
        <v>104</v>
      </c>
      <c r="E88" t="s">
        <v>49</v>
      </c>
      <c r="F88" t="s">
        <v>105</v>
      </c>
      <c r="G88" s="1" t="s">
        <v>106</v>
      </c>
      <c r="L88" s="87">
        <v>25</v>
      </c>
      <c r="M88" s="9">
        <f t="shared" ref="M88:M93" si="13">L88/2</f>
        <v>12.5</v>
      </c>
    </row>
    <row r="89" spans="1:15" x14ac:dyDescent="0.4">
      <c r="B89" t="s">
        <v>170</v>
      </c>
      <c r="D89" t="s">
        <v>104</v>
      </c>
      <c r="E89" t="s">
        <v>49</v>
      </c>
      <c r="F89" t="s">
        <v>105</v>
      </c>
      <c r="G89" s="1" t="s">
        <v>106</v>
      </c>
      <c r="L89" s="87">
        <v>39.5</v>
      </c>
      <c r="M89" s="9">
        <f t="shared" si="13"/>
        <v>19.75</v>
      </c>
    </row>
    <row r="90" spans="1:15" x14ac:dyDescent="0.4">
      <c r="B90" t="s">
        <v>171</v>
      </c>
      <c r="D90" t="s">
        <v>104</v>
      </c>
      <c r="E90" t="s">
        <v>49</v>
      </c>
      <c r="F90" t="s">
        <v>105</v>
      </c>
      <c r="G90" s="1" t="s">
        <v>106</v>
      </c>
      <c r="L90" s="87">
        <v>15</v>
      </c>
      <c r="M90" s="9">
        <f t="shared" si="13"/>
        <v>7.5</v>
      </c>
    </row>
    <row r="91" spans="1:15" x14ac:dyDescent="0.4">
      <c r="B91" t="s">
        <v>172</v>
      </c>
      <c r="D91" t="s">
        <v>104</v>
      </c>
      <c r="E91" t="s">
        <v>49</v>
      </c>
      <c r="F91" t="s">
        <v>105</v>
      </c>
      <c r="G91" s="1" t="s">
        <v>106</v>
      </c>
      <c r="L91" s="87">
        <v>527</v>
      </c>
      <c r="M91" s="9">
        <f t="shared" si="13"/>
        <v>263.5</v>
      </c>
      <c r="N91" t="s">
        <v>173</v>
      </c>
    </row>
    <row r="92" spans="1:15" x14ac:dyDescent="0.4">
      <c r="B92" t="s">
        <v>174</v>
      </c>
      <c r="D92" t="s">
        <v>104</v>
      </c>
      <c r="E92" t="s">
        <v>111</v>
      </c>
      <c r="F92" t="s">
        <v>27</v>
      </c>
      <c r="G92" s="1" t="s">
        <v>106</v>
      </c>
      <c r="L92" s="87">
        <v>77</v>
      </c>
      <c r="M92" s="9">
        <f t="shared" si="13"/>
        <v>38.5</v>
      </c>
      <c r="N92" t="s">
        <v>175</v>
      </c>
    </row>
    <row r="93" spans="1:15" s="118" customFormat="1" x14ac:dyDescent="0.4">
      <c r="A93" s="117"/>
      <c r="B93" s="118" t="s">
        <v>176</v>
      </c>
      <c r="D93" s="118" t="s">
        <v>104</v>
      </c>
      <c r="E93" s="118" t="s">
        <v>111</v>
      </c>
      <c r="F93" s="118" t="s">
        <v>27</v>
      </c>
      <c r="G93" s="117" t="s">
        <v>106</v>
      </c>
      <c r="L93" s="119">
        <v>0</v>
      </c>
      <c r="M93" s="120">
        <f t="shared" si="13"/>
        <v>0</v>
      </c>
      <c r="N93" s="118" t="s">
        <v>277</v>
      </c>
      <c r="O93" s="126"/>
    </row>
    <row r="94" spans="1:15" x14ac:dyDescent="0.4">
      <c r="B94" t="s">
        <v>177</v>
      </c>
      <c r="D94" t="s">
        <v>104</v>
      </c>
      <c r="E94" t="s">
        <v>37</v>
      </c>
      <c r="F94" t="s">
        <v>27</v>
      </c>
      <c r="G94" s="1" t="s">
        <v>106</v>
      </c>
      <c r="L94" s="87">
        <v>400</v>
      </c>
      <c r="M94" s="9">
        <f>L94/2</f>
        <v>200</v>
      </c>
      <c r="N94" t="s">
        <v>178</v>
      </c>
    </row>
    <row r="95" spans="1:15" x14ac:dyDescent="0.4">
      <c r="B95" t="s">
        <v>179</v>
      </c>
      <c r="D95" t="s">
        <v>104</v>
      </c>
      <c r="E95" t="s">
        <v>19</v>
      </c>
      <c r="F95" t="s">
        <v>105</v>
      </c>
      <c r="G95" s="1" t="s">
        <v>106</v>
      </c>
      <c r="L95" s="87">
        <v>83</v>
      </c>
      <c r="M95" s="9">
        <f>L95/2</f>
        <v>41.5</v>
      </c>
      <c r="N95" t="s">
        <v>180</v>
      </c>
    </row>
    <row r="96" spans="1:15" x14ac:dyDescent="0.4">
      <c r="B96" t="s">
        <v>181</v>
      </c>
      <c r="D96" t="s">
        <v>104</v>
      </c>
      <c r="E96" t="s">
        <v>111</v>
      </c>
      <c r="F96" t="s">
        <v>105</v>
      </c>
      <c r="G96" s="1" t="s">
        <v>106</v>
      </c>
      <c r="L96" s="87">
        <v>366.45</v>
      </c>
      <c r="M96" s="9">
        <f>L96/2</f>
        <v>183.22499999999999</v>
      </c>
    </row>
    <row r="97" spans="1:18" s="24" customFormat="1" x14ac:dyDescent="0.4">
      <c r="A97" s="23"/>
      <c r="B97" s="24" t="s">
        <v>182</v>
      </c>
      <c r="D97" s="24" t="s">
        <v>32</v>
      </c>
      <c r="E97" s="24" t="s">
        <v>19</v>
      </c>
      <c r="F97" s="24" t="s">
        <v>91</v>
      </c>
      <c r="G97" s="23" t="s">
        <v>106</v>
      </c>
      <c r="L97" s="25">
        <v>1709.52</v>
      </c>
      <c r="M97" s="27">
        <f>L97/2</f>
        <v>854.76</v>
      </c>
    </row>
    <row r="98" spans="1:18" x14ac:dyDescent="0.4">
      <c r="B98" t="s">
        <v>183</v>
      </c>
      <c r="D98" t="s">
        <v>104</v>
      </c>
      <c r="E98" t="s">
        <v>49</v>
      </c>
      <c r="F98" t="s">
        <v>105</v>
      </c>
      <c r="G98" s="1"/>
      <c r="L98" s="87">
        <v>20</v>
      </c>
      <c r="M98" s="9">
        <f t="shared" ref="M98:M103" si="14">L98/2</f>
        <v>10</v>
      </c>
    </row>
    <row r="99" spans="1:18" x14ac:dyDescent="0.4">
      <c r="B99" t="s">
        <v>184</v>
      </c>
      <c r="D99" t="s">
        <v>104</v>
      </c>
      <c r="E99" t="s">
        <v>37</v>
      </c>
      <c r="F99" t="s">
        <v>105</v>
      </c>
      <c r="L99" s="87">
        <v>232.03</v>
      </c>
      <c r="M99" s="9">
        <f t="shared" si="14"/>
        <v>116.015</v>
      </c>
      <c r="N99" t="s">
        <v>185</v>
      </c>
    </row>
    <row r="100" spans="1:18" x14ac:dyDescent="0.4">
      <c r="B100" t="s">
        <v>186</v>
      </c>
      <c r="D100" t="s">
        <v>104</v>
      </c>
      <c r="E100" t="s">
        <v>84</v>
      </c>
      <c r="F100" t="s">
        <v>105</v>
      </c>
      <c r="L100" s="87">
        <v>239</v>
      </c>
      <c r="M100" s="9">
        <f t="shared" si="14"/>
        <v>119.5</v>
      </c>
      <c r="N100" t="s">
        <v>187</v>
      </c>
    </row>
    <row r="101" spans="1:18" x14ac:dyDescent="0.4">
      <c r="B101" t="s">
        <v>188</v>
      </c>
      <c r="D101" t="s">
        <v>104</v>
      </c>
      <c r="E101" t="s">
        <v>37</v>
      </c>
      <c r="F101" t="s">
        <v>105</v>
      </c>
      <c r="L101" s="87">
        <v>250</v>
      </c>
      <c r="M101" s="9">
        <f t="shared" si="14"/>
        <v>125</v>
      </c>
      <c r="N101" t="s">
        <v>189</v>
      </c>
    </row>
    <row r="102" spans="1:18" s="128" customFormat="1" x14ac:dyDescent="0.4">
      <c r="A102" s="127"/>
      <c r="B102" s="128" t="s">
        <v>190</v>
      </c>
      <c r="D102" s="128" t="s">
        <v>104</v>
      </c>
      <c r="E102" s="128" t="s">
        <v>37</v>
      </c>
      <c r="F102" s="128" t="s">
        <v>105</v>
      </c>
      <c r="J102" s="137"/>
      <c r="K102" s="132"/>
      <c r="L102" s="129">
        <v>9</v>
      </c>
      <c r="M102" s="136">
        <f t="shared" si="14"/>
        <v>4.5</v>
      </c>
      <c r="N102" s="128" t="s">
        <v>191</v>
      </c>
      <c r="O102" s="131"/>
    </row>
    <row r="103" spans="1:18" x14ac:dyDescent="0.4">
      <c r="B103" t="s">
        <v>192</v>
      </c>
      <c r="D103" t="s">
        <v>104</v>
      </c>
      <c r="E103" t="s">
        <v>111</v>
      </c>
      <c r="F103" t="s">
        <v>27</v>
      </c>
      <c r="L103" s="87">
        <v>167</v>
      </c>
      <c r="M103" s="9">
        <f t="shared" si="14"/>
        <v>83.5</v>
      </c>
      <c r="N103" t="s">
        <v>193</v>
      </c>
    </row>
    <row r="104" spans="1:18" x14ac:dyDescent="0.4">
      <c r="L104" s="87"/>
      <c r="M104" s="9"/>
      <c r="O104"/>
    </row>
    <row r="105" spans="1:18" ht="15" thickBot="1" x14ac:dyDescent="0.45">
      <c r="B105" s="1"/>
      <c r="C105" s="1"/>
      <c r="D105" s="1"/>
      <c r="E105" s="1"/>
      <c r="F105" s="1"/>
      <c r="J105" s="42">
        <f>L105*0.923</f>
        <v>0</v>
      </c>
      <c r="L105" s="4"/>
      <c r="M105" s="9"/>
      <c r="N105" s="96" t="s">
        <v>194</v>
      </c>
      <c r="O105"/>
      <c r="R105" s="3"/>
    </row>
    <row r="106" spans="1:18" ht="15" thickTop="1" x14ac:dyDescent="0.4">
      <c r="B106" t="s">
        <v>195</v>
      </c>
      <c r="J106" t="s">
        <v>196</v>
      </c>
      <c r="N106" s="97">
        <v>209770</v>
      </c>
      <c r="O106"/>
    </row>
    <row r="107" spans="1:18" x14ac:dyDescent="0.4">
      <c r="B107" t="s">
        <v>197</v>
      </c>
      <c r="L107" s="29">
        <f>L105/L112</f>
        <v>0</v>
      </c>
      <c r="M107" s="37" t="s">
        <v>198</v>
      </c>
      <c r="N107" s="99">
        <f>206164-208629</f>
        <v>-2465</v>
      </c>
      <c r="O107" s="98" t="s">
        <v>199</v>
      </c>
    </row>
    <row r="108" spans="1:18" x14ac:dyDescent="0.4">
      <c r="J108" s="42"/>
      <c r="L108" s="35">
        <f>L105/L113</f>
        <v>0</v>
      </c>
      <c r="M108" s="37" t="s">
        <v>200</v>
      </c>
      <c r="O108"/>
    </row>
    <row r="109" spans="1:18" x14ac:dyDescent="0.4">
      <c r="B109" t="s">
        <v>201</v>
      </c>
      <c r="O109"/>
    </row>
    <row r="110" spans="1:18" x14ac:dyDescent="0.4">
      <c r="B110" t="s">
        <v>202</v>
      </c>
      <c r="J110" s="42"/>
      <c r="O110"/>
    </row>
    <row r="111" spans="1:18" x14ac:dyDescent="0.4">
      <c r="J111" s="42"/>
    </row>
    <row r="112" spans="1:18" x14ac:dyDescent="0.4">
      <c r="J112" s="42"/>
      <c r="L112" s="36">
        <v>520000</v>
      </c>
      <c r="M112" t="s">
        <v>203</v>
      </c>
    </row>
    <row r="113" spans="2:14" x14ac:dyDescent="0.4">
      <c r="B113" s="38" t="s">
        <v>204</v>
      </c>
      <c r="C113" s="47"/>
      <c r="L113" s="36">
        <v>183235</v>
      </c>
      <c r="M113" t="s">
        <v>205</v>
      </c>
    </row>
    <row r="114" spans="2:14" x14ac:dyDescent="0.4">
      <c r="B114" s="47"/>
      <c r="C114" s="47"/>
      <c r="L114" s="36">
        <v>130220</v>
      </c>
      <c r="M114" t="s">
        <v>206</v>
      </c>
    </row>
    <row r="115" spans="2:14" x14ac:dyDescent="0.4">
      <c r="B115" t="s">
        <v>207</v>
      </c>
      <c r="L115" s="114">
        <f>L114/L113</f>
        <v>0.71067208775616009</v>
      </c>
      <c r="M115" s="98" t="s">
        <v>208</v>
      </c>
    </row>
    <row r="116" spans="2:14" x14ac:dyDescent="0.4">
      <c r="B116" t="s">
        <v>209</v>
      </c>
      <c r="L116" s="115">
        <f>L113*0.6</f>
        <v>109941</v>
      </c>
      <c r="M116" t="s">
        <v>210</v>
      </c>
    </row>
    <row r="117" spans="2:14" x14ac:dyDescent="0.4">
      <c r="B117" t="s">
        <v>211</v>
      </c>
      <c r="L117" s="133">
        <f>L114-L116</f>
        <v>20279</v>
      </c>
      <c r="M117" s="134" t="s">
        <v>212</v>
      </c>
    </row>
    <row r="118" spans="2:14" x14ac:dyDescent="0.4">
      <c r="B118" t="s">
        <v>213</v>
      </c>
      <c r="L118" s="1" t="s">
        <v>214</v>
      </c>
      <c r="M118" t="s">
        <v>215</v>
      </c>
    </row>
    <row r="119" spans="2:14" x14ac:dyDescent="0.4">
      <c r="L119" s="39">
        <v>0.08</v>
      </c>
      <c r="M119" t="s">
        <v>216</v>
      </c>
    </row>
    <row r="122" spans="2:14" x14ac:dyDescent="0.4">
      <c r="L122" s="109" t="s">
        <v>217</v>
      </c>
      <c r="M122" s="109"/>
      <c r="N122" s="109"/>
    </row>
    <row r="123" spans="2:14" x14ac:dyDescent="0.4">
      <c r="L123" s="110">
        <v>208076</v>
      </c>
      <c r="M123" s="109" t="s">
        <v>218</v>
      </c>
      <c r="N123" s="111" t="s">
        <v>219</v>
      </c>
    </row>
    <row r="124" spans="2:14" x14ac:dyDescent="0.4">
      <c r="L124" s="112">
        <v>207226</v>
      </c>
      <c r="M124" s="109"/>
      <c r="N124" s="113">
        <v>45508</v>
      </c>
    </row>
    <row r="125" spans="2:14" x14ac:dyDescent="0.4">
      <c r="B125" s="40" t="s">
        <v>220</v>
      </c>
      <c r="C125" s="40"/>
      <c r="D125" s="40">
        <v>100</v>
      </c>
      <c r="E125" s="40" t="s">
        <v>221</v>
      </c>
      <c r="F125" s="40" t="s">
        <v>222</v>
      </c>
      <c r="L125" s="112">
        <v>210100</v>
      </c>
      <c r="M125" s="109"/>
      <c r="N125" s="113" t="s">
        <v>223</v>
      </c>
    </row>
    <row r="126" spans="2:14" x14ac:dyDescent="0.4">
      <c r="B126" s="40" t="s">
        <v>32</v>
      </c>
      <c r="C126" s="40"/>
      <c r="D126" s="45">
        <v>30</v>
      </c>
      <c r="E126" s="45" t="s">
        <v>224</v>
      </c>
      <c r="F126" s="44">
        <v>0.4</v>
      </c>
      <c r="L126" s="112">
        <v>209770</v>
      </c>
      <c r="M126" s="109"/>
      <c r="N126" s="113">
        <v>45596</v>
      </c>
    </row>
    <row r="127" spans="2:14" x14ac:dyDescent="0.4">
      <c r="B127" s="40" t="s">
        <v>225</v>
      </c>
      <c r="C127" s="40"/>
      <c r="D127" s="45">
        <v>70</v>
      </c>
      <c r="E127" s="45"/>
      <c r="F127" s="44">
        <v>0.6</v>
      </c>
      <c r="L127" s="135">
        <v>207326</v>
      </c>
      <c r="M127" s="109"/>
      <c r="N127" s="113" t="s">
        <v>226</v>
      </c>
    </row>
    <row r="128" spans="2:14" x14ac:dyDescent="0.4">
      <c r="B128" s="40" t="s">
        <v>227</v>
      </c>
      <c r="C128" s="40"/>
      <c r="D128" s="40">
        <v>32</v>
      </c>
      <c r="E128" s="40" t="s">
        <v>228</v>
      </c>
      <c r="F128" s="46">
        <v>0.38</v>
      </c>
    </row>
    <row r="129" spans="2:6" x14ac:dyDescent="0.4">
      <c r="B129" s="40" t="s">
        <v>229</v>
      </c>
      <c r="C129" s="40"/>
      <c r="D129" s="40">
        <v>10</v>
      </c>
      <c r="E129" s="43"/>
      <c r="F129" s="41">
        <v>4.3200000000000002E-2</v>
      </c>
    </row>
    <row r="130" spans="2:6" x14ac:dyDescent="0.4">
      <c r="B130" s="40" t="s">
        <v>230</v>
      </c>
      <c r="C130" s="40"/>
      <c r="D130" s="40">
        <v>20</v>
      </c>
      <c r="E130" s="40" t="s">
        <v>231</v>
      </c>
      <c r="F130" s="46">
        <v>0.1326</v>
      </c>
    </row>
    <row r="131" spans="2:6" x14ac:dyDescent="0.4">
      <c r="B131" s="40" t="s">
        <v>232</v>
      </c>
      <c r="C131" s="40"/>
      <c r="D131" s="40">
        <v>8</v>
      </c>
      <c r="E131" s="40"/>
      <c r="F131" s="41">
        <v>0.08</v>
      </c>
    </row>
    <row r="132" spans="2:6" x14ac:dyDescent="0.4">
      <c r="B132" s="40"/>
      <c r="C132" s="40"/>
      <c r="D132" s="40">
        <v>100</v>
      </c>
      <c r="E132" s="40"/>
      <c r="F132" s="41"/>
    </row>
  </sheetData>
  <autoFilter ref="B2:O110" xr:uid="{7E5AD0D8-AEC6-4D59-ABD8-4F64D4C92A68}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AD0D8-AEC6-4D59-ABD8-4F64D4C92A68}">
  <sheetPr filterMode="1"/>
  <dimension ref="A1:R118"/>
  <sheetViews>
    <sheetView zoomScale="90" zoomScaleNormal="100" workbookViewId="0">
      <pane xSplit="5" ySplit="2" topLeftCell="F3" activePane="bottomRight" state="frozen"/>
      <selection pane="topRight" activeCell="D1" sqref="D1"/>
      <selection pane="bottomLeft" activeCell="A2" sqref="A2"/>
      <selection pane="bottomRight" activeCell="D16" sqref="D16"/>
    </sheetView>
  </sheetViews>
  <sheetFormatPr defaultColWidth="9.15234375" defaultRowHeight="14.6" x14ac:dyDescent="0.4"/>
  <cols>
    <col min="1" max="1" width="4.3828125" style="1" customWidth="1"/>
    <col min="2" max="2" width="39.84375" customWidth="1"/>
    <col min="3" max="3" width="7.53515625" customWidth="1"/>
    <col min="4" max="4" width="14.3828125" customWidth="1"/>
    <col min="5" max="5" width="16.15234375" customWidth="1"/>
    <col min="6" max="7" width="16.84375" customWidth="1"/>
    <col min="8" max="8" width="11.53515625" customWidth="1"/>
    <col min="9" max="9" width="14" customWidth="1"/>
    <col min="10" max="10" width="14.3828125" bestFit="1" customWidth="1"/>
    <col min="11" max="11" width="14.53515625" customWidth="1"/>
    <col min="12" max="12" width="18.53515625" customWidth="1"/>
    <col min="13" max="13" width="13.53515625" customWidth="1"/>
    <col min="14" max="14" width="44.53515625" customWidth="1"/>
    <col min="17" max="17" width="8.53515625" customWidth="1"/>
    <col min="18" max="18" width="24.3828125" customWidth="1"/>
  </cols>
  <sheetData>
    <row r="1" spans="1:18" x14ac:dyDescent="0.4">
      <c r="A1" t="s">
        <v>0</v>
      </c>
      <c r="D1" t="s">
        <v>1</v>
      </c>
    </row>
    <row r="2" spans="1:18" s="8" customFormat="1" ht="30.75" customHeight="1" x14ac:dyDescent="0.4">
      <c r="A2" s="5"/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6" t="s">
        <v>14</v>
      </c>
      <c r="O2" s="6" t="s">
        <v>233</v>
      </c>
      <c r="R2" s="8" t="s">
        <v>16</v>
      </c>
    </row>
    <row r="3" spans="1:18" s="11" customFormat="1" x14ac:dyDescent="0.4">
      <c r="A3" s="10">
        <v>1</v>
      </c>
      <c r="B3" s="11" t="s">
        <v>17</v>
      </c>
      <c r="D3" s="11" t="s">
        <v>18</v>
      </c>
      <c r="E3" s="11" t="s">
        <v>19</v>
      </c>
      <c r="F3" s="11" t="s">
        <v>20</v>
      </c>
      <c r="G3" s="12">
        <v>0.05</v>
      </c>
      <c r="H3" s="13">
        <v>45</v>
      </c>
      <c r="I3" s="14">
        <v>40</v>
      </c>
      <c r="J3" s="15">
        <f>I3*52/12</f>
        <v>173.33333333333334</v>
      </c>
      <c r="K3" s="16">
        <f>H3*J3</f>
        <v>7800</v>
      </c>
      <c r="L3" s="17">
        <f>K3*(1+G3)</f>
        <v>8190</v>
      </c>
      <c r="M3" s="16">
        <f>L3/2</f>
        <v>4095</v>
      </c>
      <c r="O3" s="11" t="s">
        <v>21</v>
      </c>
      <c r="R3" s="18">
        <f>H3*I3*4*1.1</f>
        <v>7920.0000000000009</v>
      </c>
    </row>
    <row r="4" spans="1:18" s="22" customFormat="1" x14ac:dyDescent="0.4">
      <c r="A4" s="21"/>
      <c r="B4" s="22" t="s">
        <v>22</v>
      </c>
      <c r="D4" s="22" t="s">
        <v>18</v>
      </c>
      <c r="E4" s="22" t="s">
        <v>19</v>
      </c>
      <c r="F4" s="22" t="s">
        <v>20</v>
      </c>
      <c r="G4" s="30">
        <v>0.05</v>
      </c>
      <c r="H4" s="31">
        <v>45</v>
      </c>
      <c r="I4" s="32">
        <v>-10</v>
      </c>
      <c r="J4" s="21">
        <v>-43.33</v>
      </c>
      <c r="K4" s="20">
        <f>J4*H4</f>
        <v>-1949.85</v>
      </c>
      <c r="L4" s="33">
        <f>K4*(1+G4)</f>
        <v>-2047.3425</v>
      </c>
      <c r="M4" s="20">
        <f>L4/2</f>
        <v>-1023.67125</v>
      </c>
      <c r="N4" s="22" t="s">
        <v>23</v>
      </c>
      <c r="O4" s="22" t="s">
        <v>21</v>
      </c>
      <c r="R4" s="34">
        <f t="shared" ref="R4:R47" si="0">H4*I4*4*1.1</f>
        <v>-1980.0000000000002</v>
      </c>
    </row>
    <row r="5" spans="1:18" s="11" customFormat="1" x14ac:dyDescent="0.4">
      <c r="A5" s="10">
        <v>2</v>
      </c>
      <c r="B5" s="11" t="s">
        <v>24</v>
      </c>
      <c r="D5" s="11" t="s">
        <v>18</v>
      </c>
      <c r="E5" s="11" t="s">
        <v>19</v>
      </c>
      <c r="F5" s="11" t="s">
        <v>20</v>
      </c>
      <c r="G5" s="12">
        <v>0.05</v>
      </c>
      <c r="H5" s="13">
        <v>52</v>
      </c>
      <c r="I5" s="14">
        <v>40</v>
      </c>
      <c r="J5" s="15">
        <f t="shared" ref="J5:J6" si="1">I5*52/12</f>
        <v>173.33333333333334</v>
      </c>
      <c r="K5" s="16">
        <f t="shared" ref="K5:K16" si="2">H5*J5</f>
        <v>9013.3333333333339</v>
      </c>
      <c r="L5" s="17">
        <f t="shared" ref="L5:L16" si="3">K5*(1+G5)</f>
        <v>9464.0000000000018</v>
      </c>
      <c r="M5" s="16">
        <f t="shared" ref="M5:M16" si="4">L5/2</f>
        <v>4732.0000000000009</v>
      </c>
      <c r="R5" s="18">
        <f t="shared" si="0"/>
        <v>9152</v>
      </c>
    </row>
    <row r="6" spans="1:18" s="11" customFormat="1" x14ac:dyDescent="0.4">
      <c r="A6" s="10">
        <v>3</v>
      </c>
      <c r="B6" s="11" t="s">
        <v>29</v>
      </c>
      <c r="D6" s="11" t="s">
        <v>18</v>
      </c>
      <c r="E6" s="11" t="s">
        <v>19</v>
      </c>
      <c r="F6" s="11" t="s">
        <v>20</v>
      </c>
      <c r="G6" s="12">
        <v>0.05</v>
      </c>
      <c r="H6" s="13">
        <v>38</v>
      </c>
      <c r="I6" s="14">
        <v>40</v>
      </c>
      <c r="J6" s="15">
        <f t="shared" si="1"/>
        <v>173.33333333333334</v>
      </c>
      <c r="K6" s="16">
        <f t="shared" si="2"/>
        <v>6586.666666666667</v>
      </c>
      <c r="L6" s="17">
        <f t="shared" si="3"/>
        <v>6916.0000000000009</v>
      </c>
      <c r="M6" s="16">
        <f t="shared" si="4"/>
        <v>3458.0000000000005</v>
      </c>
      <c r="R6" s="18">
        <f t="shared" si="0"/>
        <v>6688.0000000000009</v>
      </c>
    </row>
    <row r="7" spans="1:18" s="11" customFormat="1" x14ac:dyDescent="0.4">
      <c r="A7" s="10">
        <v>4</v>
      </c>
      <c r="B7" s="11" t="s">
        <v>30</v>
      </c>
      <c r="D7" s="11" t="s">
        <v>18</v>
      </c>
      <c r="E7" s="11" t="s">
        <v>19</v>
      </c>
      <c r="F7" s="11" t="s">
        <v>20</v>
      </c>
      <c r="G7" s="12">
        <v>0.05</v>
      </c>
      <c r="H7" s="13">
        <v>65</v>
      </c>
      <c r="I7" s="14">
        <v>20</v>
      </c>
      <c r="J7" s="15">
        <f>I7*52/12</f>
        <v>86.666666666666671</v>
      </c>
      <c r="K7" s="16">
        <f t="shared" si="2"/>
        <v>5633.3333333333339</v>
      </c>
      <c r="L7" s="17">
        <f t="shared" si="3"/>
        <v>5915.0000000000009</v>
      </c>
      <c r="M7" s="16">
        <f t="shared" si="4"/>
        <v>2957.5000000000005</v>
      </c>
      <c r="R7" s="18">
        <f t="shared" si="0"/>
        <v>5720.0000000000009</v>
      </c>
    </row>
    <row r="8" spans="1:18" s="11" customFormat="1" hidden="1" x14ac:dyDescent="0.4">
      <c r="A8" s="10"/>
      <c r="B8" s="11" t="s">
        <v>30</v>
      </c>
      <c r="D8" s="11" t="s">
        <v>32</v>
      </c>
      <c r="E8" s="11" t="s">
        <v>19</v>
      </c>
      <c r="F8" s="11" t="s">
        <v>20</v>
      </c>
      <c r="G8" s="12">
        <v>0.05</v>
      </c>
      <c r="H8" s="13"/>
      <c r="I8" s="14"/>
      <c r="J8" s="15"/>
      <c r="K8" s="16">
        <v>1500</v>
      </c>
      <c r="L8" s="17">
        <f>K8*(1+G8)</f>
        <v>1575</v>
      </c>
      <c r="M8" s="16">
        <f>L8/2</f>
        <v>787.5</v>
      </c>
      <c r="O8" s="11" t="s">
        <v>21</v>
      </c>
      <c r="R8" s="18"/>
    </row>
    <row r="9" spans="1:18" s="11" customFormat="1" x14ac:dyDescent="0.4">
      <c r="A9" s="10">
        <v>5</v>
      </c>
      <c r="B9" s="11" t="s">
        <v>34</v>
      </c>
      <c r="D9" s="11" t="s">
        <v>18</v>
      </c>
      <c r="E9" s="11" t="s">
        <v>19</v>
      </c>
      <c r="F9" s="11" t="s">
        <v>20</v>
      </c>
      <c r="G9" s="12">
        <v>0.05</v>
      </c>
      <c r="H9" s="13">
        <v>80</v>
      </c>
      <c r="I9" s="14">
        <v>40</v>
      </c>
      <c r="J9" s="15">
        <f t="shared" ref="J9:J10" si="5">I9*52/12</f>
        <v>173.33333333333334</v>
      </c>
      <c r="K9" s="16">
        <f t="shared" si="2"/>
        <v>13866.666666666668</v>
      </c>
      <c r="L9" s="17">
        <f t="shared" si="3"/>
        <v>14560.000000000002</v>
      </c>
      <c r="M9" s="16">
        <f t="shared" si="4"/>
        <v>7280.0000000000009</v>
      </c>
      <c r="R9" s="18">
        <f t="shared" si="0"/>
        <v>14080.000000000002</v>
      </c>
    </row>
    <row r="10" spans="1:18" s="11" customFormat="1" hidden="1" x14ac:dyDescent="0.4">
      <c r="A10" s="10">
        <v>6</v>
      </c>
      <c r="B10" s="11" t="s">
        <v>234</v>
      </c>
      <c r="D10" s="11" t="s">
        <v>32</v>
      </c>
      <c r="E10" s="11" t="s">
        <v>37</v>
      </c>
      <c r="F10" s="11" t="s">
        <v>20</v>
      </c>
      <c r="G10" s="12">
        <v>0.05</v>
      </c>
      <c r="H10" s="13">
        <v>69</v>
      </c>
      <c r="I10" s="14">
        <v>40</v>
      </c>
      <c r="J10" s="15">
        <f t="shared" si="5"/>
        <v>173.33333333333334</v>
      </c>
      <c r="K10" s="16">
        <f t="shared" si="2"/>
        <v>11960</v>
      </c>
      <c r="L10" s="17">
        <f t="shared" si="3"/>
        <v>12558</v>
      </c>
      <c r="M10" s="16">
        <f t="shared" si="4"/>
        <v>6279</v>
      </c>
      <c r="O10" s="11" t="s">
        <v>21</v>
      </c>
      <c r="R10" s="18">
        <f t="shared" si="0"/>
        <v>12144.000000000002</v>
      </c>
    </row>
    <row r="11" spans="1:18" s="11" customFormat="1" x14ac:dyDescent="0.4">
      <c r="A11" s="10">
        <v>7</v>
      </c>
      <c r="B11" s="11" t="s">
        <v>38</v>
      </c>
      <c r="D11" s="11" t="s">
        <v>18</v>
      </c>
      <c r="E11" s="11" t="s">
        <v>19</v>
      </c>
      <c r="F11" s="11" t="s">
        <v>20</v>
      </c>
      <c r="G11" s="12">
        <v>0.05</v>
      </c>
      <c r="H11" s="13">
        <v>60</v>
      </c>
      <c r="I11" s="14">
        <v>20</v>
      </c>
      <c r="J11" s="15">
        <f t="shared" ref="J11:J16" si="6">I11*52/12</f>
        <v>86.666666666666671</v>
      </c>
      <c r="K11" s="16">
        <f t="shared" si="2"/>
        <v>5200</v>
      </c>
      <c r="L11" s="17">
        <f t="shared" si="3"/>
        <v>5460</v>
      </c>
      <c r="M11" s="16">
        <f t="shared" si="4"/>
        <v>2730</v>
      </c>
      <c r="R11" s="18">
        <f t="shared" si="0"/>
        <v>5280</v>
      </c>
    </row>
    <row r="12" spans="1:18" s="11" customFormat="1" x14ac:dyDescent="0.4">
      <c r="A12" s="10">
        <v>8</v>
      </c>
      <c r="B12" s="11" t="s">
        <v>39</v>
      </c>
      <c r="D12" s="11" t="s">
        <v>18</v>
      </c>
      <c r="E12" s="11" t="s">
        <v>19</v>
      </c>
      <c r="F12" s="11" t="s">
        <v>20</v>
      </c>
      <c r="G12" s="12">
        <v>0.05</v>
      </c>
      <c r="H12" s="13">
        <v>25</v>
      </c>
      <c r="I12" s="14">
        <v>40</v>
      </c>
      <c r="J12" s="15">
        <f t="shared" si="6"/>
        <v>173.33333333333334</v>
      </c>
      <c r="K12" s="16">
        <f t="shared" si="2"/>
        <v>4333.3333333333339</v>
      </c>
      <c r="L12" s="17">
        <f t="shared" si="3"/>
        <v>4550.0000000000009</v>
      </c>
      <c r="M12" s="16">
        <f t="shared" si="4"/>
        <v>2275.0000000000005</v>
      </c>
      <c r="R12" s="18">
        <f t="shared" si="0"/>
        <v>4400</v>
      </c>
    </row>
    <row r="13" spans="1:18" s="11" customFormat="1" x14ac:dyDescent="0.4">
      <c r="A13" s="10">
        <v>9</v>
      </c>
      <c r="B13" s="11" t="s">
        <v>40</v>
      </c>
      <c r="D13" s="11" t="s">
        <v>18</v>
      </c>
      <c r="E13" s="11" t="s">
        <v>19</v>
      </c>
      <c r="F13" s="11" t="s">
        <v>41</v>
      </c>
      <c r="G13" s="12">
        <v>0.01</v>
      </c>
      <c r="H13" s="13">
        <v>16</v>
      </c>
      <c r="I13" s="14">
        <v>40</v>
      </c>
      <c r="J13" s="15">
        <f t="shared" si="6"/>
        <v>173.33333333333334</v>
      </c>
      <c r="K13" s="16">
        <f t="shared" si="2"/>
        <v>2773.3333333333335</v>
      </c>
      <c r="L13" s="17">
        <f t="shared" si="3"/>
        <v>2801.0666666666671</v>
      </c>
      <c r="M13" s="16">
        <f t="shared" si="4"/>
        <v>1400.5333333333335</v>
      </c>
      <c r="R13" s="18">
        <f t="shared" si="0"/>
        <v>2816</v>
      </c>
    </row>
    <row r="14" spans="1:18" s="11" customFormat="1" x14ac:dyDescent="0.4">
      <c r="A14" s="10">
        <v>10</v>
      </c>
      <c r="B14" s="11" t="s">
        <v>43</v>
      </c>
      <c r="D14" s="11" t="s">
        <v>18</v>
      </c>
      <c r="E14" s="11" t="s">
        <v>19</v>
      </c>
      <c r="F14" s="11" t="s">
        <v>41</v>
      </c>
      <c r="G14" s="12">
        <v>0.01</v>
      </c>
      <c r="H14" s="13">
        <v>20</v>
      </c>
      <c r="I14" s="14">
        <v>51</v>
      </c>
      <c r="J14" s="15">
        <f t="shared" si="6"/>
        <v>221</v>
      </c>
      <c r="K14" s="16">
        <f t="shared" si="2"/>
        <v>4420</v>
      </c>
      <c r="L14" s="17">
        <f t="shared" si="3"/>
        <v>4464.2</v>
      </c>
      <c r="M14" s="16">
        <f t="shared" si="4"/>
        <v>2232.1</v>
      </c>
      <c r="R14" s="18">
        <f t="shared" si="0"/>
        <v>4488</v>
      </c>
    </row>
    <row r="15" spans="1:18" s="22" customFormat="1" x14ac:dyDescent="0.4">
      <c r="A15" s="21"/>
      <c r="B15" s="22" t="s">
        <v>45</v>
      </c>
      <c r="D15" s="22" t="s">
        <v>18</v>
      </c>
      <c r="E15" s="22" t="s">
        <v>19</v>
      </c>
      <c r="F15" s="22" t="s">
        <v>41</v>
      </c>
      <c r="G15" s="30">
        <v>0.01</v>
      </c>
      <c r="H15" s="31">
        <v>20</v>
      </c>
      <c r="I15" s="32">
        <v>-2</v>
      </c>
      <c r="J15" s="19">
        <f t="shared" si="6"/>
        <v>-8.6666666666666661</v>
      </c>
      <c r="K15" s="20">
        <f t="shared" si="2"/>
        <v>-173.33333333333331</v>
      </c>
      <c r="L15" s="33">
        <f t="shared" si="3"/>
        <v>-175.06666666666666</v>
      </c>
      <c r="M15" s="20">
        <f t="shared" si="4"/>
        <v>-87.533333333333331</v>
      </c>
      <c r="N15" s="22" t="s">
        <v>235</v>
      </c>
      <c r="O15" s="22" t="s">
        <v>47</v>
      </c>
      <c r="R15" s="34">
        <f t="shared" si="0"/>
        <v>-176</v>
      </c>
    </row>
    <row r="16" spans="1:18" s="11" customFormat="1" x14ac:dyDescent="0.4">
      <c r="A16" s="10">
        <v>11</v>
      </c>
      <c r="B16" s="11" t="s">
        <v>48</v>
      </c>
      <c r="D16" s="11" t="s">
        <v>18</v>
      </c>
      <c r="E16" s="11" t="s">
        <v>37</v>
      </c>
      <c r="F16" s="11" t="s">
        <v>41</v>
      </c>
      <c r="G16" s="12">
        <v>0.01</v>
      </c>
      <c r="H16" s="13">
        <v>23</v>
      </c>
      <c r="I16" s="14">
        <v>20</v>
      </c>
      <c r="J16" s="19">
        <f t="shared" si="6"/>
        <v>86.666666666666671</v>
      </c>
      <c r="K16" s="20">
        <f t="shared" si="2"/>
        <v>1993.3333333333335</v>
      </c>
      <c r="L16" s="17">
        <f t="shared" si="3"/>
        <v>2013.2666666666669</v>
      </c>
      <c r="M16" s="16">
        <f t="shared" si="4"/>
        <v>1006.6333333333334</v>
      </c>
      <c r="R16" s="18">
        <f t="shared" si="0"/>
        <v>2024.0000000000002</v>
      </c>
    </row>
    <row r="17" spans="1:18" s="11" customFormat="1" hidden="1" x14ac:dyDescent="0.4">
      <c r="A17" s="10"/>
      <c r="B17" s="11" t="s">
        <v>50</v>
      </c>
      <c r="D17" s="11" t="s">
        <v>32</v>
      </c>
      <c r="E17" s="11" t="s">
        <v>19</v>
      </c>
      <c r="F17" s="11" t="s">
        <v>27</v>
      </c>
      <c r="G17" s="12">
        <v>0.01</v>
      </c>
      <c r="H17" s="13">
        <v>78</v>
      </c>
      <c r="I17" s="14">
        <v>40</v>
      </c>
      <c r="J17" s="19">
        <f>I17*52/12</f>
        <v>173.33333333333334</v>
      </c>
      <c r="K17" s="20">
        <f>H17*J17</f>
        <v>13520</v>
      </c>
      <c r="L17" s="17">
        <f>K17*(1+G17)</f>
        <v>13655.2</v>
      </c>
      <c r="M17" s="16">
        <f>L17/2</f>
        <v>6827.6</v>
      </c>
      <c r="O17" s="11" t="s">
        <v>21</v>
      </c>
      <c r="R17" s="18">
        <f>H17*I17*4*1.1</f>
        <v>13728.000000000002</v>
      </c>
    </row>
    <row r="18" spans="1:18" s="11" customFormat="1" hidden="1" x14ac:dyDescent="0.4">
      <c r="A18" s="10"/>
      <c r="B18" s="11" t="s">
        <v>48</v>
      </c>
      <c r="D18" s="11" t="s">
        <v>18</v>
      </c>
      <c r="E18" s="28" t="s">
        <v>51</v>
      </c>
      <c r="F18" s="11" t="s">
        <v>41</v>
      </c>
      <c r="G18" s="12">
        <v>0.01</v>
      </c>
      <c r="H18" s="13">
        <v>23</v>
      </c>
      <c r="I18" s="14">
        <v>20</v>
      </c>
      <c r="J18" s="19">
        <f t="shared" ref="J18:J19" si="7">I18*52/12</f>
        <v>86.666666666666671</v>
      </c>
      <c r="K18" s="20">
        <f t="shared" ref="K18:K19" si="8">H18*J18</f>
        <v>1993.3333333333335</v>
      </c>
      <c r="L18" s="17">
        <f t="shared" ref="L18:L19" si="9">K18*(1+G18)</f>
        <v>2013.2666666666669</v>
      </c>
      <c r="M18" s="16">
        <f t="shared" ref="M18:M19" si="10">L18/2</f>
        <v>1006.6333333333334</v>
      </c>
      <c r="O18" s="11" t="s">
        <v>51</v>
      </c>
      <c r="R18" s="18">
        <f t="shared" si="0"/>
        <v>2024.0000000000002</v>
      </c>
    </row>
    <row r="19" spans="1:18" s="11" customFormat="1" x14ac:dyDescent="0.4">
      <c r="A19" s="10"/>
      <c r="B19" s="11" t="s">
        <v>52</v>
      </c>
      <c r="D19" s="11" t="s">
        <v>18</v>
      </c>
      <c r="E19" s="11" t="s">
        <v>19</v>
      </c>
      <c r="F19" s="11" t="s">
        <v>27</v>
      </c>
      <c r="G19" s="12">
        <v>0.01</v>
      </c>
      <c r="H19" s="13">
        <v>50</v>
      </c>
      <c r="I19" s="14">
        <v>20</v>
      </c>
      <c r="J19" s="19">
        <f t="shared" si="7"/>
        <v>86.666666666666671</v>
      </c>
      <c r="K19" s="20">
        <f t="shared" si="8"/>
        <v>4333.3333333333339</v>
      </c>
      <c r="L19" s="17">
        <f t="shared" si="9"/>
        <v>4376.666666666667</v>
      </c>
      <c r="M19" s="16">
        <f t="shared" si="10"/>
        <v>2188.3333333333335</v>
      </c>
      <c r="R19" s="18">
        <f t="shared" si="0"/>
        <v>4400</v>
      </c>
    </row>
    <row r="20" spans="1:18" s="71" customFormat="1" x14ac:dyDescent="0.4">
      <c r="A20" s="70">
        <v>12</v>
      </c>
      <c r="B20" s="71" t="s">
        <v>236</v>
      </c>
      <c r="D20" s="71" t="s">
        <v>18</v>
      </c>
      <c r="E20" s="71" t="s">
        <v>49</v>
      </c>
      <c r="F20" s="71" t="s">
        <v>41</v>
      </c>
      <c r="G20" s="72">
        <v>0.01</v>
      </c>
      <c r="H20" s="73"/>
      <c r="I20" s="74"/>
      <c r="J20" s="75"/>
      <c r="K20" s="76"/>
      <c r="L20" s="77">
        <f>K20*(1+G20)</f>
        <v>0</v>
      </c>
      <c r="M20" s="78">
        <f t="shared" ref="M20:M47" si="11">L20/2</f>
        <v>0</v>
      </c>
      <c r="N20" s="71" t="s">
        <v>237</v>
      </c>
      <c r="R20" s="79">
        <f>L20</f>
        <v>0</v>
      </c>
    </row>
    <row r="21" spans="1:18" s="11" customFormat="1" hidden="1" x14ac:dyDescent="0.4">
      <c r="A21" s="10"/>
      <c r="B21" s="28" t="s">
        <v>54</v>
      </c>
      <c r="D21" s="11" t="s">
        <v>32</v>
      </c>
      <c r="E21" s="11" t="s">
        <v>37</v>
      </c>
      <c r="F21" s="11" t="s">
        <v>27</v>
      </c>
      <c r="G21" s="12">
        <v>0.01</v>
      </c>
      <c r="H21" s="13">
        <v>125</v>
      </c>
      <c r="I21" s="48">
        <v>40</v>
      </c>
      <c r="J21" s="21">
        <v>173.33</v>
      </c>
      <c r="K21" s="20">
        <f>H21*J21</f>
        <v>21666.25</v>
      </c>
      <c r="L21" s="49">
        <f>K21*(1+G21)</f>
        <v>21882.912499999999</v>
      </c>
      <c r="M21" s="20">
        <f>L21/2</f>
        <v>10941.456249999999</v>
      </c>
      <c r="O21" s="11" t="s">
        <v>21</v>
      </c>
      <c r="R21" s="18"/>
    </row>
    <row r="22" spans="1:18" s="11" customFormat="1" hidden="1" x14ac:dyDescent="0.4">
      <c r="A22" s="10">
        <v>13</v>
      </c>
      <c r="B22" s="28" t="s">
        <v>55</v>
      </c>
      <c r="C22" s="28"/>
      <c r="D22" s="11" t="s">
        <v>18</v>
      </c>
      <c r="E22" s="28" t="s">
        <v>51</v>
      </c>
      <c r="F22" s="11" t="s">
        <v>41</v>
      </c>
      <c r="G22" s="12">
        <v>0.01</v>
      </c>
      <c r="H22" s="13"/>
      <c r="I22" s="14"/>
      <c r="J22" s="21"/>
      <c r="K22" s="31">
        <v>1250</v>
      </c>
      <c r="L22" s="17">
        <f>K22*(1+G22)</f>
        <v>1262.5</v>
      </c>
      <c r="M22" s="20">
        <f t="shared" si="11"/>
        <v>631.25</v>
      </c>
      <c r="N22" s="11" t="s">
        <v>56</v>
      </c>
      <c r="R22" s="18">
        <f>L22</f>
        <v>1262.5</v>
      </c>
    </row>
    <row r="23" spans="1:18" s="11" customFormat="1" x14ac:dyDescent="0.4">
      <c r="A23" s="10"/>
      <c r="B23" s="28" t="s">
        <v>55</v>
      </c>
      <c r="C23" s="28"/>
      <c r="D23" s="11" t="s">
        <v>18</v>
      </c>
      <c r="E23" s="11" t="s">
        <v>49</v>
      </c>
      <c r="F23" s="11" t="s">
        <v>41</v>
      </c>
      <c r="G23" s="12">
        <v>0.01</v>
      </c>
      <c r="H23" s="13"/>
      <c r="I23" s="14"/>
      <c r="J23" s="21"/>
      <c r="K23" s="31">
        <v>1250</v>
      </c>
      <c r="L23" s="17">
        <f>K23*(1+G23)</f>
        <v>1262.5</v>
      </c>
      <c r="M23" s="20">
        <f t="shared" si="11"/>
        <v>631.25</v>
      </c>
      <c r="R23" s="18"/>
    </row>
    <row r="24" spans="1:18" x14ac:dyDescent="0.4">
      <c r="A24" s="1">
        <v>14</v>
      </c>
      <c r="B24" t="s">
        <v>238</v>
      </c>
      <c r="D24" t="s">
        <v>18</v>
      </c>
      <c r="E24" t="s">
        <v>49</v>
      </c>
      <c r="F24" t="s">
        <v>27</v>
      </c>
      <c r="G24" s="80">
        <v>0.01</v>
      </c>
      <c r="H24" s="2"/>
      <c r="I24" s="81"/>
      <c r="J24" s="82"/>
      <c r="K24" s="83">
        <v>2575</v>
      </c>
      <c r="L24" s="84">
        <f>K24*(1+G24)</f>
        <v>2600.75</v>
      </c>
      <c r="M24" s="85">
        <f t="shared" si="11"/>
        <v>1300.375</v>
      </c>
      <c r="N24" t="s">
        <v>239</v>
      </c>
      <c r="R24" s="86">
        <f>L24</f>
        <v>2600.75</v>
      </c>
    </row>
    <row r="25" spans="1:18" s="11" customFormat="1" x14ac:dyDescent="0.4">
      <c r="A25" s="10">
        <v>15</v>
      </c>
      <c r="B25" s="11" t="s">
        <v>57</v>
      </c>
      <c r="D25" s="11" t="s">
        <v>18</v>
      </c>
      <c r="E25" s="11" t="s">
        <v>19</v>
      </c>
      <c r="F25" s="11" t="s">
        <v>58</v>
      </c>
      <c r="G25" s="12">
        <v>0.12</v>
      </c>
      <c r="H25" s="13">
        <v>18</v>
      </c>
      <c r="I25" s="14">
        <v>40</v>
      </c>
      <c r="J25" s="19">
        <f>I25*52/12</f>
        <v>173.33333333333334</v>
      </c>
      <c r="K25" s="20">
        <f>H25*J25</f>
        <v>3120</v>
      </c>
      <c r="L25" s="17">
        <f t="shared" ref="L25" si="12">K25*(1+G25)</f>
        <v>3494.4000000000005</v>
      </c>
      <c r="M25" s="16">
        <f t="shared" si="11"/>
        <v>1747.2000000000003</v>
      </c>
      <c r="N25" s="11" t="s">
        <v>59</v>
      </c>
      <c r="R25" s="18">
        <f t="shared" si="0"/>
        <v>3168.0000000000005</v>
      </c>
    </row>
    <row r="26" spans="1:18" s="11" customFormat="1" x14ac:dyDescent="0.4">
      <c r="A26" s="10">
        <v>16</v>
      </c>
      <c r="B26" s="11" t="s">
        <v>60</v>
      </c>
      <c r="D26" s="11" t="s">
        <v>18</v>
      </c>
      <c r="E26" s="11" t="s">
        <v>37</v>
      </c>
      <c r="F26" s="11" t="s">
        <v>58</v>
      </c>
      <c r="G26" s="12">
        <v>0.12</v>
      </c>
      <c r="H26" s="13">
        <v>36.880000000000003</v>
      </c>
      <c r="I26" s="14">
        <v>40</v>
      </c>
      <c r="J26" s="19">
        <f t="shared" ref="J26:J47" si="13">I26*52/12</f>
        <v>173.33333333333334</v>
      </c>
      <c r="K26" s="20">
        <f>H26*J26</f>
        <v>6392.5333333333338</v>
      </c>
      <c r="L26" s="17">
        <f t="shared" ref="L26" si="14">K26*(1+G26)</f>
        <v>7159.6373333333349</v>
      </c>
      <c r="M26" s="16">
        <f t="shared" si="11"/>
        <v>3579.8186666666675</v>
      </c>
      <c r="N26" s="11" t="s">
        <v>61</v>
      </c>
      <c r="R26" s="18">
        <f t="shared" si="0"/>
        <v>6490.880000000001</v>
      </c>
    </row>
    <row r="27" spans="1:18" s="11" customFormat="1" x14ac:dyDescent="0.4">
      <c r="A27" s="10">
        <v>18</v>
      </c>
      <c r="B27" s="11" t="s">
        <v>62</v>
      </c>
      <c r="D27" s="11" t="s">
        <v>18</v>
      </c>
      <c r="E27" s="11" t="s">
        <v>37</v>
      </c>
      <c r="F27" s="11" t="s">
        <v>58</v>
      </c>
      <c r="G27" s="12">
        <v>0.1</v>
      </c>
      <c r="H27" s="13">
        <v>19</v>
      </c>
      <c r="I27" s="14">
        <v>10</v>
      </c>
      <c r="J27" s="19">
        <f t="shared" si="13"/>
        <v>43.333333333333336</v>
      </c>
      <c r="K27" s="20">
        <f t="shared" ref="K27:K32" si="15">H27*J27</f>
        <v>823.33333333333337</v>
      </c>
      <c r="L27" s="17">
        <f t="shared" ref="L27:L32" si="16">K27*(1+G27)</f>
        <v>905.66666666666674</v>
      </c>
      <c r="M27" s="16">
        <f t="shared" si="11"/>
        <v>452.83333333333337</v>
      </c>
      <c r="N27" s="11" t="s">
        <v>63</v>
      </c>
      <c r="R27" s="18">
        <f t="shared" si="0"/>
        <v>836.00000000000011</v>
      </c>
    </row>
    <row r="28" spans="1:18" s="11" customFormat="1" x14ac:dyDescent="0.4">
      <c r="A28" s="10">
        <v>19</v>
      </c>
      <c r="B28" s="11" t="s">
        <v>64</v>
      </c>
      <c r="D28" s="11" t="s">
        <v>18</v>
      </c>
      <c r="E28" s="11" t="s">
        <v>37</v>
      </c>
      <c r="F28" s="11" t="s">
        <v>58</v>
      </c>
      <c r="G28" s="12">
        <v>0.1</v>
      </c>
      <c r="H28" s="13">
        <v>18</v>
      </c>
      <c r="I28" s="14">
        <v>16</v>
      </c>
      <c r="J28" s="19">
        <f t="shared" si="13"/>
        <v>69.333333333333329</v>
      </c>
      <c r="K28" s="20">
        <f t="shared" si="15"/>
        <v>1248</v>
      </c>
      <c r="L28" s="17">
        <f t="shared" si="16"/>
        <v>1372.8000000000002</v>
      </c>
      <c r="M28" s="16">
        <f t="shared" si="11"/>
        <v>686.40000000000009</v>
      </c>
      <c r="N28" s="11" t="s">
        <v>63</v>
      </c>
      <c r="R28" s="18">
        <f t="shared" si="0"/>
        <v>1267.2</v>
      </c>
    </row>
    <row r="29" spans="1:18" s="11" customFormat="1" x14ac:dyDescent="0.4">
      <c r="A29" s="10">
        <v>20</v>
      </c>
      <c r="B29" s="11" t="s">
        <v>65</v>
      </c>
      <c r="D29" s="11" t="s">
        <v>18</v>
      </c>
      <c r="E29" s="11" t="s">
        <v>37</v>
      </c>
      <c r="F29" s="11" t="s">
        <v>58</v>
      </c>
      <c r="G29" s="12">
        <v>0.1</v>
      </c>
      <c r="H29" s="13">
        <v>71.62</v>
      </c>
      <c r="I29" s="14">
        <v>40</v>
      </c>
      <c r="J29" s="19">
        <f t="shared" si="13"/>
        <v>173.33333333333334</v>
      </c>
      <c r="K29" s="20">
        <f t="shared" si="15"/>
        <v>12414.133333333335</v>
      </c>
      <c r="L29" s="17">
        <f t="shared" si="16"/>
        <v>13655.546666666669</v>
      </c>
      <c r="M29" s="16">
        <f t="shared" si="11"/>
        <v>6827.7733333333344</v>
      </c>
      <c r="N29" s="11" t="s">
        <v>66</v>
      </c>
      <c r="R29" s="18">
        <f t="shared" si="0"/>
        <v>12605.120000000003</v>
      </c>
    </row>
    <row r="30" spans="1:18" s="11" customFormat="1" x14ac:dyDescent="0.4">
      <c r="A30" s="10">
        <v>21</v>
      </c>
      <c r="B30" s="11" t="s">
        <v>67</v>
      </c>
      <c r="D30" s="11" t="s">
        <v>18</v>
      </c>
      <c r="E30" s="11" t="s">
        <v>37</v>
      </c>
      <c r="F30" s="11" t="s">
        <v>58</v>
      </c>
      <c r="G30" s="12">
        <v>0.1</v>
      </c>
      <c r="H30" s="13">
        <v>18</v>
      </c>
      <c r="I30" s="14">
        <v>20</v>
      </c>
      <c r="J30" s="19">
        <f t="shared" si="13"/>
        <v>86.666666666666671</v>
      </c>
      <c r="K30" s="20">
        <f t="shared" si="15"/>
        <v>1560</v>
      </c>
      <c r="L30" s="17">
        <f t="shared" si="16"/>
        <v>1716.0000000000002</v>
      </c>
      <c r="M30" s="16">
        <f t="shared" si="11"/>
        <v>858.00000000000011</v>
      </c>
      <c r="R30" s="18">
        <f t="shared" si="0"/>
        <v>1584.0000000000002</v>
      </c>
    </row>
    <row r="31" spans="1:18" s="11" customFormat="1" x14ac:dyDescent="0.4">
      <c r="A31" s="10">
        <v>22</v>
      </c>
      <c r="B31" s="11" t="s">
        <v>69</v>
      </c>
      <c r="D31" s="11" t="s">
        <v>18</v>
      </c>
      <c r="E31" s="11" t="s">
        <v>19</v>
      </c>
      <c r="F31" s="11" t="s">
        <v>58</v>
      </c>
      <c r="G31" s="12">
        <v>0.12</v>
      </c>
      <c r="H31" s="13">
        <v>54.22</v>
      </c>
      <c r="I31" s="14">
        <v>40</v>
      </c>
      <c r="J31" s="19">
        <f t="shared" si="13"/>
        <v>173.33333333333334</v>
      </c>
      <c r="K31" s="20">
        <f t="shared" si="15"/>
        <v>9398.1333333333332</v>
      </c>
      <c r="L31" s="17">
        <f t="shared" si="16"/>
        <v>10525.909333333335</v>
      </c>
      <c r="M31" s="16">
        <f t="shared" si="11"/>
        <v>5262.9546666666674</v>
      </c>
      <c r="N31" s="11" t="s">
        <v>61</v>
      </c>
      <c r="R31" s="18">
        <f t="shared" si="0"/>
        <v>9542.7200000000012</v>
      </c>
    </row>
    <row r="32" spans="1:18" s="11" customFormat="1" x14ac:dyDescent="0.4">
      <c r="A32" s="10">
        <v>23</v>
      </c>
      <c r="B32" s="11" t="s">
        <v>70</v>
      </c>
      <c r="D32" s="11" t="s">
        <v>18</v>
      </c>
      <c r="E32" s="11" t="s">
        <v>37</v>
      </c>
      <c r="F32" s="11" t="s">
        <v>58</v>
      </c>
      <c r="G32" s="12">
        <v>0.12</v>
      </c>
      <c r="H32" s="13">
        <v>38</v>
      </c>
      <c r="I32" s="14">
        <v>40</v>
      </c>
      <c r="J32" s="19">
        <f t="shared" si="13"/>
        <v>173.33333333333334</v>
      </c>
      <c r="K32" s="20">
        <f t="shared" si="15"/>
        <v>6586.666666666667</v>
      </c>
      <c r="L32" s="17">
        <f t="shared" si="16"/>
        <v>7377.0666666666675</v>
      </c>
      <c r="M32" s="16">
        <f t="shared" si="11"/>
        <v>3688.5333333333338</v>
      </c>
      <c r="N32" s="11" t="s">
        <v>72</v>
      </c>
      <c r="R32" s="18">
        <f t="shared" si="0"/>
        <v>6688.0000000000009</v>
      </c>
    </row>
    <row r="33" spans="1:18" s="11" customFormat="1" x14ac:dyDescent="0.4">
      <c r="A33" s="10">
        <v>24</v>
      </c>
      <c r="B33" s="11" t="s">
        <v>73</v>
      </c>
      <c r="D33" s="11" t="s">
        <v>18</v>
      </c>
      <c r="E33" s="11" t="s">
        <v>74</v>
      </c>
      <c r="F33" s="11" t="s">
        <v>58</v>
      </c>
      <c r="G33" s="12">
        <v>0.12</v>
      </c>
      <c r="H33" s="13">
        <v>33</v>
      </c>
      <c r="I33" s="14">
        <v>40</v>
      </c>
      <c r="J33" s="19">
        <f t="shared" si="13"/>
        <v>173.33333333333334</v>
      </c>
      <c r="K33" s="20">
        <f t="shared" ref="K33:K47" si="17">H33*J33</f>
        <v>5720</v>
      </c>
      <c r="L33" s="17">
        <f t="shared" ref="L33:L47" si="18">K33*(1+G33)</f>
        <v>6406.4000000000005</v>
      </c>
      <c r="M33" s="16">
        <f t="shared" si="11"/>
        <v>3203.2000000000003</v>
      </c>
      <c r="N33" s="11" t="s">
        <v>61</v>
      </c>
      <c r="R33" s="18">
        <f t="shared" si="0"/>
        <v>5808.0000000000009</v>
      </c>
    </row>
    <row r="34" spans="1:18" s="11" customFormat="1" x14ac:dyDescent="0.4">
      <c r="A34" s="10">
        <v>25</v>
      </c>
      <c r="B34" s="11" t="s">
        <v>75</v>
      </c>
      <c r="D34" s="11" t="s">
        <v>18</v>
      </c>
      <c r="E34" s="11" t="s">
        <v>19</v>
      </c>
      <c r="F34" s="11" t="s">
        <v>58</v>
      </c>
      <c r="G34" s="12">
        <v>0.12</v>
      </c>
      <c r="H34" s="13">
        <v>22.5</v>
      </c>
      <c r="I34" s="14">
        <v>40</v>
      </c>
      <c r="J34" s="19">
        <f t="shared" si="13"/>
        <v>173.33333333333334</v>
      </c>
      <c r="K34" s="20">
        <f t="shared" si="17"/>
        <v>3900</v>
      </c>
      <c r="L34" s="17">
        <f t="shared" si="18"/>
        <v>4368</v>
      </c>
      <c r="M34" s="16">
        <f t="shared" si="11"/>
        <v>2184</v>
      </c>
      <c r="N34" s="11" t="s">
        <v>72</v>
      </c>
      <c r="R34" s="18">
        <f t="shared" si="0"/>
        <v>3960.0000000000005</v>
      </c>
    </row>
    <row r="35" spans="1:18" s="11" customFormat="1" x14ac:dyDescent="0.4">
      <c r="A35" s="10">
        <v>27</v>
      </c>
      <c r="B35" s="11" t="s">
        <v>76</v>
      </c>
      <c r="D35" s="11" t="s">
        <v>18</v>
      </c>
      <c r="E35" s="11" t="s">
        <v>37</v>
      </c>
      <c r="F35" s="11" t="s">
        <v>58</v>
      </c>
      <c r="G35" s="12">
        <v>0.12</v>
      </c>
      <c r="H35" s="13">
        <v>52.01</v>
      </c>
      <c r="I35" s="14">
        <v>40</v>
      </c>
      <c r="J35" s="19">
        <f t="shared" si="13"/>
        <v>173.33333333333334</v>
      </c>
      <c r="K35" s="20">
        <f t="shared" si="17"/>
        <v>9015.0666666666675</v>
      </c>
      <c r="L35" s="17">
        <f t="shared" si="18"/>
        <v>10096.874666666668</v>
      </c>
      <c r="M35" s="16">
        <f t="shared" si="11"/>
        <v>5048.4373333333342</v>
      </c>
      <c r="N35" s="11" t="s">
        <v>61</v>
      </c>
      <c r="R35" s="18">
        <f t="shared" si="0"/>
        <v>9153.760000000002</v>
      </c>
    </row>
    <row r="36" spans="1:18" s="11" customFormat="1" x14ac:dyDescent="0.4">
      <c r="A36" s="10">
        <v>28</v>
      </c>
      <c r="B36" s="11" t="s">
        <v>77</v>
      </c>
      <c r="D36" s="11" t="s">
        <v>18</v>
      </c>
      <c r="E36" s="11" t="s">
        <v>49</v>
      </c>
      <c r="F36" s="11" t="s">
        <v>58</v>
      </c>
      <c r="G36" s="12">
        <v>0.1</v>
      </c>
      <c r="H36" s="13">
        <v>21</v>
      </c>
      <c r="I36" s="14">
        <v>25</v>
      </c>
      <c r="J36" s="19">
        <f t="shared" si="13"/>
        <v>108.33333333333333</v>
      </c>
      <c r="K36" s="20">
        <f t="shared" si="17"/>
        <v>2275</v>
      </c>
      <c r="L36" s="17">
        <f t="shared" si="18"/>
        <v>2502.5</v>
      </c>
      <c r="M36" s="16">
        <f t="shared" si="11"/>
        <v>1251.25</v>
      </c>
      <c r="N36" s="11" t="s">
        <v>63</v>
      </c>
      <c r="R36" s="18">
        <f t="shared" si="0"/>
        <v>2310</v>
      </c>
    </row>
    <row r="37" spans="1:18" s="11" customFormat="1" x14ac:dyDescent="0.4">
      <c r="A37" s="10">
        <v>29</v>
      </c>
      <c r="B37" s="11" t="s">
        <v>79</v>
      </c>
      <c r="D37" s="11" t="s">
        <v>18</v>
      </c>
      <c r="E37" s="11" t="s">
        <v>49</v>
      </c>
      <c r="F37" s="11" t="s">
        <v>58</v>
      </c>
      <c r="G37" s="12">
        <v>0.12</v>
      </c>
      <c r="H37" s="13">
        <v>23</v>
      </c>
      <c r="I37" s="14">
        <v>40</v>
      </c>
      <c r="J37" s="19">
        <f t="shared" si="13"/>
        <v>173.33333333333334</v>
      </c>
      <c r="K37" s="20">
        <f t="shared" si="17"/>
        <v>3986.666666666667</v>
      </c>
      <c r="L37" s="17">
        <f t="shared" si="18"/>
        <v>4465.0666666666675</v>
      </c>
      <c r="M37" s="16">
        <f t="shared" si="11"/>
        <v>2232.5333333333338</v>
      </c>
      <c r="N37" s="11" t="s">
        <v>61</v>
      </c>
      <c r="R37" s="18">
        <f t="shared" si="0"/>
        <v>4048.0000000000005</v>
      </c>
    </row>
    <row r="38" spans="1:18" s="11" customFormat="1" x14ac:dyDescent="0.4">
      <c r="A38" s="10">
        <v>30</v>
      </c>
      <c r="B38" s="11" t="s">
        <v>240</v>
      </c>
      <c r="D38" s="11" t="s">
        <v>18</v>
      </c>
      <c r="E38" s="11" t="s">
        <v>49</v>
      </c>
      <c r="F38" s="11" t="s">
        <v>58</v>
      </c>
      <c r="G38" s="12">
        <v>0.1</v>
      </c>
      <c r="H38" s="13">
        <v>18</v>
      </c>
      <c r="I38" s="14">
        <v>25</v>
      </c>
      <c r="J38" s="19">
        <f t="shared" si="13"/>
        <v>108.33333333333333</v>
      </c>
      <c r="K38" s="20">
        <f t="shared" si="17"/>
        <v>1950</v>
      </c>
      <c r="L38" s="17">
        <f t="shared" si="18"/>
        <v>2145</v>
      </c>
      <c r="M38" s="16">
        <f t="shared" si="11"/>
        <v>1072.5</v>
      </c>
      <c r="N38" s="11" t="s">
        <v>63</v>
      </c>
      <c r="R38" s="18">
        <f t="shared" si="0"/>
        <v>1980.0000000000002</v>
      </c>
    </row>
    <row r="39" spans="1:18" s="11" customFormat="1" x14ac:dyDescent="0.4">
      <c r="A39" s="10">
        <v>31</v>
      </c>
      <c r="B39" s="11" t="s">
        <v>80</v>
      </c>
      <c r="D39" s="11" t="s">
        <v>18</v>
      </c>
      <c r="E39" s="11" t="s">
        <v>74</v>
      </c>
      <c r="F39" s="11" t="s">
        <v>58</v>
      </c>
      <c r="G39" s="12">
        <v>0.12</v>
      </c>
      <c r="H39" s="13">
        <v>45.67</v>
      </c>
      <c r="I39" s="14">
        <v>40</v>
      </c>
      <c r="J39" s="19">
        <f t="shared" si="13"/>
        <v>173.33333333333334</v>
      </c>
      <c r="K39" s="20">
        <f t="shared" si="17"/>
        <v>7916.1333333333341</v>
      </c>
      <c r="L39" s="17">
        <f t="shared" si="18"/>
        <v>8866.0693333333347</v>
      </c>
      <c r="M39" s="16">
        <f t="shared" si="11"/>
        <v>4433.0346666666674</v>
      </c>
      <c r="N39" s="11" t="s">
        <v>72</v>
      </c>
      <c r="R39" s="18">
        <f t="shared" si="0"/>
        <v>8037.9200000000019</v>
      </c>
    </row>
    <row r="40" spans="1:18" s="11" customFormat="1" x14ac:dyDescent="0.4">
      <c r="A40" s="10">
        <v>32</v>
      </c>
      <c r="B40" s="11" t="s">
        <v>83</v>
      </c>
      <c r="D40" s="11" t="s">
        <v>18</v>
      </c>
      <c r="E40" s="11" t="s">
        <v>84</v>
      </c>
      <c r="F40" s="11" t="s">
        <v>58</v>
      </c>
      <c r="G40" s="12">
        <v>0.1</v>
      </c>
      <c r="H40" s="13">
        <v>38</v>
      </c>
      <c r="I40" s="14">
        <v>25</v>
      </c>
      <c r="J40" s="19">
        <f t="shared" si="13"/>
        <v>108.33333333333333</v>
      </c>
      <c r="K40" s="20">
        <f t="shared" si="17"/>
        <v>4116.6666666666661</v>
      </c>
      <c r="L40" s="17">
        <f t="shared" si="18"/>
        <v>4528.333333333333</v>
      </c>
      <c r="M40" s="16">
        <f t="shared" si="11"/>
        <v>2264.1666666666665</v>
      </c>
      <c r="N40" s="11" t="s">
        <v>63</v>
      </c>
      <c r="R40" s="18">
        <f t="shared" si="0"/>
        <v>4180</v>
      </c>
    </row>
    <row r="41" spans="1:18" s="11" customFormat="1" x14ac:dyDescent="0.4">
      <c r="A41" s="10">
        <v>33</v>
      </c>
      <c r="B41" s="11" t="s">
        <v>85</v>
      </c>
      <c r="D41" s="11" t="s">
        <v>18</v>
      </c>
      <c r="E41" s="11" t="s">
        <v>84</v>
      </c>
      <c r="F41" s="11" t="s">
        <v>58</v>
      </c>
      <c r="G41" s="12">
        <v>0.1</v>
      </c>
      <c r="H41" s="13">
        <v>32.5</v>
      </c>
      <c r="I41" s="14">
        <v>25</v>
      </c>
      <c r="J41" s="19">
        <f t="shared" si="13"/>
        <v>108.33333333333333</v>
      </c>
      <c r="K41" s="20">
        <f t="shared" si="17"/>
        <v>3520.833333333333</v>
      </c>
      <c r="L41" s="17">
        <f t="shared" si="18"/>
        <v>3872.9166666666665</v>
      </c>
      <c r="M41" s="16">
        <f t="shared" si="11"/>
        <v>1936.4583333333333</v>
      </c>
      <c r="N41" s="11" t="s">
        <v>63</v>
      </c>
      <c r="R41" s="18">
        <f t="shared" si="0"/>
        <v>3575.0000000000005</v>
      </c>
    </row>
    <row r="42" spans="1:18" s="11" customFormat="1" x14ac:dyDescent="0.4">
      <c r="A42" s="10">
        <v>34</v>
      </c>
      <c r="B42" s="11" t="s">
        <v>86</v>
      </c>
      <c r="D42" s="11" t="s">
        <v>18</v>
      </c>
      <c r="E42" s="11" t="s">
        <v>84</v>
      </c>
      <c r="F42" s="11" t="s">
        <v>58</v>
      </c>
      <c r="G42" s="12">
        <v>0.1</v>
      </c>
      <c r="H42" s="13">
        <v>25</v>
      </c>
      <c r="I42" s="14">
        <v>10</v>
      </c>
      <c r="J42" s="19">
        <f t="shared" si="13"/>
        <v>43.333333333333336</v>
      </c>
      <c r="K42" s="20">
        <f t="shared" si="17"/>
        <v>1083.3333333333335</v>
      </c>
      <c r="L42" s="17">
        <f t="shared" si="18"/>
        <v>1191.666666666667</v>
      </c>
      <c r="M42" s="16">
        <f t="shared" si="11"/>
        <v>595.83333333333348</v>
      </c>
      <c r="N42" s="11" t="s">
        <v>63</v>
      </c>
      <c r="R42" s="18">
        <f t="shared" si="0"/>
        <v>1100</v>
      </c>
    </row>
    <row r="43" spans="1:18" s="11" customFormat="1" hidden="1" x14ac:dyDescent="0.4">
      <c r="A43" s="10">
        <v>35</v>
      </c>
      <c r="B43" s="11" t="s">
        <v>88</v>
      </c>
      <c r="D43" s="11" t="s">
        <v>18</v>
      </c>
      <c r="E43" s="28" t="s">
        <v>89</v>
      </c>
      <c r="F43" s="11" t="s">
        <v>58</v>
      </c>
      <c r="G43" s="12">
        <v>0.1</v>
      </c>
      <c r="H43" s="13">
        <v>35</v>
      </c>
      <c r="I43" s="14">
        <v>7</v>
      </c>
      <c r="J43" s="19">
        <f t="shared" si="13"/>
        <v>30.333333333333332</v>
      </c>
      <c r="K43" s="20">
        <f t="shared" si="17"/>
        <v>1061.6666666666665</v>
      </c>
      <c r="L43" s="17">
        <f t="shared" si="18"/>
        <v>1167.8333333333333</v>
      </c>
      <c r="M43" s="16">
        <f t="shared" si="11"/>
        <v>583.91666666666663</v>
      </c>
      <c r="N43" s="11" t="s">
        <v>63</v>
      </c>
      <c r="R43" s="18">
        <f t="shared" si="0"/>
        <v>1078</v>
      </c>
    </row>
    <row r="44" spans="1:18" s="11" customFormat="1" x14ac:dyDescent="0.4">
      <c r="A44" s="10"/>
      <c r="B44" s="11" t="s">
        <v>90</v>
      </c>
      <c r="D44" s="11" t="s">
        <v>18</v>
      </c>
      <c r="E44" s="11" t="s">
        <v>37</v>
      </c>
      <c r="F44" s="11" t="s">
        <v>91</v>
      </c>
      <c r="G44" s="12">
        <v>0.01</v>
      </c>
      <c r="H44" s="13">
        <v>60</v>
      </c>
      <c r="I44" s="14">
        <v>10</v>
      </c>
      <c r="J44" s="19">
        <f t="shared" si="13"/>
        <v>43.333333333333336</v>
      </c>
      <c r="K44" s="20">
        <f t="shared" si="17"/>
        <v>2600</v>
      </c>
      <c r="L44" s="17">
        <f t="shared" si="18"/>
        <v>2626</v>
      </c>
      <c r="M44" s="16">
        <f t="shared" ref="M44" si="19">L44/2</f>
        <v>1313</v>
      </c>
      <c r="N44" s="11" t="s">
        <v>63</v>
      </c>
      <c r="R44" s="18">
        <f t="shared" si="0"/>
        <v>2640</v>
      </c>
    </row>
    <row r="45" spans="1:18" s="11" customFormat="1" hidden="1" x14ac:dyDescent="0.4">
      <c r="A45" s="10">
        <v>36</v>
      </c>
      <c r="B45" s="11" t="s">
        <v>93</v>
      </c>
      <c r="D45" s="11" t="s">
        <v>18</v>
      </c>
      <c r="E45" s="28" t="s">
        <v>89</v>
      </c>
      <c r="F45" s="11" t="s">
        <v>58</v>
      </c>
      <c r="G45" s="12">
        <v>0.1</v>
      </c>
      <c r="H45" s="13">
        <v>35</v>
      </c>
      <c r="I45" s="14">
        <v>20</v>
      </c>
      <c r="J45" s="19">
        <f t="shared" si="13"/>
        <v>86.666666666666671</v>
      </c>
      <c r="K45" s="20">
        <f t="shared" si="17"/>
        <v>3033.3333333333335</v>
      </c>
      <c r="L45" s="17">
        <f t="shared" si="18"/>
        <v>3336.666666666667</v>
      </c>
      <c r="M45" s="16">
        <f t="shared" si="11"/>
        <v>1668.3333333333335</v>
      </c>
      <c r="N45" s="11" t="s">
        <v>63</v>
      </c>
      <c r="R45" s="18">
        <f t="shared" si="0"/>
        <v>3080.0000000000005</v>
      </c>
    </row>
    <row r="46" spans="1:18" s="11" customFormat="1" x14ac:dyDescent="0.4">
      <c r="A46" s="10">
        <v>37</v>
      </c>
      <c r="B46" s="11" t="s">
        <v>94</v>
      </c>
      <c r="D46" s="11" t="s">
        <v>18</v>
      </c>
      <c r="E46" s="11" t="s">
        <v>19</v>
      </c>
      <c r="F46" s="11" t="s">
        <v>58</v>
      </c>
      <c r="G46" s="12">
        <v>0.1</v>
      </c>
      <c r="H46" s="13">
        <v>18</v>
      </c>
      <c r="I46" s="14">
        <v>12.5</v>
      </c>
      <c r="J46" s="19">
        <f t="shared" si="13"/>
        <v>54.166666666666664</v>
      </c>
      <c r="K46" s="20">
        <f t="shared" si="17"/>
        <v>975</v>
      </c>
      <c r="L46" s="17">
        <f t="shared" si="18"/>
        <v>1072.5</v>
      </c>
      <c r="M46" s="16">
        <f t="shared" si="11"/>
        <v>536.25</v>
      </c>
      <c r="N46" s="11" t="s">
        <v>63</v>
      </c>
      <c r="R46" s="18">
        <f t="shared" si="0"/>
        <v>990.00000000000011</v>
      </c>
    </row>
    <row r="47" spans="1:18" s="11" customFormat="1" x14ac:dyDescent="0.4">
      <c r="A47" s="10">
        <v>38</v>
      </c>
      <c r="B47" s="11" t="s">
        <v>95</v>
      </c>
      <c r="D47" s="11" t="s">
        <v>18</v>
      </c>
      <c r="E47" s="11" t="s">
        <v>19</v>
      </c>
      <c r="F47" s="11" t="s">
        <v>58</v>
      </c>
      <c r="G47" s="12">
        <v>0.1</v>
      </c>
      <c r="H47" s="13">
        <v>18</v>
      </c>
      <c r="I47" s="14">
        <v>20</v>
      </c>
      <c r="J47" s="19">
        <f t="shared" si="13"/>
        <v>86.666666666666671</v>
      </c>
      <c r="K47" s="20">
        <f t="shared" si="17"/>
        <v>1560</v>
      </c>
      <c r="L47" s="17">
        <f t="shared" si="18"/>
        <v>1716.0000000000002</v>
      </c>
      <c r="M47" s="16">
        <f t="shared" si="11"/>
        <v>858.00000000000011</v>
      </c>
      <c r="N47" s="11" t="s">
        <v>63</v>
      </c>
      <c r="R47" s="18">
        <f t="shared" si="0"/>
        <v>1584.0000000000002</v>
      </c>
    </row>
    <row r="48" spans="1:18" s="24" customFormat="1" x14ac:dyDescent="0.4">
      <c r="A48" s="23"/>
      <c r="B48" s="24" t="s">
        <v>103</v>
      </c>
      <c r="D48" s="24" t="s">
        <v>104</v>
      </c>
      <c r="E48" s="24" t="s">
        <v>19</v>
      </c>
      <c r="F48" s="24" t="s">
        <v>105</v>
      </c>
      <c r="G48" s="23" t="s">
        <v>106</v>
      </c>
      <c r="L48" s="25">
        <v>1350</v>
      </c>
      <c r="M48" s="26">
        <f t="shared" ref="M48:M58" si="20">L48/2</f>
        <v>675</v>
      </c>
      <c r="N48" s="24" t="s">
        <v>107</v>
      </c>
    </row>
    <row r="49" spans="1:14" s="24" customFormat="1" x14ac:dyDescent="0.4">
      <c r="A49" s="23"/>
      <c r="B49" s="24" t="s">
        <v>108</v>
      </c>
      <c r="D49" s="24" t="s">
        <v>104</v>
      </c>
      <c r="E49" s="24" t="s">
        <v>19</v>
      </c>
      <c r="F49" s="24" t="s">
        <v>105</v>
      </c>
      <c r="G49" s="23" t="s">
        <v>106</v>
      </c>
      <c r="L49" s="25">
        <v>6000</v>
      </c>
      <c r="M49" s="26">
        <f t="shared" si="20"/>
        <v>3000</v>
      </c>
      <c r="N49" s="24" t="s">
        <v>241</v>
      </c>
    </row>
    <row r="50" spans="1:14" s="24" customFormat="1" x14ac:dyDescent="0.4">
      <c r="A50" s="23"/>
      <c r="B50" s="24" t="s">
        <v>242</v>
      </c>
      <c r="D50" s="24" t="s">
        <v>104</v>
      </c>
      <c r="E50" s="24" t="s">
        <v>111</v>
      </c>
      <c r="F50" s="24" t="s">
        <v>112</v>
      </c>
      <c r="G50" s="23" t="s">
        <v>106</v>
      </c>
      <c r="L50" s="25">
        <v>1784</v>
      </c>
      <c r="M50" s="26">
        <f t="shared" si="20"/>
        <v>892</v>
      </c>
      <c r="N50" s="24" t="s">
        <v>243</v>
      </c>
    </row>
    <row r="51" spans="1:14" s="24" customFormat="1" x14ac:dyDescent="0.4">
      <c r="A51" s="23"/>
      <c r="B51" s="24" t="s">
        <v>244</v>
      </c>
      <c r="D51" s="24" t="s">
        <v>104</v>
      </c>
      <c r="E51" s="24" t="s">
        <v>111</v>
      </c>
      <c r="F51" s="24" t="s">
        <v>112</v>
      </c>
      <c r="G51" s="23" t="s">
        <v>106</v>
      </c>
      <c r="L51" s="25">
        <v>11663</v>
      </c>
      <c r="M51" s="26">
        <f t="shared" si="20"/>
        <v>5831.5</v>
      </c>
      <c r="N51" s="24" t="s">
        <v>115</v>
      </c>
    </row>
    <row r="52" spans="1:14" s="24" customFormat="1" x14ac:dyDescent="0.4">
      <c r="A52" s="23"/>
      <c r="B52" s="24" t="s">
        <v>245</v>
      </c>
      <c r="D52" s="24" t="s">
        <v>104</v>
      </c>
      <c r="E52" s="24" t="s">
        <v>111</v>
      </c>
      <c r="F52" s="24" t="s">
        <v>112</v>
      </c>
      <c r="G52" s="23" t="s">
        <v>106</v>
      </c>
      <c r="L52" s="25">
        <v>-1156.57</v>
      </c>
      <c r="M52" s="26">
        <f t="shared" ref="M52" si="21">L52/2</f>
        <v>-578.28499999999997</v>
      </c>
      <c r="N52" s="24" t="s">
        <v>117</v>
      </c>
    </row>
    <row r="53" spans="1:14" s="24" customFormat="1" x14ac:dyDescent="0.4">
      <c r="A53" s="23"/>
      <c r="B53" s="24" t="s">
        <v>118</v>
      </c>
      <c r="D53" s="24" t="s">
        <v>104</v>
      </c>
      <c r="E53" s="24" t="s">
        <v>111</v>
      </c>
      <c r="F53" s="24" t="s">
        <v>119</v>
      </c>
      <c r="G53" s="23" t="s">
        <v>106</v>
      </c>
      <c r="L53" s="25">
        <v>1070</v>
      </c>
      <c r="M53" s="26">
        <f t="shared" si="20"/>
        <v>535</v>
      </c>
      <c r="N53" s="24" t="s">
        <v>120</v>
      </c>
    </row>
    <row r="54" spans="1:14" s="24" customFormat="1" x14ac:dyDescent="0.4">
      <c r="A54" s="23"/>
      <c r="B54" s="24" t="s">
        <v>121</v>
      </c>
      <c r="D54" s="24" t="s">
        <v>104</v>
      </c>
      <c r="E54" s="24" t="s">
        <v>111</v>
      </c>
      <c r="F54" s="24" t="s">
        <v>105</v>
      </c>
      <c r="G54" s="23" t="s">
        <v>106</v>
      </c>
      <c r="L54" s="25">
        <v>2500</v>
      </c>
      <c r="M54" s="26">
        <f t="shared" si="20"/>
        <v>1250</v>
      </c>
      <c r="N54" s="24" t="s">
        <v>122</v>
      </c>
    </row>
    <row r="55" spans="1:14" s="24" customFormat="1" x14ac:dyDescent="0.4">
      <c r="A55" s="23"/>
      <c r="B55" s="24" t="s">
        <v>123</v>
      </c>
      <c r="D55" s="24" t="s">
        <v>104</v>
      </c>
      <c r="E55" s="24" t="s">
        <v>19</v>
      </c>
      <c r="F55" s="24" t="s">
        <v>105</v>
      </c>
      <c r="G55" s="23" t="s">
        <v>106</v>
      </c>
      <c r="L55" s="25">
        <v>2500</v>
      </c>
      <c r="M55" s="26">
        <f>L55/2</f>
        <v>1250</v>
      </c>
    </row>
    <row r="56" spans="1:14" s="24" customFormat="1" x14ac:dyDescent="0.4">
      <c r="A56" s="23"/>
      <c r="B56" s="24" t="s">
        <v>246</v>
      </c>
      <c r="D56" s="24" t="s">
        <v>104</v>
      </c>
      <c r="E56" s="24" t="s">
        <v>111</v>
      </c>
      <c r="F56" s="24" t="s">
        <v>105</v>
      </c>
      <c r="G56" s="23" t="s">
        <v>106</v>
      </c>
      <c r="L56" s="25">
        <v>204</v>
      </c>
      <c r="M56" s="26">
        <f t="shared" si="20"/>
        <v>102</v>
      </c>
      <c r="N56" s="24" t="s">
        <v>129</v>
      </c>
    </row>
    <row r="57" spans="1:14" s="24" customFormat="1" x14ac:dyDescent="0.4">
      <c r="A57" s="23"/>
      <c r="B57" s="24" t="s">
        <v>130</v>
      </c>
      <c r="D57" s="24" t="s">
        <v>104</v>
      </c>
      <c r="E57" s="24" t="s">
        <v>19</v>
      </c>
      <c r="F57" s="24" t="s">
        <v>105</v>
      </c>
      <c r="G57" s="23" t="s">
        <v>106</v>
      </c>
      <c r="L57" s="25">
        <v>150</v>
      </c>
      <c r="M57" s="26">
        <f t="shared" si="20"/>
        <v>75</v>
      </c>
      <c r="N57" s="24" t="s">
        <v>129</v>
      </c>
    </row>
    <row r="58" spans="1:14" s="24" customFormat="1" hidden="1" x14ac:dyDescent="0.4">
      <c r="A58" s="23"/>
      <c r="B58" s="24" t="s">
        <v>131</v>
      </c>
      <c r="D58" s="24" t="s">
        <v>32</v>
      </c>
      <c r="E58" s="24" t="s">
        <v>132</v>
      </c>
      <c r="F58" s="24" t="s">
        <v>105</v>
      </c>
      <c r="G58" s="23" t="s">
        <v>106</v>
      </c>
      <c r="L58" s="25">
        <v>45.08</v>
      </c>
      <c r="M58" s="26">
        <f t="shared" si="20"/>
        <v>22.54</v>
      </c>
      <c r="N58" s="24" t="s">
        <v>247</v>
      </c>
    </row>
    <row r="59" spans="1:14" s="24" customFormat="1" hidden="1" x14ac:dyDescent="0.4">
      <c r="A59" s="23"/>
      <c r="B59" s="24" t="s">
        <v>134</v>
      </c>
      <c r="D59" s="24" t="s">
        <v>32</v>
      </c>
      <c r="E59" s="24" t="s">
        <v>132</v>
      </c>
      <c r="F59" s="24" t="s">
        <v>105</v>
      </c>
      <c r="G59" s="23" t="s">
        <v>106</v>
      </c>
      <c r="L59" s="25">
        <v>9500</v>
      </c>
      <c r="M59" s="26">
        <f t="shared" ref="M59:M81" si="22">L59/2</f>
        <v>4750</v>
      </c>
      <c r="N59" s="24" t="s">
        <v>135</v>
      </c>
    </row>
    <row r="60" spans="1:14" s="24" customFormat="1" hidden="1" x14ac:dyDescent="0.4">
      <c r="A60" s="23"/>
      <c r="B60" s="24" t="s">
        <v>136</v>
      </c>
      <c r="D60" s="24" t="s">
        <v>32</v>
      </c>
      <c r="E60" s="24" t="s">
        <v>132</v>
      </c>
      <c r="F60" s="24" t="s">
        <v>112</v>
      </c>
      <c r="G60" s="23" t="s">
        <v>106</v>
      </c>
      <c r="L60" s="25">
        <v>18166</v>
      </c>
      <c r="M60" s="26">
        <f t="shared" si="22"/>
        <v>9083</v>
      </c>
      <c r="N60" s="24" t="s">
        <v>137</v>
      </c>
    </row>
    <row r="61" spans="1:14" s="24" customFormat="1" hidden="1" x14ac:dyDescent="0.4">
      <c r="A61" s="23"/>
      <c r="B61" s="24" t="s">
        <v>138</v>
      </c>
      <c r="D61" s="24" t="s">
        <v>32</v>
      </c>
      <c r="E61" s="24" t="s">
        <v>132</v>
      </c>
      <c r="F61" s="24" t="s">
        <v>91</v>
      </c>
      <c r="G61" s="23" t="s">
        <v>106</v>
      </c>
      <c r="L61" s="25">
        <v>80</v>
      </c>
      <c r="M61" s="26">
        <f t="shared" si="22"/>
        <v>40</v>
      </c>
      <c r="N61" s="24" t="s">
        <v>139</v>
      </c>
    </row>
    <row r="62" spans="1:14" s="24" customFormat="1" hidden="1" x14ac:dyDescent="0.4">
      <c r="A62" s="23"/>
      <c r="B62" s="24" t="s">
        <v>138</v>
      </c>
      <c r="D62" s="24" t="s">
        <v>32</v>
      </c>
      <c r="E62" s="24" t="s">
        <v>132</v>
      </c>
      <c r="F62" s="24" t="s">
        <v>91</v>
      </c>
      <c r="G62" s="23" t="s">
        <v>106</v>
      </c>
      <c r="L62" s="25">
        <v>632.44000000000005</v>
      </c>
      <c r="M62" s="27">
        <f t="shared" si="22"/>
        <v>316.22000000000003</v>
      </c>
      <c r="N62" s="24" t="s">
        <v>139</v>
      </c>
    </row>
    <row r="63" spans="1:14" s="24" customFormat="1" x14ac:dyDescent="0.4">
      <c r="A63" s="23"/>
      <c r="B63" s="24" t="s">
        <v>140</v>
      </c>
      <c r="D63" s="24" t="s">
        <v>104</v>
      </c>
      <c r="E63" s="24" t="s">
        <v>111</v>
      </c>
      <c r="F63" s="24" t="s">
        <v>141</v>
      </c>
      <c r="G63" s="23" t="s">
        <v>106</v>
      </c>
      <c r="L63" s="25">
        <v>412</v>
      </c>
      <c r="M63" s="27">
        <f t="shared" si="22"/>
        <v>206</v>
      </c>
      <c r="N63" s="24" t="s">
        <v>142</v>
      </c>
    </row>
    <row r="64" spans="1:14" s="24" customFormat="1" hidden="1" x14ac:dyDescent="0.4">
      <c r="A64" s="23"/>
      <c r="B64" s="24" t="s">
        <v>143</v>
      </c>
      <c r="D64" s="24" t="s">
        <v>32</v>
      </c>
      <c r="E64" s="24" t="s">
        <v>132</v>
      </c>
      <c r="F64" s="24" t="s">
        <v>105</v>
      </c>
      <c r="G64" s="23" t="s">
        <v>106</v>
      </c>
      <c r="L64" s="25">
        <v>1465.9</v>
      </c>
      <c r="M64" s="27">
        <f t="shared" si="22"/>
        <v>732.95</v>
      </c>
      <c r="N64" s="24" t="s">
        <v>144</v>
      </c>
    </row>
    <row r="65" spans="1:14" s="24" customFormat="1" x14ac:dyDescent="0.4">
      <c r="A65" s="23"/>
      <c r="B65" s="24" t="s">
        <v>145</v>
      </c>
      <c r="D65" s="24" t="s">
        <v>104</v>
      </c>
      <c r="E65" s="24" t="s">
        <v>111</v>
      </c>
      <c r="F65" s="24" t="s">
        <v>91</v>
      </c>
      <c r="G65" s="23" t="s">
        <v>106</v>
      </c>
      <c r="L65" s="25">
        <v>950</v>
      </c>
      <c r="M65" s="27">
        <f t="shared" si="22"/>
        <v>475</v>
      </c>
      <c r="N65" s="24" t="s">
        <v>146</v>
      </c>
    </row>
    <row r="66" spans="1:14" s="24" customFormat="1" x14ac:dyDescent="0.4">
      <c r="A66" s="23"/>
      <c r="B66" s="24" t="s">
        <v>149</v>
      </c>
      <c r="D66" s="24" t="s">
        <v>104</v>
      </c>
      <c r="E66" s="24" t="s">
        <v>111</v>
      </c>
      <c r="F66" s="24" t="s">
        <v>91</v>
      </c>
      <c r="G66" s="23" t="s">
        <v>106</v>
      </c>
      <c r="L66" s="25">
        <v>731</v>
      </c>
      <c r="M66" s="27">
        <f t="shared" si="22"/>
        <v>365.5</v>
      </c>
      <c r="N66" s="24" t="s">
        <v>150</v>
      </c>
    </row>
    <row r="67" spans="1:14" s="24" customFormat="1" x14ac:dyDescent="0.4">
      <c r="A67" s="23"/>
      <c r="B67" s="24" t="s">
        <v>151</v>
      </c>
      <c r="D67" s="24" t="s">
        <v>104</v>
      </c>
      <c r="E67" s="24" t="s">
        <v>111</v>
      </c>
      <c r="F67" s="24" t="s">
        <v>91</v>
      </c>
      <c r="G67" s="23" t="s">
        <v>106</v>
      </c>
      <c r="L67" s="25">
        <v>750</v>
      </c>
      <c r="M67" s="27">
        <f t="shared" si="22"/>
        <v>375</v>
      </c>
      <c r="N67" s="28" t="s">
        <v>152</v>
      </c>
    </row>
    <row r="68" spans="1:14" s="24" customFormat="1" x14ac:dyDescent="0.4">
      <c r="A68" s="23"/>
      <c r="B68" s="24" t="s">
        <v>153</v>
      </c>
      <c r="D68" s="24" t="s">
        <v>104</v>
      </c>
      <c r="E68" s="24" t="s">
        <v>111</v>
      </c>
      <c r="F68" s="24" t="s">
        <v>91</v>
      </c>
      <c r="G68" s="23" t="s">
        <v>106</v>
      </c>
      <c r="L68" s="25">
        <v>850</v>
      </c>
      <c r="M68" s="27">
        <f t="shared" si="22"/>
        <v>425</v>
      </c>
    </row>
    <row r="69" spans="1:14" s="24" customFormat="1" x14ac:dyDescent="0.4">
      <c r="A69" s="23"/>
      <c r="B69" s="28" t="s">
        <v>248</v>
      </c>
      <c r="G69" s="23"/>
      <c r="L69" s="25"/>
      <c r="M69" s="27"/>
    </row>
    <row r="70" spans="1:14" s="24" customFormat="1" x14ac:dyDescent="0.4">
      <c r="A70" s="23"/>
      <c r="B70" s="28" t="s">
        <v>249</v>
      </c>
      <c r="G70" s="23"/>
      <c r="L70" s="25"/>
      <c r="M70" s="27"/>
    </row>
    <row r="71" spans="1:14" s="24" customFormat="1" x14ac:dyDescent="0.4">
      <c r="A71" s="23"/>
      <c r="B71" s="24" t="s">
        <v>154</v>
      </c>
      <c r="D71" s="24" t="s">
        <v>104</v>
      </c>
      <c r="E71" s="24" t="s">
        <v>155</v>
      </c>
      <c r="F71" s="24" t="s">
        <v>105</v>
      </c>
      <c r="G71" s="23" t="s">
        <v>106</v>
      </c>
      <c r="L71" s="25">
        <v>0</v>
      </c>
      <c r="M71" s="27">
        <f t="shared" si="22"/>
        <v>0</v>
      </c>
      <c r="N71" s="24" t="s">
        <v>156</v>
      </c>
    </row>
    <row r="72" spans="1:14" s="24" customFormat="1" x14ac:dyDescent="0.4">
      <c r="A72" s="23"/>
      <c r="B72" s="24" t="s">
        <v>157</v>
      </c>
      <c r="D72" s="24" t="s">
        <v>104</v>
      </c>
      <c r="E72" s="24" t="s">
        <v>19</v>
      </c>
      <c r="F72" s="24" t="s">
        <v>105</v>
      </c>
      <c r="G72" s="23" t="s">
        <v>106</v>
      </c>
      <c r="L72" s="25">
        <v>688.88</v>
      </c>
      <c r="M72" s="27">
        <f t="shared" si="22"/>
        <v>344.44</v>
      </c>
    </row>
    <row r="73" spans="1:14" s="24" customFormat="1" hidden="1" x14ac:dyDescent="0.4">
      <c r="A73" s="23"/>
      <c r="B73" s="24" t="s">
        <v>158</v>
      </c>
      <c r="D73" s="24" t="s">
        <v>32</v>
      </c>
      <c r="E73" s="24" t="s">
        <v>19</v>
      </c>
      <c r="F73" s="24" t="s">
        <v>105</v>
      </c>
      <c r="G73" s="23" t="s">
        <v>106</v>
      </c>
      <c r="L73" s="25">
        <v>959</v>
      </c>
      <c r="M73" s="27">
        <f t="shared" si="22"/>
        <v>479.5</v>
      </c>
    </row>
    <row r="74" spans="1:14" s="24" customFormat="1" x14ac:dyDescent="0.4">
      <c r="A74" s="23"/>
      <c r="B74" s="24" t="s">
        <v>159</v>
      </c>
      <c r="D74" s="24" t="s">
        <v>104</v>
      </c>
      <c r="E74" s="24" t="s">
        <v>49</v>
      </c>
      <c r="F74" s="24" t="s">
        <v>105</v>
      </c>
      <c r="G74" s="23" t="s">
        <v>106</v>
      </c>
      <c r="L74" s="25">
        <v>850</v>
      </c>
      <c r="M74" s="27">
        <f t="shared" si="22"/>
        <v>425</v>
      </c>
    </row>
    <row r="75" spans="1:14" s="24" customFormat="1" x14ac:dyDescent="0.4">
      <c r="A75" s="23"/>
      <c r="B75" s="24" t="s">
        <v>161</v>
      </c>
      <c r="D75" s="24" t="s">
        <v>104</v>
      </c>
      <c r="E75" s="24" t="s">
        <v>49</v>
      </c>
      <c r="F75" s="24" t="s">
        <v>105</v>
      </c>
      <c r="G75" s="23" t="s">
        <v>106</v>
      </c>
      <c r="L75" s="25">
        <v>149</v>
      </c>
      <c r="M75" s="27">
        <f t="shared" si="22"/>
        <v>74.5</v>
      </c>
    </row>
    <row r="76" spans="1:14" s="24" customFormat="1" x14ac:dyDescent="0.4">
      <c r="A76" s="23"/>
      <c r="B76" s="24" t="s">
        <v>162</v>
      </c>
      <c r="D76" s="24" t="s">
        <v>104</v>
      </c>
      <c r="E76" s="24" t="s">
        <v>19</v>
      </c>
      <c r="F76" s="24" t="s">
        <v>105</v>
      </c>
      <c r="G76" s="23" t="s">
        <v>106</v>
      </c>
      <c r="L76" s="25">
        <v>499</v>
      </c>
      <c r="M76" s="27">
        <f t="shared" si="22"/>
        <v>249.5</v>
      </c>
    </row>
    <row r="77" spans="1:14" s="24" customFormat="1" x14ac:dyDescent="0.4">
      <c r="A77" s="23"/>
      <c r="B77" s="24" t="s">
        <v>164</v>
      </c>
      <c r="D77" s="24" t="s">
        <v>104</v>
      </c>
      <c r="E77" s="24" t="s">
        <v>111</v>
      </c>
      <c r="F77" s="24" t="s">
        <v>105</v>
      </c>
      <c r="G77" s="23" t="s">
        <v>106</v>
      </c>
      <c r="L77" s="25">
        <v>199</v>
      </c>
      <c r="M77" s="27">
        <f t="shared" si="22"/>
        <v>99.5</v>
      </c>
    </row>
    <row r="78" spans="1:14" s="24" customFormat="1" x14ac:dyDescent="0.4">
      <c r="A78" s="23"/>
      <c r="B78" s="24" t="s">
        <v>165</v>
      </c>
      <c r="D78" s="24" t="s">
        <v>104</v>
      </c>
      <c r="E78" s="24" t="s">
        <v>49</v>
      </c>
      <c r="F78" s="24" t="s">
        <v>105</v>
      </c>
      <c r="G78" s="23" t="s">
        <v>106</v>
      </c>
      <c r="L78" s="25">
        <v>75</v>
      </c>
      <c r="M78" s="27">
        <f t="shared" si="22"/>
        <v>37.5</v>
      </c>
    </row>
    <row r="79" spans="1:14" s="24" customFormat="1" x14ac:dyDescent="0.4">
      <c r="A79" s="23"/>
      <c r="B79" s="24" t="s">
        <v>166</v>
      </c>
      <c r="D79" s="24" t="s">
        <v>104</v>
      </c>
      <c r="E79" s="24" t="s">
        <v>49</v>
      </c>
      <c r="F79" s="24" t="s">
        <v>105</v>
      </c>
      <c r="G79" s="23" t="s">
        <v>106</v>
      </c>
      <c r="L79" s="25">
        <v>639.96</v>
      </c>
      <c r="M79" s="27">
        <f t="shared" si="22"/>
        <v>319.98</v>
      </c>
    </row>
    <row r="80" spans="1:14" s="24" customFormat="1" x14ac:dyDescent="0.4">
      <c r="A80" s="23"/>
      <c r="B80" s="24" t="s">
        <v>167</v>
      </c>
      <c r="D80" s="24" t="s">
        <v>104</v>
      </c>
      <c r="E80" s="24" t="s">
        <v>19</v>
      </c>
      <c r="F80" s="24" t="s">
        <v>105</v>
      </c>
      <c r="G80" s="23" t="s">
        <v>106</v>
      </c>
      <c r="L80" s="25">
        <v>270</v>
      </c>
      <c r="M80" s="27">
        <f t="shared" si="22"/>
        <v>135</v>
      </c>
    </row>
    <row r="81" spans="1:18" s="24" customFormat="1" x14ac:dyDescent="0.4">
      <c r="A81" s="23"/>
      <c r="B81" s="24" t="s">
        <v>168</v>
      </c>
      <c r="D81" s="24" t="s">
        <v>104</v>
      </c>
      <c r="E81" s="24" t="s">
        <v>49</v>
      </c>
      <c r="F81" s="24" t="s">
        <v>105</v>
      </c>
      <c r="G81" s="23" t="s">
        <v>106</v>
      </c>
      <c r="L81" s="25">
        <v>1581</v>
      </c>
      <c r="M81" s="27">
        <f t="shared" si="22"/>
        <v>790.5</v>
      </c>
    </row>
    <row r="82" spans="1:18" s="24" customFormat="1" x14ac:dyDescent="0.4">
      <c r="A82" s="23"/>
      <c r="B82" s="24" t="s">
        <v>169</v>
      </c>
      <c r="D82" s="24" t="s">
        <v>104</v>
      </c>
      <c r="E82" s="24" t="s">
        <v>49</v>
      </c>
      <c r="F82" s="24" t="s">
        <v>105</v>
      </c>
      <c r="G82" s="23" t="s">
        <v>106</v>
      </c>
      <c r="L82" s="25">
        <v>25</v>
      </c>
      <c r="M82" s="27">
        <f t="shared" ref="M82:M85" si="23">L82/2</f>
        <v>12.5</v>
      </c>
    </row>
    <row r="83" spans="1:18" s="24" customFormat="1" x14ac:dyDescent="0.4">
      <c r="A83" s="23"/>
      <c r="B83" s="24" t="s">
        <v>170</v>
      </c>
      <c r="D83" s="24" t="s">
        <v>104</v>
      </c>
      <c r="E83" s="24" t="s">
        <v>49</v>
      </c>
      <c r="F83" s="24" t="s">
        <v>105</v>
      </c>
      <c r="G83" s="23" t="s">
        <v>106</v>
      </c>
      <c r="L83" s="25">
        <v>39.5</v>
      </c>
      <c r="M83" s="27">
        <f t="shared" si="23"/>
        <v>19.75</v>
      </c>
    </row>
    <row r="84" spans="1:18" s="24" customFormat="1" x14ac:dyDescent="0.4">
      <c r="A84" s="23"/>
      <c r="B84" s="24" t="s">
        <v>171</v>
      </c>
      <c r="D84" s="24" t="s">
        <v>104</v>
      </c>
      <c r="E84" s="24" t="s">
        <v>49</v>
      </c>
      <c r="F84" s="24" t="s">
        <v>105</v>
      </c>
      <c r="G84" s="23" t="s">
        <v>106</v>
      </c>
      <c r="L84" s="25">
        <v>15</v>
      </c>
      <c r="M84" s="27">
        <f t="shared" si="23"/>
        <v>7.5</v>
      </c>
    </row>
    <row r="85" spans="1:18" s="24" customFormat="1" x14ac:dyDescent="0.4">
      <c r="A85" s="23"/>
      <c r="B85" s="24" t="s">
        <v>174</v>
      </c>
      <c r="D85" s="24" t="s">
        <v>104</v>
      </c>
      <c r="E85" s="24" t="s">
        <v>111</v>
      </c>
      <c r="F85" s="24" t="s">
        <v>27</v>
      </c>
      <c r="G85" s="23" t="s">
        <v>106</v>
      </c>
      <c r="L85" s="25">
        <v>77</v>
      </c>
      <c r="M85" s="27">
        <f t="shared" si="23"/>
        <v>38.5</v>
      </c>
      <c r="N85" s="24" t="s">
        <v>175</v>
      </c>
    </row>
    <row r="86" spans="1:18" s="24" customFormat="1" x14ac:dyDescent="0.4">
      <c r="A86" s="23"/>
      <c r="B86" s="24" t="s">
        <v>177</v>
      </c>
      <c r="D86" s="24" t="s">
        <v>104</v>
      </c>
      <c r="E86" s="24" t="s">
        <v>37</v>
      </c>
      <c r="F86" s="24" t="s">
        <v>27</v>
      </c>
      <c r="G86" s="23" t="s">
        <v>106</v>
      </c>
      <c r="L86" s="25">
        <v>150</v>
      </c>
      <c r="M86" s="27">
        <f>L86/2</f>
        <v>75</v>
      </c>
      <c r="N86" s="24" t="s">
        <v>250</v>
      </c>
    </row>
    <row r="87" spans="1:18" s="24" customFormat="1" x14ac:dyDescent="0.4">
      <c r="A87" s="23"/>
      <c r="B87" s="24" t="s">
        <v>179</v>
      </c>
      <c r="D87" s="24" t="s">
        <v>104</v>
      </c>
      <c r="E87" s="24" t="s">
        <v>19</v>
      </c>
      <c r="F87" s="24" t="s">
        <v>105</v>
      </c>
      <c r="G87" s="23" t="s">
        <v>106</v>
      </c>
      <c r="L87" s="25">
        <v>166.25</v>
      </c>
      <c r="M87" s="27">
        <f>L87/2</f>
        <v>83.125</v>
      </c>
      <c r="N87" s="24" t="s">
        <v>251</v>
      </c>
    </row>
    <row r="88" spans="1:18" s="24" customFormat="1" x14ac:dyDescent="0.4">
      <c r="A88" s="23"/>
      <c r="B88" s="24" t="s">
        <v>181</v>
      </c>
      <c r="D88" s="24" t="s">
        <v>104</v>
      </c>
      <c r="E88" s="24" t="s">
        <v>111</v>
      </c>
      <c r="F88" s="24" t="s">
        <v>105</v>
      </c>
      <c r="G88" s="23" t="s">
        <v>106</v>
      </c>
      <c r="L88" s="25">
        <v>335</v>
      </c>
      <c r="M88" s="27">
        <f>L88/2</f>
        <v>167.5</v>
      </c>
    </row>
    <row r="89" spans="1:18" s="24" customFormat="1" hidden="1" x14ac:dyDescent="0.4">
      <c r="A89" s="23"/>
      <c r="B89" s="24" t="s">
        <v>182</v>
      </c>
      <c r="D89" s="24" t="s">
        <v>32</v>
      </c>
      <c r="E89" s="24" t="s">
        <v>19</v>
      </c>
      <c r="F89" s="24" t="s">
        <v>91</v>
      </c>
      <c r="G89" s="23" t="s">
        <v>106</v>
      </c>
      <c r="L89" s="25">
        <v>1709.52</v>
      </c>
      <c r="M89" s="27">
        <f>L89/2</f>
        <v>854.76</v>
      </c>
    </row>
    <row r="90" spans="1:18" s="24" customFormat="1" x14ac:dyDescent="0.4">
      <c r="A90" s="23"/>
      <c r="B90" s="28" t="s">
        <v>252</v>
      </c>
      <c r="D90" s="24" t="s">
        <v>104</v>
      </c>
      <c r="E90" s="24" t="s">
        <v>49</v>
      </c>
      <c r="F90" s="24" t="s">
        <v>105</v>
      </c>
      <c r="G90" s="23"/>
      <c r="L90" s="25"/>
      <c r="M90" s="27">
        <f t="shared" ref="M90:M91" si="24">L90/2</f>
        <v>0</v>
      </c>
    </row>
    <row r="91" spans="1:18" s="24" customFormat="1" x14ac:dyDescent="0.4">
      <c r="A91" s="23"/>
      <c r="B91" s="24" t="s">
        <v>184</v>
      </c>
      <c r="D91" s="24" t="s">
        <v>104</v>
      </c>
      <c r="E91" s="24" t="s">
        <v>37</v>
      </c>
      <c r="F91" s="24" t="s">
        <v>105</v>
      </c>
      <c r="L91" s="25">
        <v>232.03</v>
      </c>
      <c r="M91" s="27">
        <f t="shared" si="24"/>
        <v>116.015</v>
      </c>
    </row>
    <row r="92" spans="1:18" x14ac:dyDescent="0.4">
      <c r="L92" s="87"/>
      <c r="M92" s="9"/>
    </row>
    <row r="93" spans="1:18" ht="15" thickBot="1" x14ac:dyDescent="0.45">
      <c r="J93" s="42">
        <f>L93*0.923</f>
        <v>273368.38417200011</v>
      </c>
      <c r="L93" s="4">
        <f>SUM(L3:L91)</f>
        <v>296173.76400000008</v>
      </c>
      <c r="M93" s="9"/>
      <c r="N93" s="96" t="s">
        <v>194</v>
      </c>
      <c r="R93" s="3"/>
    </row>
    <row r="94" spans="1:18" ht="15" thickTop="1" x14ac:dyDescent="0.4">
      <c r="B94" t="s">
        <v>195</v>
      </c>
      <c r="J94" t="s">
        <v>253</v>
      </c>
      <c r="N94" s="97">
        <v>206164</v>
      </c>
    </row>
    <row r="95" spans="1:18" x14ac:dyDescent="0.4">
      <c r="B95" t="s">
        <v>197</v>
      </c>
      <c r="L95" s="29">
        <f>L93/L100</f>
        <v>0.68717810672853852</v>
      </c>
      <c r="M95" s="37" t="s">
        <v>198</v>
      </c>
    </row>
    <row r="96" spans="1:18" x14ac:dyDescent="0.4">
      <c r="J96" s="42"/>
      <c r="L96" s="35">
        <f>L93/L101</f>
        <v>1.6009392648648653</v>
      </c>
      <c r="M96" s="37" t="s">
        <v>200</v>
      </c>
    </row>
    <row r="97" spans="2:13" x14ac:dyDescent="0.4">
      <c r="B97" t="s">
        <v>201</v>
      </c>
    </row>
    <row r="98" spans="2:13" x14ac:dyDescent="0.4">
      <c r="B98" t="s">
        <v>202</v>
      </c>
      <c r="J98" s="42"/>
    </row>
    <row r="99" spans="2:13" x14ac:dyDescent="0.4">
      <c r="J99" s="42"/>
    </row>
    <row r="100" spans="2:13" x14ac:dyDescent="0.4">
      <c r="J100" s="42"/>
      <c r="L100" s="36">
        <v>431000</v>
      </c>
      <c r="M100" t="s">
        <v>203</v>
      </c>
    </row>
    <row r="101" spans="2:13" x14ac:dyDescent="0.4">
      <c r="B101" s="38" t="s">
        <v>204</v>
      </c>
      <c r="C101" s="47"/>
      <c r="L101" s="36">
        <v>185000</v>
      </c>
      <c r="M101" t="s">
        <v>205</v>
      </c>
    </row>
    <row r="102" spans="2:13" x14ac:dyDescent="0.4">
      <c r="B102" t="s">
        <v>207</v>
      </c>
    </row>
    <row r="103" spans="2:13" x14ac:dyDescent="0.4">
      <c r="B103" t="s">
        <v>209</v>
      </c>
    </row>
    <row r="104" spans="2:13" x14ac:dyDescent="0.4">
      <c r="B104" t="s">
        <v>211</v>
      </c>
    </row>
    <row r="105" spans="2:13" x14ac:dyDescent="0.4">
      <c r="B105" t="s">
        <v>213</v>
      </c>
      <c r="L105" s="1" t="s">
        <v>214</v>
      </c>
      <c r="M105" t="s">
        <v>215</v>
      </c>
    </row>
    <row r="106" spans="2:13" x14ac:dyDescent="0.4">
      <c r="L106" s="39">
        <v>0.08</v>
      </c>
      <c r="M106" t="s">
        <v>216</v>
      </c>
    </row>
    <row r="111" spans="2:13" x14ac:dyDescent="0.4">
      <c r="B111" s="40" t="s">
        <v>220</v>
      </c>
      <c r="C111" s="40"/>
      <c r="D111" s="40">
        <v>100</v>
      </c>
      <c r="E111" s="40" t="s">
        <v>221</v>
      </c>
      <c r="F111" s="40" t="s">
        <v>222</v>
      </c>
    </row>
    <row r="112" spans="2:13" x14ac:dyDescent="0.4">
      <c r="B112" s="40" t="s">
        <v>32</v>
      </c>
      <c r="C112" s="40"/>
      <c r="D112" s="45">
        <v>30</v>
      </c>
      <c r="E112" s="45" t="s">
        <v>224</v>
      </c>
      <c r="F112" s="44">
        <v>0.4</v>
      </c>
    </row>
    <row r="113" spans="2:6" x14ac:dyDescent="0.4">
      <c r="B113" s="40" t="s">
        <v>225</v>
      </c>
      <c r="C113" s="40"/>
      <c r="D113" s="45">
        <v>70</v>
      </c>
      <c r="E113" s="45"/>
      <c r="F113" s="44">
        <v>0.6</v>
      </c>
    </row>
    <row r="114" spans="2:6" x14ac:dyDescent="0.4">
      <c r="B114" s="40" t="s">
        <v>227</v>
      </c>
      <c r="C114" s="40"/>
      <c r="D114" s="40">
        <v>32</v>
      </c>
      <c r="E114" s="40" t="s">
        <v>228</v>
      </c>
      <c r="F114" s="46">
        <v>0.38</v>
      </c>
    </row>
    <row r="115" spans="2:6" x14ac:dyDescent="0.4">
      <c r="B115" s="40" t="s">
        <v>229</v>
      </c>
      <c r="C115" s="40"/>
      <c r="D115" s="40">
        <v>10</v>
      </c>
      <c r="E115" s="43"/>
      <c r="F115" s="41">
        <v>4.3200000000000002E-2</v>
      </c>
    </row>
    <row r="116" spans="2:6" x14ac:dyDescent="0.4">
      <c r="B116" s="40" t="s">
        <v>230</v>
      </c>
      <c r="C116" s="40"/>
      <c r="D116" s="40">
        <v>20</v>
      </c>
      <c r="E116" s="40" t="s">
        <v>231</v>
      </c>
      <c r="F116" s="46">
        <v>0.1326</v>
      </c>
    </row>
    <row r="117" spans="2:6" x14ac:dyDescent="0.4">
      <c r="B117" s="40" t="s">
        <v>232</v>
      </c>
      <c r="C117" s="40"/>
      <c r="D117" s="40">
        <v>8</v>
      </c>
      <c r="E117" s="40"/>
      <c r="F117" s="41">
        <v>0.08</v>
      </c>
    </row>
    <row r="118" spans="2:6" x14ac:dyDescent="0.4">
      <c r="B118" s="40"/>
      <c r="C118" s="40"/>
      <c r="D118" s="40">
        <v>100</v>
      </c>
      <c r="E118" s="40"/>
      <c r="F118" s="41"/>
    </row>
  </sheetData>
  <autoFilter ref="B2:O98" xr:uid="{7E5AD0D8-AEC6-4D59-ABD8-4F64D4C92A68}">
    <filterColumn colId="2">
      <filters blank="1">
        <filter val="Expense"/>
        <filter val="Payroll"/>
      </filters>
    </filterColumn>
    <filterColumn colId="3">
      <filters blank="1">
        <filter val="Admin"/>
        <filter val="Biz Dev"/>
        <filter val="General"/>
        <filter val="Help Desk"/>
        <filter val="MKTG"/>
        <filter val="Operations"/>
        <filter val="Services"/>
      </filters>
    </filterColumn>
  </autoFilter>
  <phoneticPr fontId="7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0C09F-386F-43E8-AFBC-A080AABD68AB}">
  <dimension ref="C3:O28"/>
  <sheetViews>
    <sheetView zoomScale="110" zoomScaleNormal="110" workbookViewId="0">
      <selection activeCell="I17" sqref="I17"/>
    </sheetView>
  </sheetViews>
  <sheetFormatPr defaultRowHeight="14.6" x14ac:dyDescent="0.4"/>
  <cols>
    <col min="3" max="3" width="13.3828125" customWidth="1"/>
    <col min="4" max="12" width="21.15234375" customWidth="1"/>
    <col min="14" max="14" width="14.15234375" customWidth="1"/>
    <col min="15" max="15" width="12.84375" customWidth="1"/>
  </cols>
  <sheetData>
    <row r="3" spans="3:15" ht="15" thickBot="1" x14ac:dyDescent="0.45"/>
    <row r="4" spans="3:15" ht="37.299999999999997" thickBot="1" x14ac:dyDescent="0.45">
      <c r="D4" s="63"/>
      <c r="E4" s="62" t="s">
        <v>254</v>
      </c>
      <c r="F4" s="62" t="s">
        <v>255</v>
      </c>
      <c r="G4" s="62" t="s">
        <v>256</v>
      </c>
      <c r="H4" s="62" t="s">
        <v>257</v>
      </c>
      <c r="I4" s="62" t="s">
        <v>258</v>
      </c>
      <c r="J4" s="62" t="s">
        <v>259</v>
      </c>
      <c r="K4" s="62" t="s">
        <v>203</v>
      </c>
      <c r="L4" s="62" t="s">
        <v>260</v>
      </c>
      <c r="N4" s="66" t="s">
        <v>32</v>
      </c>
    </row>
    <row r="5" spans="3:15" ht="23.15" thickTop="1" thickBot="1" x14ac:dyDescent="0.45">
      <c r="D5" s="59" t="s">
        <v>261</v>
      </c>
      <c r="E5" s="60">
        <v>180000</v>
      </c>
      <c r="F5" s="61"/>
      <c r="G5" s="61"/>
      <c r="H5" s="61"/>
      <c r="I5" s="61"/>
      <c r="J5" s="60">
        <v>180000</v>
      </c>
      <c r="K5" s="60">
        <v>180000</v>
      </c>
      <c r="L5" s="59" t="s">
        <v>262</v>
      </c>
      <c r="N5" s="64">
        <v>0</v>
      </c>
    </row>
    <row r="6" spans="3:15" ht="22.75" thickBot="1" x14ac:dyDescent="0.45">
      <c r="C6" s="28" t="s">
        <v>263</v>
      </c>
      <c r="D6" s="52" t="s">
        <v>264</v>
      </c>
      <c r="E6" s="51"/>
      <c r="F6" s="57">
        <f>73645+7000</f>
        <v>80645</v>
      </c>
      <c r="G6" s="51"/>
      <c r="H6" s="51"/>
      <c r="I6" s="51"/>
      <c r="J6" s="57">
        <f>F6-42000-2000</f>
        <v>36645</v>
      </c>
      <c r="K6" s="57">
        <v>80645</v>
      </c>
      <c r="L6" s="58" t="s">
        <v>265</v>
      </c>
      <c r="N6" s="64">
        <f>42000+2000</f>
        <v>44000</v>
      </c>
    </row>
    <row r="7" spans="3:15" ht="37.299999999999997" thickBot="1" x14ac:dyDescent="0.45">
      <c r="D7" s="56" t="s">
        <v>266</v>
      </c>
      <c r="E7" s="55"/>
      <c r="F7" s="55"/>
      <c r="G7" s="54">
        <v>3627</v>
      </c>
      <c r="H7" s="55"/>
      <c r="I7" s="55"/>
      <c r="J7" s="54">
        <f>G7*0.5</f>
        <v>1813.5</v>
      </c>
      <c r="K7" s="54">
        <f>G7</f>
        <v>3627</v>
      </c>
      <c r="L7" s="53"/>
    </row>
    <row r="8" spans="3:15" ht="37.299999999999997" thickBot="1" x14ac:dyDescent="0.45">
      <c r="D8" s="52" t="s">
        <v>267</v>
      </c>
      <c r="E8" s="51"/>
      <c r="F8" s="51"/>
      <c r="G8" s="51"/>
      <c r="H8" s="51"/>
      <c r="I8" s="57" t="s">
        <v>268</v>
      </c>
      <c r="J8" s="57" t="s">
        <v>268</v>
      </c>
      <c r="K8" s="57" t="s">
        <v>268</v>
      </c>
      <c r="L8" s="50"/>
    </row>
    <row r="9" spans="3:15" ht="37.299999999999997" thickBot="1" x14ac:dyDescent="0.45">
      <c r="D9" s="56" t="s">
        <v>269</v>
      </c>
      <c r="E9" s="55"/>
      <c r="F9" s="55"/>
      <c r="G9" s="55"/>
      <c r="H9" s="55"/>
      <c r="I9" s="54">
        <v>44156</v>
      </c>
      <c r="J9" s="54">
        <f>I9-N9</f>
        <v>10962</v>
      </c>
      <c r="K9" s="54">
        <f>I9</f>
        <v>44156</v>
      </c>
      <c r="L9" s="58" t="s">
        <v>270</v>
      </c>
      <c r="N9" s="64">
        <v>33194</v>
      </c>
      <c r="O9" s="65">
        <f>N9/I9</f>
        <v>0.75174381737476226</v>
      </c>
    </row>
    <row r="10" spans="3:15" ht="22.75" thickBot="1" x14ac:dyDescent="0.45">
      <c r="C10" s="28" t="s">
        <v>271</v>
      </c>
      <c r="D10" s="52" t="s">
        <v>272</v>
      </c>
      <c r="E10" s="51"/>
      <c r="F10" s="51"/>
      <c r="G10" s="51"/>
      <c r="H10" s="57">
        <f>135368-50000</f>
        <v>85368</v>
      </c>
      <c r="I10" s="51"/>
      <c r="J10" s="57">
        <v>36376</v>
      </c>
      <c r="K10" s="57">
        <v>135368</v>
      </c>
      <c r="L10" s="58" t="s">
        <v>273</v>
      </c>
      <c r="N10" s="64">
        <v>98992</v>
      </c>
      <c r="O10" s="65">
        <f>J10/H10</f>
        <v>0.42610814356667603</v>
      </c>
    </row>
    <row r="11" spans="3:15" ht="22.75" thickBot="1" x14ac:dyDescent="0.45">
      <c r="D11" s="56" t="s">
        <v>274</v>
      </c>
      <c r="E11" s="55"/>
      <c r="F11" s="55"/>
      <c r="G11" s="54" t="s">
        <v>268</v>
      </c>
      <c r="H11" s="55"/>
      <c r="I11" s="55"/>
      <c r="J11" s="54" t="s">
        <v>268</v>
      </c>
      <c r="K11" s="54" t="s">
        <v>268</v>
      </c>
      <c r="L11" s="53"/>
    </row>
    <row r="12" spans="3:15" ht="22.75" thickBot="1" x14ac:dyDescent="0.45">
      <c r="D12" s="52" t="s">
        <v>275</v>
      </c>
      <c r="E12" s="51">
        <f t="shared" ref="E12:H12" si="0">SUM(E5:E11)</f>
        <v>180000</v>
      </c>
      <c r="F12" s="51">
        <f t="shared" si="0"/>
        <v>80645</v>
      </c>
      <c r="G12" s="51">
        <f t="shared" si="0"/>
        <v>3627</v>
      </c>
      <c r="H12" s="51">
        <f t="shared" si="0"/>
        <v>85368</v>
      </c>
      <c r="I12" s="51">
        <f>SUM(I5:I11)</f>
        <v>44156</v>
      </c>
      <c r="J12" s="67">
        <f>SUM(J5:J11)</f>
        <v>265796.5</v>
      </c>
      <c r="K12" s="67">
        <f>SUM(K5:K11)</f>
        <v>443796</v>
      </c>
      <c r="L12" s="50"/>
      <c r="N12" s="42"/>
    </row>
    <row r="13" spans="3:15" x14ac:dyDescent="0.4">
      <c r="N13" s="42">
        <f>H10-N10</f>
        <v>-13624</v>
      </c>
    </row>
    <row r="14" spans="3:15" x14ac:dyDescent="0.4">
      <c r="J14" s="68"/>
    </row>
    <row r="15" spans="3:15" x14ac:dyDescent="0.4">
      <c r="J15" s="69"/>
    </row>
    <row r="18" spans="7:12" x14ac:dyDescent="0.4">
      <c r="J18" s="64">
        <v>220000</v>
      </c>
      <c r="K18" t="s">
        <v>276</v>
      </c>
    </row>
    <row r="19" spans="7:12" x14ac:dyDescent="0.4">
      <c r="J19" s="64"/>
    </row>
    <row r="20" spans="7:12" x14ac:dyDescent="0.4">
      <c r="J20" s="64">
        <f>J12-J18</f>
        <v>45796.5</v>
      </c>
      <c r="K20" t="s">
        <v>215</v>
      </c>
    </row>
    <row r="21" spans="7:12" x14ac:dyDescent="0.4">
      <c r="J21" s="35">
        <f>J20/K12</f>
        <v>0.10319268312467891</v>
      </c>
      <c r="K21" s="3"/>
    </row>
    <row r="23" spans="7:12" x14ac:dyDescent="0.4">
      <c r="G23" s="3"/>
      <c r="J23" s="42"/>
    </row>
    <row r="25" spans="7:12" x14ac:dyDescent="0.4">
      <c r="J25" s="36"/>
      <c r="K25" s="36"/>
      <c r="L25" s="3"/>
    </row>
    <row r="28" spans="7:12" x14ac:dyDescent="0.4">
      <c r="K28" s="65"/>
      <c r="L28" s="65"/>
    </row>
  </sheetData>
  <phoneticPr fontId="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3794B-052C-4BF7-BB66-A17630E94FC1}">
  <dimension ref="A1:C4"/>
  <sheetViews>
    <sheetView workbookViewId="0">
      <selection activeCell="C3" sqref="C3"/>
    </sheetView>
  </sheetViews>
  <sheetFormatPr defaultRowHeight="14.6" x14ac:dyDescent="0.4"/>
  <sheetData>
    <row r="1" spans="1:3" x14ac:dyDescent="0.4">
      <c r="A1">
        <v>2626</v>
      </c>
    </row>
    <row r="2" spans="1:3" x14ac:dyDescent="0.4">
      <c r="A2">
        <v>150</v>
      </c>
      <c r="B2">
        <f>SUM(A2:A4)</f>
        <v>4357</v>
      </c>
      <c r="C2">
        <f>B2-A1</f>
        <v>1731</v>
      </c>
    </row>
    <row r="3" spans="1:3" x14ac:dyDescent="0.4">
      <c r="A3">
        <v>1545</v>
      </c>
    </row>
    <row r="4" spans="1:3" x14ac:dyDescent="0.4">
      <c r="A4">
        <v>2662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1e4fd71-5178-4e5e-84f7-f7be87856097">
      <Terms xmlns="http://schemas.microsoft.com/office/infopath/2007/PartnerControls"/>
    </lcf76f155ced4ddcb4097134ff3c332f>
    <TaxCatchAll xmlns="a2c2519f-3817-4763-94e7-8da098ddcb6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276970084BE64E89A7815098B8CA2F" ma:contentTypeVersion="15" ma:contentTypeDescription="Create a new document." ma:contentTypeScope="" ma:versionID="a758fbc2af8b47f6e8cc019ecdc8fcf8">
  <xsd:schema xmlns:xsd="http://www.w3.org/2001/XMLSchema" xmlns:xs="http://www.w3.org/2001/XMLSchema" xmlns:p="http://schemas.microsoft.com/office/2006/metadata/properties" xmlns:ns2="11e4fd71-5178-4e5e-84f7-f7be87856097" xmlns:ns3="a2c2519f-3817-4763-94e7-8da098ddcb68" targetNamespace="http://schemas.microsoft.com/office/2006/metadata/properties" ma:root="true" ma:fieldsID="bf5c9935f23ad0ab47528cd867576a07" ns2:_="" ns3:_="">
    <xsd:import namespace="11e4fd71-5178-4e5e-84f7-f7be87856097"/>
    <xsd:import namespace="a2c2519f-3817-4763-94e7-8da098ddcb6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e4fd71-5178-4e5e-84f7-f7be878560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f7a4434-80cb-4079-b7da-10560b6600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c2519f-3817-4763-94e7-8da098ddcb68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92bee2f0-2987-4278-96ea-2eb790e3afc1}" ma:internalName="TaxCatchAll" ma:showField="CatchAllData" ma:web="a2c2519f-3817-4763-94e7-8da098ddcb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538C017-ABF0-4C50-8210-05EC8E91298A}">
  <ds:schemaRefs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11e4fd71-5178-4e5e-84f7-f7be87856097"/>
    <ds:schemaRef ds:uri="http://purl.org/dc/elements/1.1/"/>
    <ds:schemaRef ds:uri="http://purl.org/dc/terms/"/>
    <ds:schemaRef ds:uri="a2c2519f-3817-4763-94e7-8da098ddcb68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392ED8F5-E90A-426D-8A99-929122FF42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1e4fd71-5178-4e5e-84f7-f7be87856097"/>
    <ds:schemaRef ds:uri="a2c2519f-3817-4763-94e7-8da098ddcb6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DDA2184-8841-43F9-B871-FB816F3D098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Expenses 2026</vt:lpstr>
      <vt:lpstr>Expenses 2025</vt:lpstr>
      <vt:lpstr>Expenses 2024</vt:lpstr>
      <vt:lpstr>Expenses 2023</vt:lpstr>
      <vt:lpstr>Model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Charles Batsford</dc:creator>
  <cp:keywords/>
  <dc:description/>
  <cp:lastModifiedBy>Paul Freeman</cp:lastModifiedBy>
  <cp:revision/>
  <dcterms:created xsi:type="dcterms:W3CDTF">2023-08-14T01:45:14Z</dcterms:created>
  <dcterms:modified xsi:type="dcterms:W3CDTF">2026-04-17T00:34:43Z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0x01010091276970084BE64E89A7815098B8CA2F</vt:lpwstr>
  </property>
</Properties>
</file>