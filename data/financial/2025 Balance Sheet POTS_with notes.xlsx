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aul  Home Dropbox\Paul Freeman\..Home Files\pfreeman\PDP\PulseOne\Operations\Finance\"/>
    </mc:Choice>
  </mc:AlternateContent>
  <xr:revisionPtr revIDLastSave="0" documentId="8_{EDE40C74-BBF0-4412-964D-05CE8E5AF22A}" xr6:coauthVersionLast="47" xr6:coauthVersionMax="47" xr10:uidLastSave="{00000000-0000-0000-0000-000000000000}"/>
  <bookViews>
    <workbookView xWindow="5794" yWindow="0" windowWidth="11803" windowHeight="17880" xr2:uid="{7B00C422-516F-4504-B6EF-DC142A41BF04}"/>
  </bookViews>
  <sheets>
    <sheet name="Sheet1" sheetId="1" r:id="rId1"/>
  </sheets>
  <definedNames>
    <definedName name="_xlnm.Print_Titles" localSheetId="0">Sheet1!$A:$E,Sheet1!$1:$1</definedName>
    <definedName name="QBCANSUPPORTUPDATE" localSheetId="0">FALSE</definedName>
    <definedName name="QBCOMPANYFILENAME" localSheetId="0">"C:\Users\RoderickHare\Documents\Quickbooks Backups\PulseOne Group, LLC\PulseOne Group, LLC.QBW"</definedName>
    <definedName name="QBENDDATE" localSheetId="0">20251231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"6e406bdf85a3464a8f405f0583021578"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9</definedName>
    <definedName name="QBREPORTSUBCOLAXIS" localSheetId="0">0</definedName>
    <definedName name="QBREPORTTYPE" localSheetId="0">5</definedName>
    <definedName name="QBROWHEADERS" localSheetId="0">5</definedName>
    <definedName name="QBSTARTDATE" localSheetId="0">20251231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1" l="1"/>
  <c r="F67" i="1"/>
  <c r="F59" i="1"/>
  <c r="F58" i="1"/>
  <c r="F57" i="1"/>
  <c r="F51" i="1"/>
  <c r="F46" i="1"/>
  <c r="F40" i="1"/>
  <c r="F39" i="1"/>
  <c r="F17" i="1"/>
  <c r="F16" i="1"/>
  <c r="F10" i="1"/>
  <c r="F7" i="1"/>
</calcChain>
</file>

<file path=xl/sharedStrings.xml><?xml version="1.0" encoding="utf-8"?>
<sst xmlns="http://schemas.openxmlformats.org/spreadsheetml/2006/main" count="71" uniqueCount="69">
  <si>
    <t>Dec 31, 25</t>
  </si>
  <si>
    <t>ASSETS</t>
  </si>
  <si>
    <t>Current Assets</t>
  </si>
  <si>
    <t>Checking/Savings</t>
  </si>
  <si>
    <t>American Riviera Bank</t>
  </si>
  <si>
    <t>Chase (PulseOne Group LLC)</t>
  </si>
  <si>
    <t>Total Checking/Savings</t>
  </si>
  <si>
    <t>Accounts Receivable</t>
  </si>
  <si>
    <t>Total Accounts Receivable</t>
  </si>
  <si>
    <t>Other Current Assets</t>
  </si>
  <si>
    <t>PulseOne Communications Expense</t>
  </si>
  <si>
    <t>PulseOne LLC (Tennessee)</t>
  </si>
  <si>
    <t>RepScheduler Costs Paid by POTS</t>
  </si>
  <si>
    <t>Undeposited Funds</t>
  </si>
  <si>
    <t>Total Other Current Assets</t>
  </si>
  <si>
    <t>Total Current Assets</t>
  </si>
  <si>
    <t>Other Assets</t>
  </si>
  <si>
    <t>Charles Batsford Draws [2019]</t>
  </si>
  <si>
    <t>Charles Batsford Draws [2020]</t>
  </si>
  <si>
    <t>Charles Batsford Draws [2021]</t>
  </si>
  <si>
    <t>Charles Batsford Draws [2022]</t>
  </si>
  <si>
    <t>Charles Batsford Draws [2023]</t>
  </si>
  <si>
    <t>Charles Batsford Draws [2024]</t>
  </si>
  <si>
    <t>Charles Batsford Draws [2025]</t>
  </si>
  <si>
    <t>Hero Tech Acquisition</t>
  </si>
  <si>
    <t>Paul Freeman Draws [2021]</t>
  </si>
  <si>
    <t>Paul Freeman Draws [2022]</t>
  </si>
  <si>
    <t>Paul Freeman Draws [2024]</t>
  </si>
  <si>
    <t>Paul Freeman Draws [2025]</t>
  </si>
  <si>
    <t>PulseIT Acquisition</t>
  </si>
  <si>
    <t>Roderick Hare Draws [2019]</t>
  </si>
  <si>
    <t>Roderick Hare Draws [2020]</t>
  </si>
  <si>
    <t>Roderick Hare Draws [2021]</t>
  </si>
  <si>
    <t>Roderick Hare Draws [2022]</t>
  </si>
  <si>
    <t>Roderick Hare Draws [2023]</t>
  </si>
  <si>
    <t>Roderick Hare Draws [2024]</t>
  </si>
  <si>
    <t>Roderick Hare Draws [2025]</t>
  </si>
  <si>
    <t>Total Other Assets</t>
  </si>
  <si>
    <t>TOTAL ASSETS</t>
  </si>
  <si>
    <t>LIABILITIES &amp; EQUITY</t>
  </si>
  <si>
    <t>Liabilities</t>
  </si>
  <si>
    <t>Current Liabilities</t>
  </si>
  <si>
    <t>Accounts Payable</t>
  </si>
  <si>
    <t>Total Accounts Payable</t>
  </si>
  <si>
    <t>Credit Cards</t>
  </si>
  <si>
    <t>American Express</t>
  </si>
  <si>
    <t>AMEX (PulseOne Batsford)</t>
  </si>
  <si>
    <t>AMEX (PulseOne Hare)</t>
  </si>
  <si>
    <t>Total Credit Cards</t>
  </si>
  <si>
    <t>Other Current Liabilities</t>
  </si>
  <si>
    <t>PulseOne (Tennessee) Loan</t>
  </si>
  <si>
    <t>Roderick Hare Loan</t>
  </si>
  <si>
    <t>Sales Tax Payable</t>
  </si>
  <si>
    <t>SBA Loan</t>
  </si>
  <si>
    <t>Total Other Current Liabilities</t>
  </si>
  <si>
    <t>Total Current Liabilities</t>
  </si>
  <si>
    <t>Total Liabilities</t>
  </si>
  <si>
    <t>Equity</t>
  </si>
  <si>
    <t>Chad Wiggins Equity</t>
  </si>
  <si>
    <t>Charles Batsford Equity</t>
  </si>
  <si>
    <t>Paul Freeman Equity</t>
  </si>
  <si>
    <t>Retained Earnings</t>
  </si>
  <si>
    <t>Roderick Hare Equity</t>
  </si>
  <si>
    <t>Net Income</t>
  </si>
  <si>
    <t>Total Equity</t>
  </si>
  <si>
    <t>TOTAL LIABILITIES &amp; EQUITY</t>
  </si>
  <si>
    <t>This adjusted down by 69K</t>
  </si>
  <si>
    <t>This adjusted down by 61K</t>
  </si>
  <si>
    <t>This adjusted down by 45K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</si>
</sst>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5" xfId="0" applyNumberFormat="1" applyFont="1" applyBorder="1"/>
    <xf numFmtId="164" fontId="1" fillId="0" borderId="4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9863-914C-42DF-882D-D75462293A2E}">
  <dimension ref="A1:H69"/>
  <sheetViews>
    <sheetView tabSelected="1" workbookViewId="0">
      <pane xSplit="5" ySplit="1" topLeftCell="F2" activePane="bottomRight" state="frozenSplit"/>
      <selection pane="topRight" activeCell="F1" sqref="F1"/>
      <selection pane="bottomLeft" activeCell="A2" sqref="A2"/>
      <selection pane="bottomRight" activeCell="H36" sqref="H36"/>
    </sheetView>
  </sheetViews>
  <sheetFormatPr defaultRowHeight="14.6" x14ac:dyDescent="0.4"/>
  <cols>
    <col min="1" max="4" width="3" style="7" customWidth="1"/>
    <col min="5" max="5" width="24.4609375" style="7" customWidth="1"/>
    <col min="6" max="6" width="21.61328125" customWidth="1"/>
    <col min="7" max="7" width="11.53515625" customWidth="1"/>
  </cols>
  <sheetData>
    <row r="1" spans="1:6" s="10" customFormat="1" ht="15" thickBot="1" x14ac:dyDescent="0.45">
      <c r="A1" s="8"/>
      <c r="B1" s="8"/>
      <c r="C1" s="8"/>
      <c r="D1" s="8"/>
      <c r="E1" s="8"/>
      <c r="F1" s="9" t="s">
        <v>0</v>
      </c>
    </row>
    <row r="2" spans="1:6" ht="15" thickTop="1" x14ac:dyDescent="0.4">
      <c r="A2" s="1" t="s">
        <v>1</v>
      </c>
      <c r="B2" s="1"/>
      <c r="C2" s="1"/>
      <c r="D2" s="1"/>
      <c r="E2" s="1"/>
      <c r="F2" s="2"/>
    </row>
    <row r="3" spans="1:6" x14ac:dyDescent="0.4">
      <c r="A3" s="1"/>
      <c r="B3" s="1" t="s">
        <v>2</v>
      </c>
      <c r="C3" s="1"/>
      <c r="D3" s="1"/>
      <c r="E3" s="1"/>
      <c r="F3" s="2"/>
    </row>
    <row r="4" spans="1:6" x14ac:dyDescent="0.4">
      <c r="A4" s="1"/>
      <c r="B4" s="1"/>
      <c r="C4" s="1" t="s">
        <v>3</v>
      </c>
      <c r="D4" s="1"/>
      <c r="E4" s="1"/>
      <c r="F4" s="2"/>
    </row>
    <row r="5" spans="1:6" x14ac:dyDescent="0.4">
      <c r="A5" s="1"/>
      <c r="B5" s="1"/>
      <c r="C5" s="1"/>
      <c r="D5" s="1" t="s">
        <v>4</v>
      </c>
      <c r="E5" s="1"/>
      <c r="F5" s="2">
        <v>76.540000000000006</v>
      </c>
    </row>
    <row r="6" spans="1:6" ht="15" thickBot="1" x14ac:dyDescent="0.45">
      <c r="A6" s="1"/>
      <c r="B6" s="1"/>
      <c r="C6" s="1"/>
      <c r="D6" s="1" t="s">
        <v>5</v>
      </c>
      <c r="E6" s="1"/>
      <c r="F6" s="3">
        <v>37777.56</v>
      </c>
    </row>
    <row r="7" spans="1:6" x14ac:dyDescent="0.4">
      <c r="A7" s="1"/>
      <c r="B7" s="1"/>
      <c r="C7" s="1" t="s">
        <v>6</v>
      </c>
      <c r="D7" s="1"/>
      <c r="E7" s="1"/>
      <c r="F7" s="2">
        <f>ROUND(SUM(F4:F6),5)</f>
        <v>37854.1</v>
      </c>
    </row>
    <row r="8" spans="1:6" x14ac:dyDescent="0.4">
      <c r="A8" s="1"/>
      <c r="B8" s="1"/>
      <c r="C8" s="1" t="s">
        <v>7</v>
      </c>
      <c r="D8" s="1"/>
      <c r="E8" s="1"/>
      <c r="F8" s="2"/>
    </row>
    <row r="9" spans="1:6" ht="15" thickBot="1" x14ac:dyDescent="0.45">
      <c r="A9" s="1"/>
      <c r="B9" s="1"/>
      <c r="C9" s="1"/>
      <c r="D9" s="1" t="s">
        <v>7</v>
      </c>
      <c r="E9" s="1"/>
      <c r="F9" s="3">
        <v>-24713.58</v>
      </c>
    </row>
    <row r="10" spans="1:6" x14ac:dyDescent="0.4">
      <c r="A10" s="1"/>
      <c r="B10" s="1"/>
      <c r="C10" s="1" t="s">
        <v>8</v>
      </c>
      <c r="D10" s="1"/>
      <c r="E10" s="1"/>
      <c r="F10" s="2">
        <f>ROUND(SUM(F8:F9),5)</f>
        <v>-24713.58</v>
      </c>
    </row>
    <row r="11" spans="1:6" x14ac:dyDescent="0.4">
      <c r="A11" s="1"/>
      <c r="B11" s="1"/>
      <c r="C11" s="1" t="s">
        <v>9</v>
      </c>
      <c r="D11" s="1"/>
      <c r="E11" s="1"/>
      <c r="F11" s="2"/>
    </row>
    <row r="12" spans="1:6" x14ac:dyDescent="0.4">
      <c r="A12" s="1"/>
      <c r="B12" s="1"/>
      <c r="C12" s="1"/>
      <c r="D12" s="1" t="s">
        <v>10</v>
      </c>
      <c r="E12" s="1"/>
      <c r="F12" s="2">
        <v>34383.769999999997</v>
      </c>
    </row>
    <row r="13" spans="1:6" x14ac:dyDescent="0.4">
      <c r="A13" s="1"/>
      <c r="B13" s="1"/>
      <c r="C13" s="1"/>
      <c r="D13" s="1" t="s">
        <v>11</v>
      </c>
      <c r="E13" s="1"/>
      <c r="F13" s="2">
        <v>1436.75</v>
      </c>
    </row>
    <row r="14" spans="1:6" x14ac:dyDescent="0.4">
      <c r="A14" s="1"/>
      <c r="B14" s="1"/>
      <c r="C14" s="1"/>
      <c r="D14" s="1" t="s">
        <v>12</v>
      </c>
      <c r="E14" s="1"/>
      <c r="F14" s="2">
        <v>43878.03</v>
      </c>
    </row>
    <row r="15" spans="1:6" ht="15" thickBot="1" x14ac:dyDescent="0.45">
      <c r="A15" s="1"/>
      <c r="B15" s="1"/>
      <c r="C15" s="1"/>
      <c r="D15" s="1" t="s">
        <v>13</v>
      </c>
      <c r="E15" s="1"/>
      <c r="F15" s="2">
        <v>-429.88</v>
      </c>
    </row>
    <row r="16" spans="1:6" ht="15" thickBot="1" x14ac:dyDescent="0.45">
      <c r="A16" s="1"/>
      <c r="B16" s="1"/>
      <c r="C16" s="1" t="s">
        <v>14</v>
      </c>
      <c r="D16" s="1"/>
      <c r="E16" s="1"/>
      <c r="F16" s="4">
        <f>ROUND(SUM(F11:F15),5)</f>
        <v>79268.67</v>
      </c>
    </row>
    <row r="17" spans="1:8" x14ac:dyDescent="0.4">
      <c r="A17" s="1"/>
      <c r="B17" s="1" t="s">
        <v>15</v>
      </c>
      <c r="C17" s="1"/>
      <c r="D17" s="1"/>
      <c r="E17" s="1"/>
      <c r="F17" s="2">
        <f>ROUND(F3+F7+F10+F16,5)</f>
        <v>92409.19</v>
      </c>
    </row>
    <row r="18" spans="1:8" x14ac:dyDescent="0.4">
      <c r="A18" s="1"/>
      <c r="B18" s="1" t="s">
        <v>16</v>
      </c>
      <c r="C18" s="1"/>
      <c r="D18" s="1"/>
      <c r="E18" s="1"/>
      <c r="F18" s="2"/>
      <c r="G18">
        <v>2022</v>
      </c>
    </row>
    <row r="19" spans="1:8" x14ac:dyDescent="0.4">
      <c r="A19" s="1"/>
      <c r="B19" s="1"/>
      <c r="C19" s="1" t="s">
        <v>17</v>
      </c>
      <c r="D19" s="1"/>
      <c r="E19" s="1"/>
      <c r="F19" s="2">
        <v>127912.6</v>
      </c>
      <c r="G19" s="2">
        <v>127912.6</v>
      </c>
    </row>
    <row r="20" spans="1:8" x14ac:dyDescent="0.4">
      <c r="A20" s="1"/>
      <c r="B20" s="1"/>
      <c r="C20" s="1" t="s">
        <v>18</v>
      </c>
      <c r="D20" s="1"/>
      <c r="E20" s="1"/>
      <c r="F20" s="2">
        <v>124306.38</v>
      </c>
      <c r="G20" s="2">
        <v>124306.38</v>
      </c>
    </row>
    <row r="21" spans="1:8" x14ac:dyDescent="0.4">
      <c r="A21" s="1"/>
      <c r="B21" s="1"/>
      <c r="C21" s="1" t="s">
        <v>19</v>
      </c>
      <c r="D21" s="1"/>
      <c r="E21" s="1"/>
      <c r="F21" s="2">
        <v>96723.23</v>
      </c>
      <c r="G21" s="2">
        <v>96723.23</v>
      </c>
    </row>
    <row r="22" spans="1:8" x14ac:dyDescent="0.4">
      <c r="A22" s="1"/>
      <c r="B22" s="1"/>
      <c r="C22" s="1" t="s">
        <v>20</v>
      </c>
      <c r="D22" s="1"/>
      <c r="E22" s="1"/>
      <c r="F22" s="2">
        <v>120284.21</v>
      </c>
      <c r="G22" s="2">
        <v>181196.26</v>
      </c>
      <c r="H22" t="s">
        <v>67</v>
      </c>
    </row>
    <row r="23" spans="1:8" x14ac:dyDescent="0.4">
      <c r="A23" s="1"/>
      <c r="B23" s="1"/>
      <c r="C23" s="1" t="s">
        <v>21</v>
      </c>
      <c r="D23" s="1"/>
      <c r="E23" s="1"/>
      <c r="F23" s="2">
        <v>114633.62</v>
      </c>
    </row>
    <row r="24" spans="1:8" x14ac:dyDescent="0.4">
      <c r="A24" s="1"/>
      <c r="B24" s="1"/>
      <c r="C24" s="1" t="s">
        <v>22</v>
      </c>
      <c r="D24" s="1"/>
      <c r="E24" s="1"/>
      <c r="F24" s="2">
        <v>118828.21</v>
      </c>
    </row>
    <row r="25" spans="1:8" x14ac:dyDescent="0.4">
      <c r="A25" s="1"/>
      <c r="B25" s="1"/>
      <c r="C25" s="1" t="s">
        <v>23</v>
      </c>
      <c r="D25" s="1"/>
      <c r="E25" s="1"/>
      <c r="F25" s="2">
        <v>124242.89</v>
      </c>
    </row>
    <row r="26" spans="1:8" x14ac:dyDescent="0.4">
      <c r="A26" s="1"/>
      <c r="B26" s="1"/>
      <c r="C26" s="1" t="s">
        <v>24</v>
      </c>
      <c r="D26" s="1"/>
      <c r="E26" s="1"/>
      <c r="F26" s="2">
        <v>71662.8</v>
      </c>
    </row>
    <row r="27" spans="1:8" x14ac:dyDescent="0.4">
      <c r="A27" s="1"/>
      <c r="B27" s="1"/>
      <c r="C27" s="1" t="s">
        <v>25</v>
      </c>
      <c r="D27" s="1"/>
      <c r="E27" s="1"/>
      <c r="F27" s="2">
        <v>2060.9499999999998</v>
      </c>
      <c r="G27" s="2">
        <v>2060.9499999999998</v>
      </c>
    </row>
    <row r="28" spans="1:8" x14ac:dyDescent="0.4">
      <c r="A28" s="1"/>
      <c r="B28" s="1"/>
      <c r="C28" s="1" t="s">
        <v>26</v>
      </c>
      <c r="D28" s="1"/>
      <c r="E28" s="1"/>
      <c r="F28" s="2">
        <v>30000</v>
      </c>
      <c r="G28" s="2">
        <v>99711.45</v>
      </c>
      <c r="H28" t="s">
        <v>66</v>
      </c>
    </row>
    <row r="29" spans="1:8" x14ac:dyDescent="0.4">
      <c r="A29" s="1"/>
      <c r="B29" s="1"/>
      <c r="C29" s="1" t="s">
        <v>27</v>
      </c>
      <c r="D29" s="1"/>
      <c r="E29" s="1"/>
      <c r="F29" s="2">
        <v>76000</v>
      </c>
    </row>
    <row r="30" spans="1:8" x14ac:dyDescent="0.4">
      <c r="A30" s="1"/>
      <c r="B30" s="1"/>
      <c r="C30" s="1" t="s">
        <v>28</v>
      </c>
      <c r="D30" s="1"/>
      <c r="E30" s="1"/>
      <c r="F30" s="2">
        <v>96000</v>
      </c>
    </row>
    <row r="31" spans="1:8" x14ac:dyDescent="0.4">
      <c r="A31" s="1"/>
      <c r="B31" s="1"/>
      <c r="C31" s="1" t="s">
        <v>29</v>
      </c>
      <c r="D31" s="1"/>
      <c r="E31" s="1"/>
      <c r="F31" s="2">
        <v>19825.66</v>
      </c>
    </row>
    <row r="32" spans="1:8" x14ac:dyDescent="0.4">
      <c r="A32" s="1"/>
      <c r="B32" s="1"/>
      <c r="C32" s="1" t="s">
        <v>30</v>
      </c>
      <c r="D32" s="1"/>
      <c r="E32" s="1"/>
      <c r="F32" s="2">
        <v>97293.66</v>
      </c>
      <c r="G32" s="2">
        <v>97293.66</v>
      </c>
    </row>
    <row r="33" spans="1:8" x14ac:dyDescent="0.4">
      <c r="A33" s="1"/>
      <c r="B33" s="1"/>
      <c r="C33" s="1" t="s">
        <v>31</v>
      </c>
      <c r="D33" s="1"/>
      <c r="E33" s="1"/>
      <c r="F33" s="2">
        <v>97439.47</v>
      </c>
      <c r="G33" s="2">
        <v>97439.47</v>
      </c>
    </row>
    <row r="34" spans="1:8" x14ac:dyDescent="0.4">
      <c r="A34" s="1"/>
      <c r="B34" s="1"/>
      <c r="C34" s="1" t="s">
        <v>32</v>
      </c>
      <c r="D34" s="1"/>
      <c r="E34" s="1"/>
      <c r="F34" s="2">
        <v>93183.49</v>
      </c>
      <c r="G34" s="2">
        <v>93183.49</v>
      </c>
    </row>
    <row r="35" spans="1:8" x14ac:dyDescent="0.4">
      <c r="A35" s="1"/>
      <c r="B35" s="1"/>
      <c r="C35" s="1" t="s">
        <v>33</v>
      </c>
      <c r="D35" s="1"/>
      <c r="E35" s="1"/>
      <c r="F35" s="2">
        <v>171097.61</v>
      </c>
      <c r="G35" s="2">
        <v>216542.38</v>
      </c>
      <c r="H35" t="s">
        <v>68</v>
      </c>
    </row>
    <row r="36" spans="1:8" x14ac:dyDescent="0.4">
      <c r="A36" s="1"/>
      <c r="B36" s="1"/>
      <c r="C36" s="1" t="s">
        <v>34</v>
      </c>
      <c r="D36" s="1"/>
      <c r="E36" s="1"/>
      <c r="F36" s="2">
        <v>116823.24</v>
      </c>
    </row>
    <row r="37" spans="1:8" x14ac:dyDescent="0.4">
      <c r="A37" s="1"/>
      <c r="B37" s="1"/>
      <c r="C37" s="1" t="s">
        <v>35</v>
      </c>
      <c r="D37" s="1"/>
      <c r="E37" s="1"/>
      <c r="F37" s="2">
        <v>117478.14</v>
      </c>
    </row>
    <row r="38" spans="1:8" ht="15" thickBot="1" x14ac:dyDescent="0.45">
      <c r="A38" s="1"/>
      <c r="B38" s="1"/>
      <c r="C38" s="1" t="s">
        <v>36</v>
      </c>
      <c r="D38" s="1"/>
      <c r="E38" s="1"/>
      <c r="F38" s="2">
        <v>108775.85</v>
      </c>
    </row>
    <row r="39" spans="1:8" ht="15" thickBot="1" x14ac:dyDescent="0.45">
      <c r="A39" s="1"/>
      <c r="B39" s="1" t="s">
        <v>37</v>
      </c>
      <c r="C39" s="1"/>
      <c r="D39" s="1"/>
      <c r="E39" s="1"/>
      <c r="F39" s="5">
        <f>ROUND(SUM(F18:F38),5)</f>
        <v>1924572.01</v>
      </c>
    </row>
    <row r="40" spans="1:8" s="7" customFormat="1" ht="10.75" thickBot="1" x14ac:dyDescent="0.3">
      <c r="A40" s="1" t="s">
        <v>38</v>
      </c>
      <c r="B40" s="1"/>
      <c r="C40" s="1"/>
      <c r="D40" s="1"/>
      <c r="E40" s="1"/>
      <c r="F40" s="6">
        <f>ROUND(F2+F17+F39,5)</f>
        <v>2016981.2</v>
      </c>
    </row>
    <row r="41" spans="1:8" ht="15" thickTop="1" x14ac:dyDescent="0.4">
      <c r="A41" s="1" t="s">
        <v>39</v>
      </c>
      <c r="B41" s="1"/>
      <c r="C41" s="1"/>
      <c r="D41" s="1"/>
      <c r="E41" s="1"/>
      <c r="F41" s="2"/>
    </row>
    <row r="42" spans="1:8" x14ac:dyDescent="0.4">
      <c r="A42" s="1"/>
      <c r="B42" s="1" t="s">
        <v>40</v>
      </c>
      <c r="C42" s="1"/>
      <c r="D42" s="1"/>
      <c r="E42" s="1"/>
      <c r="F42" s="2"/>
    </row>
    <row r="43" spans="1:8" x14ac:dyDescent="0.4">
      <c r="A43" s="1"/>
      <c r="B43" s="1"/>
      <c r="C43" s="1" t="s">
        <v>41</v>
      </c>
      <c r="D43" s="1"/>
      <c r="E43" s="1"/>
      <c r="F43" s="2"/>
    </row>
    <row r="44" spans="1:8" x14ac:dyDescent="0.4">
      <c r="A44" s="1"/>
      <c r="B44" s="1"/>
      <c r="C44" s="1"/>
      <c r="D44" s="1" t="s">
        <v>42</v>
      </c>
      <c r="E44" s="1"/>
      <c r="F44" s="2"/>
    </row>
    <row r="45" spans="1:8" ht="15" thickBot="1" x14ac:dyDescent="0.45">
      <c r="A45" s="1"/>
      <c r="B45" s="1"/>
      <c r="C45" s="1"/>
      <c r="D45" s="1"/>
      <c r="E45" s="1" t="s">
        <v>42</v>
      </c>
      <c r="F45" s="3">
        <v>280702.3</v>
      </c>
    </row>
    <row r="46" spans="1:8" x14ac:dyDescent="0.4">
      <c r="A46" s="1"/>
      <c r="B46" s="1"/>
      <c r="C46" s="1"/>
      <c r="D46" s="1" t="s">
        <v>43</v>
      </c>
      <c r="E46" s="1"/>
      <c r="F46" s="2">
        <f>ROUND(SUM(F44:F45),5)</f>
        <v>280702.3</v>
      </c>
    </row>
    <row r="47" spans="1:8" x14ac:dyDescent="0.4">
      <c r="A47" s="1"/>
      <c r="B47" s="1"/>
      <c r="C47" s="1"/>
      <c r="D47" s="1" t="s">
        <v>44</v>
      </c>
      <c r="E47" s="1"/>
      <c r="F47" s="2"/>
    </row>
    <row r="48" spans="1:8" x14ac:dyDescent="0.4">
      <c r="A48" s="1"/>
      <c r="B48" s="1"/>
      <c r="C48" s="1"/>
      <c r="D48" s="1"/>
      <c r="E48" s="1" t="s">
        <v>45</v>
      </c>
      <c r="F48" s="2">
        <v>115434.12</v>
      </c>
    </row>
    <row r="49" spans="1:6" x14ac:dyDescent="0.4">
      <c r="A49" s="1"/>
      <c r="B49" s="1"/>
      <c r="C49" s="1"/>
      <c r="D49" s="1"/>
      <c r="E49" s="1" t="s">
        <v>46</v>
      </c>
      <c r="F49" s="2">
        <v>122496.01</v>
      </c>
    </row>
    <row r="50" spans="1:6" ht="15" thickBot="1" x14ac:dyDescent="0.45">
      <c r="A50" s="1"/>
      <c r="B50" s="1"/>
      <c r="C50" s="1"/>
      <c r="D50" s="1"/>
      <c r="E50" s="1" t="s">
        <v>47</v>
      </c>
      <c r="F50" s="3">
        <v>350</v>
      </c>
    </row>
    <row r="51" spans="1:6" x14ac:dyDescent="0.4">
      <c r="A51" s="1"/>
      <c r="B51" s="1"/>
      <c r="C51" s="1"/>
      <c r="D51" s="1" t="s">
        <v>48</v>
      </c>
      <c r="E51" s="1"/>
      <c r="F51" s="2">
        <f>ROUND(SUM(F47:F50),5)</f>
        <v>238280.13</v>
      </c>
    </row>
    <row r="52" spans="1:6" x14ac:dyDescent="0.4">
      <c r="A52" s="1"/>
      <c r="B52" s="1"/>
      <c r="C52" s="1"/>
      <c r="D52" s="1" t="s">
        <v>49</v>
      </c>
      <c r="E52" s="1"/>
      <c r="F52" s="2"/>
    </row>
    <row r="53" spans="1:6" x14ac:dyDescent="0.4">
      <c r="A53" s="1"/>
      <c r="B53" s="1"/>
      <c r="C53" s="1"/>
      <c r="D53" s="1"/>
      <c r="E53" s="1" t="s">
        <v>50</v>
      </c>
      <c r="F53" s="2">
        <v>171000</v>
      </c>
    </row>
    <row r="54" spans="1:6" x14ac:dyDescent="0.4">
      <c r="A54" s="1"/>
      <c r="B54" s="1"/>
      <c r="C54" s="1"/>
      <c r="D54" s="1"/>
      <c r="E54" s="1" t="s">
        <v>51</v>
      </c>
      <c r="F54" s="2">
        <v>43510.46</v>
      </c>
    </row>
    <row r="55" spans="1:6" x14ac:dyDescent="0.4">
      <c r="A55" s="1"/>
      <c r="B55" s="1"/>
      <c r="C55" s="1"/>
      <c r="D55" s="1"/>
      <c r="E55" s="1" t="s">
        <v>52</v>
      </c>
      <c r="F55" s="2">
        <v>26423.45</v>
      </c>
    </row>
    <row r="56" spans="1:6" ht="15" thickBot="1" x14ac:dyDescent="0.45">
      <c r="A56" s="1"/>
      <c r="B56" s="1"/>
      <c r="C56" s="1"/>
      <c r="D56" s="1"/>
      <c r="E56" s="1" t="s">
        <v>53</v>
      </c>
      <c r="F56" s="2">
        <v>137643</v>
      </c>
    </row>
    <row r="57" spans="1:6" ht="15" thickBot="1" x14ac:dyDescent="0.45">
      <c r="A57" s="1"/>
      <c r="B57" s="1"/>
      <c r="C57" s="1"/>
      <c r="D57" s="1" t="s">
        <v>54</v>
      </c>
      <c r="E57" s="1"/>
      <c r="F57" s="5">
        <f>ROUND(SUM(F52:F56),5)</f>
        <v>378576.91</v>
      </c>
    </row>
    <row r="58" spans="1:6" ht="15" thickBot="1" x14ac:dyDescent="0.45">
      <c r="A58" s="1"/>
      <c r="B58" s="1"/>
      <c r="C58" s="1" t="s">
        <v>55</v>
      </c>
      <c r="D58" s="1"/>
      <c r="E58" s="1"/>
      <c r="F58" s="4">
        <f>ROUND(F43+F46+F51+F57,5)</f>
        <v>897559.34</v>
      </c>
    </row>
    <row r="59" spans="1:6" x14ac:dyDescent="0.4">
      <c r="A59" s="1"/>
      <c r="B59" s="1" t="s">
        <v>56</v>
      </c>
      <c r="C59" s="1"/>
      <c r="D59" s="1"/>
      <c r="E59" s="1"/>
      <c r="F59" s="2">
        <f>ROUND(F42+F58,5)</f>
        <v>897559.34</v>
      </c>
    </row>
    <row r="60" spans="1:6" x14ac:dyDescent="0.4">
      <c r="A60" s="1"/>
      <c r="B60" s="1" t="s">
        <v>57</v>
      </c>
      <c r="C60" s="1"/>
      <c r="D60" s="1"/>
      <c r="E60" s="1"/>
      <c r="F60" s="2"/>
    </row>
    <row r="61" spans="1:6" x14ac:dyDescent="0.4">
      <c r="A61" s="1"/>
      <c r="B61" s="1"/>
      <c r="C61" s="1" t="s">
        <v>58</v>
      </c>
      <c r="D61" s="1"/>
      <c r="E61" s="1"/>
      <c r="F61" s="2">
        <v>101818.5</v>
      </c>
    </row>
    <row r="62" spans="1:6" x14ac:dyDescent="0.4">
      <c r="A62" s="1"/>
      <c r="B62" s="1"/>
      <c r="C62" s="1" t="s">
        <v>59</v>
      </c>
      <c r="D62" s="1"/>
      <c r="E62" s="1"/>
      <c r="F62" s="2">
        <v>305705.51</v>
      </c>
    </row>
    <row r="63" spans="1:6" x14ac:dyDescent="0.4">
      <c r="A63" s="1"/>
      <c r="B63" s="1"/>
      <c r="C63" s="1" t="s">
        <v>60</v>
      </c>
      <c r="D63" s="1"/>
      <c r="E63" s="1"/>
      <c r="F63" s="2">
        <v>305455.51</v>
      </c>
    </row>
    <row r="64" spans="1:6" x14ac:dyDescent="0.4">
      <c r="A64" s="1"/>
      <c r="B64" s="1"/>
      <c r="C64" s="1" t="s">
        <v>61</v>
      </c>
      <c r="D64" s="1"/>
      <c r="E64" s="1"/>
      <c r="F64" s="2">
        <v>-117038.08</v>
      </c>
    </row>
    <row r="65" spans="1:6" x14ac:dyDescent="0.4">
      <c r="A65" s="1"/>
      <c r="B65" s="1"/>
      <c r="C65" s="1" t="s">
        <v>62</v>
      </c>
      <c r="D65" s="1"/>
      <c r="E65" s="1"/>
      <c r="F65" s="2">
        <v>305705.51</v>
      </c>
    </row>
    <row r="66" spans="1:6" ht="15" thickBot="1" x14ac:dyDescent="0.45">
      <c r="A66" s="1"/>
      <c r="B66" s="1"/>
      <c r="C66" s="1" t="s">
        <v>63</v>
      </c>
      <c r="D66" s="1"/>
      <c r="E66" s="1"/>
      <c r="F66" s="2">
        <v>217774.91</v>
      </c>
    </row>
    <row r="67" spans="1:6" ht="15" thickBot="1" x14ac:dyDescent="0.45">
      <c r="A67" s="1"/>
      <c r="B67" s="1" t="s">
        <v>64</v>
      </c>
      <c r="C67" s="1"/>
      <c r="D67" s="1"/>
      <c r="E67" s="1"/>
      <c r="F67" s="5">
        <f>ROUND(SUM(F60:F66),5)</f>
        <v>1119421.8600000001</v>
      </c>
    </row>
    <row r="68" spans="1:6" s="7" customFormat="1" ht="10.75" thickBot="1" x14ac:dyDescent="0.3">
      <c r="A68" s="1" t="s">
        <v>65</v>
      </c>
      <c r="B68" s="1"/>
      <c r="C68" s="1"/>
      <c r="D68" s="1"/>
      <c r="E68" s="1"/>
      <c r="F68" s="6">
        <f>ROUND(F41+F59+F67,5)</f>
        <v>2016981.2</v>
      </c>
    </row>
    <row r="69" spans="1:6" ht="15" thickTop="1" x14ac:dyDescent="0.4"/>
  </sheetData>
  <pageMargins left="0.7" right="0.7" top="0.75" bottom="0.75" header="0.1" footer="0.3"/>
  <pageSetup orientation="portrait" r:id="rId1"/>
  <headerFooter>
    <oddHeader>&amp;L&amp;"Arial,Bold"&amp;8 12:34 PM
&amp;"Arial,Bold"&amp;8 03/12/26
&amp;"Arial,Bold"&amp;8 Accrual Basis&amp;C&amp;"Arial,Bold"&amp;12 PulseOne Group, LLC
&amp;"Arial,Bold"&amp;14 Balance Sheet
&amp;"Arial,Bold"&amp;10 As of December 31, 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Hare</dc:creator>
  <cp:lastModifiedBy>Paul Freeman</cp:lastModifiedBy>
  <dcterms:created xsi:type="dcterms:W3CDTF">2026-03-12T17:34:28Z</dcterms:created>
  <dcterms:modified xsi:type="dcterms:W3CDTF">2026-03-23T00:59:15Z</dcterms:modified>
</cp:coreProperties>
</file>