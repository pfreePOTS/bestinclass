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erickHare\AppData\Local\Temp\"/>
    </mc:Choice>
  </mc:AlternateContent>
  <xr:revisionPtr revIDLastSave="0" documentId="13_ncr:1_{D7243F6B-758C-4EA9-BEDC-5A0E4D957F26}" xr6:coauthVersionLast="47" xr6:coauthVersionMax="47" xr10:uidLastSave="{00000000-0000-0000-0000-000000000000}"/>
  <bookViews>
    <workbookView xWindow="-108" yWindow="-108" windowWidth="23256" windowHeight="12456" xr2:uid="{D3D20C65-55D9-4740-95ED-E3C8DA169397}"/>
  </bookViews>
  <sheets>
    <sheet name="Sheet1" sheetId="1" r:id="rId1"/>
  </sheets>
  <definedNames>
    <definedName name="_xlnm.Print_Titles" localSheetId="0">Sheet1!$A:$F,Sheet1!$1:$1</definedName>
    <definedName name="QBCANSUPPORTUPDATE" localSheetId="0">FALSE</definedName>
    <definedName name="QBCOMPANYFILENAME" localSheetId="0">"C:\Users\RoderickHare\Documents\Quickbooks Backups\PulseOne Group, LLC\PulseOne Group, LLC.QBW"</definedName>
    <definedName name="QBENDDATE" localSheetId="0">20241231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8</definedName>
    <definedName name="QBREPORTCOMPANYID" localSheetId="0">"6e406bdf85a3464a8f405f0583021578"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11</definedName>
    <definedName name="QBREPORTSUBCOLAXIS" localSheetId="0">0</definedName>
    <definedName name="QBREPORTTYPE" localSheetId="0">0</definedName>
    <definedName name="QBROWHEADERS" localSheetId="0">6</definedName>
    <definedName name="QBSTARTDATE" localSheetId="0">20220101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1" i="1" l="1"/>
  <c r="K111" i="1"/>
  <c r="I111" i="1"/>
  <c r="G111" i="1"/>
  <c r="M110" i="1"/>
  <c r="K110" i="1"/>
  <c r="I110" i="1"/>
  <c r="G110" i="1"/>
  <c r="M109" i="1"/>
  <c r="K109" i="1"/>
  <c r="I109" i="1"/>
  <c r="G109" i="1"/>
  <c r="M108" i="1"/>
  <c r="M107" i="1"/>
  <c r="M106" i="1"/>
  <c r="M105" i="1"/>
  <c r="K105" i="1"/>
  <c r="I105" i="1"/>
  <c r="G105" i="1"/>
  <c r="M104" i="1"/>
  <c r="M103" i="1"/>
  <c r="M102" i="1"/>
  <c r="M101" i="1"/>
  <c r="M99" i="1"/>
  <c r="M98" i="1"/>
  <c r="K98" i="1"/>
  <c r="I98" i="1"/>
  <c r="G98" i="1"/>
  <c r="M97" i="1"/>
  <c r="M96" i="1"/>
  <c r="M94" i="1"/>
  <c r="M93" i="1"/>
  <c r="M92" i="1"/>
  <c r="M91" i="1"/>
  <c r="K91" i="1"/>
  <c r="I91" i="1"/>
  <c r="G91" i="1"/>
  <c r="M90" i="1"/>
  <c r="M89" i="1"/>
  <c r="M88" i="1"/>
  <c r="M86" i="1"/>
  <c r="M85" i="1"/>
  <c r="M84" i="1"/>
  <c r="M83" i="1"/>
  <c r="M82" i="1"/>
  <c r="M81" i="1"/>
  <c r="M80" i="1"/>
  <c r="M79" i="1"/>
  <c r="K79" i="1"/>
  <c r="I79" i="1"/>
  <c r="G79" i="1"/>
  <c r="M78" i="1"/>
  <c r="M77" i="1"/>
  <c r="M76" i="1"/>
  <c r="M74" i="1"/>
  <c r="M73" i="1"/>
  <c r="M72" i="1"/>
  <c r="M71" i="1"/>
  <c r="M70" i="1"/>
  <c r="M69" i="1"/>
  <c r="K69" i="1"/>
  <c r="I69" i="1"/>
  <c r="G69" i="1"/>
  <c r="M68" i="1"/>
  <c r="M67" i="1"/>
  <c r="M65" i="1"/>
  <c r="M64" i="1"/>
  <c r="M63" i="1"/>
  <c r="K63" i="1"/>
  <c r="I63" i="1"/>
  <c r="G63" i="1"/>
  <c r="M62" i="1"/>
  <c r="M61" i="1"/>
  <c r="M60" i="1"/>
  <c r="M59" i="1"/>
  <c r="M58" i="1"/>
  <c r="M57" i="1"/>
  <c r="M56" i="1"/>
  <c r="M55" i="1"/>
  <c r="M54" i="1"/>
  <c r="M53" i="1"/>
  <c r="M51" i="1"/>
  <c r="M50" i="1"/>
  <c r="M49" i="1"/>
  <c r="M48" i="1"/>
  <c r="K48" i="1"/>
  <c r="I48" i="1"/>
  <c r="G48" i="1"/>
  <c r="M47" i="1"/>
  <c r="M46" i="1"/>
  <c r="M44" i="1"/>
  <c r="M43" i="1"/>
  <c r="M41" i="1"/>
  <c r="K41" i="1"/>
  <c r="I41" i="1"/>
  <c r="G41" i="1"/>
  <c r="M40" i="1"/>
  <c r="K40" i="1"/>
  <c r="I40" i="1"/>
  <c r="G40" i="1"/>
  <c r="M39" i="1"/>
  <c r="K39" i="1"/>
  <c r="I39" i="1"/>
  <c r="G39" i="1"/>
  <c r="M38" i="1"/>
  <c r="M37" i="1"/>
  <c r="M36" i="1"/>
  <c r="M35" i="1"/>
  <c r="M34" i="1"/>
  <c r="M33" i="1"/>
  <c r="M32" i="1"/>
  <c r="M31" i="1"/>
  <c r="M29" i="1"/>
  <c r="K29" i="1"/>
  <c r="I29" i="1"/>
  <c r="G29" i="1"/>
  <c r="M28" i="1"/>
  <c r="M27" i="1"/>
  <c r="M25" i="1"/>
  <c r="M24" i="1"/>
  <c r="M23" i="1"/>
  <c r="M22" i="1"/>
  <c r="K22" i="1"/>
  <c r="I22" i="1"/>
  <c r="G22" i="1"/>
  <c r="M21" i="1"/>
  <c r="M20" i="1"/>
  <c r="M19" i="1"/>
  <c r="M18" i="1"/>
  <c r="M17" i="1"/>
  <c r="M15" i="1"/>
  <c r="M13" i="1"/>
  <c r="K13" i="1"/>
  <c r="I13" i="1"/>
  <c r="G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<sst xmlns="http://schemas.openxmlformats.org/spreadsheetml/2006/main" count="114" uniqueCount="114">
  <si>
    <t>Jan - Dec 22</t>
  </si>
  <si>
    <t>Jan - Dec 23</t>
  </si>
  <si>
    <t>Jan - Dec 24</t>
  </si>
  <si>
    <t>TOTAL</t>
  </si>
  <si>
    <t>Ordinary Income/Expense</t>
  </si>
  <si>
    <t>Income</t>
  </si>
  <si>
    <t>Agreement Licenses</t>
  </si>
  <si>
    <t>Consulting Income</t>
  </si>
  <si>
    <t>Installation Income</t>
  </si>
  <si>
    <t>IT Managed Services</t>
  </si>
  <si>
    <t>Recycling Fees</t>
  </si>
  <si>
    <t>Sales - Hardware</t>
  </si>
  <si>
    <t>Sales - Software</t>
  </si>
  <si>
    <t>Sales - Support and Maintenance</t>
  </si>
  <si>
    <t>Shipping and Delivery Income</t>
  </si>
  <si>
    <t>Total Income</t>
  </si>
  <si>
    <t>Cost of Goods Sold</t>
  </si>
  <si>
    <t>Agreement License Cost</t>
  </si>
  <si>
    <t>Consulting Services - Cost</t>
  </si>
  <si>
    <t>Indeed</t>
  </si>
  <si>
    <t>Payoneer</t>
  </si>
  <si>
    <t>PulseOne LLC (Delaware)</t>
  </si>
  <si>
    <t>Upwork</t>
  </si>
  <si>
    <t>Consulting Services - Cost - Other</t>
  </si>
  <si>
    <t>Total Consulting Services - Cost</t>
  </si>
  <si>
    <t>Installation Services - Cost</t>
  </si>
  <si>
    <t>Merchant Account Fees</t>
  </si>
  <si>
    <t>Project Cost - Travel</t>
  </si>
  <si>
    <t>Purchases - Hardware for Resale</t>
  </si>
  <si>
    <t>Recycle Fees (Cost)</t>
  </si>
  <si>
    <t>Purchases - Hardware for Resale - Other</t>
  </si>
  <si>
    <t>Total Purchases - Hardware for Resale</t>
  </si>
  <si>
    <t>Purchases - Software for Resale</t>
  </si>
  <si>
    <t>Amazon Web Services</t>
  </si>
  <si>
    <t>Atlassian</t>
  </si>
  <si>
    <t>AvePoint</t>
  </si>
  <si>
    <t>BriteVault</t>
  </si>
  <si>
    <t>Cloudberry Backup</t>
  </si>
  <si>
    <t>EFolder Systems</t>
  </si>
  <si>
    <t>Spam Soap</t>
  </si>
  <si>
    <t>Purchases - Software for Resale - Other</t>
  </si>
  <si>
    <t>Total Purchases - Software for Resale</t>
  </si>
  <si>
    <t>Total COGS</t>
  </si>
  <si>
    <t>Gross Profit</t>
  </si>
  <si>
    <t>Expense</t>
  </si>
  <si>
    <t>Advertising and Promotion</t>
  </si>
  <si>
    <t>Automobile Expense</t>
  </si>
  <si>
    <t>Bank Service Charges</t>
  </si>
  <si>
    <t>Merchant Account Fees (Expense)</t>
  </si>
  <si>
    <t>Bank Service Charges - Other</t>
  </si>
  <si>
    <t>Total Bank Service Charges</t>
  </si>
  <si>
    <t>Business Gifts</t>
  </si>
  <si>
    <t>Business Licenses and Permits</t>
  </si>
  <si>
    <t>Charitable Contributions</t>
  </si>
  <si>
    <t>Computer and Internet Expenses</t>
  </si>
  <si>
    <t>BrightGauge Software</t>
  </si>
  <si>
    <t>ConnectWise</t>
  </si>
  <si>
    <t>Flexis</t>
  </si>
  <si>
    <t>GoDaddy</t>
  </si>
  <si>
    <t>Kaseya</t>
  </si>
  <si>
    <t>LogMeIn</t>
  </si>
  <si>
    <t>LT Ninja LLC</t>
  </si>
  <si>
    <t>Microsoft</t>
  </si>
  <si>
    <t>RapidFire Tools</t>
  </si>
  <si>
    <t>Computer and Internet Expenses - Other</t>
  </si>
  <si>
    <t>Total Computer and Internet Expenses</t>
  </si>
  <si>
    <t>Consulting Fees</t>
  </si>
  <si>
    <t>Dues and Subscriptions</t>
  </si>
  <si>
    <t>Insurance Expense</t>
  </si>
  <si>
    <t>Health Insurance</t>
  </si>
  <si>
    <t>Insurance Expense - Other</t>
  </si>
  <si>
    <t>Total Insurance Expense</t>
  </si>
  <si>
    <t>Interest Expense</t>
  </si>
  <si>
    <t>Janitorial Expense</t>
  </si>
  <si>
    <t>Meals and Entertainment</t>
  </si>
  <si>
    <t>Meals and Entertainment Clients</t>
  </si>
  <si>
    <t>Office Supplies</t>
  </si>
  <si>
    <t>Partner Compensation</t>
  </si>
  <si>
    <t>Charles Batsford Partner Comp</t>
  </si>
  <si>
    <t>Paul Freeman Partner Comp</t>
  </si>
  <si>
    <t>Roderick Hare Partner Comp</t>
  </si>
  <si>
    <t>Total Partner Compensation</t>
  </si>
  <si>
    <t>Payroll Expenses</t>
  </si>
  <si>
    <t>Payroll Taxes</t>
  </si>
  <si>
    <t>Professional Fees</t>
  </si>
  <si>
    <t>Reconciliation Discrepancies</t>
  </si>
  <si>
    <t>Relocation Expenses</t>
  </si>
  <si>
    <t>Rent Expense</t>
  </si>
  <si>
    <t>RepScheduler Expenses</t>
  </si>
  <si>
    <t>Salary Expense</t>
  </si>
  <si>
    <t>401K Employee Contribution</t>
  </si>
  <si>
    <t>Upwork Outsourced Labor</t>
  </si>
  <si>
    <t>Salary Expense - Other</t>
  </si>
  <si>
    <t>Total Salary Expense</t>
  </si>
  <si>
    <t>Sales Expenses</t>
  </si>
  <si>
    <t>Sales Tax</t>
  </si>
  <si>
    <t>Shipping</t>
  </si>
  <si>
    <t>Tax - California</t>
  </si>
  <si>
    <t>CA Pass Through Entity Tax</t>
  </si>
  <si>
    <t>Tax - California - Other</t>
  </si>
  <si>
    <t>Total Tax - California</t>
  </si>
  <si>
    <t>Tax - Tennessee</t>
  </si>
  <si>
    <t>Telephone Expense</t>
  </si>
  <si>
    <t>Advantage Telecom</t>
  </si>
  <si>
    <t>Dexcomm</t>
  </si>
  <si>
    <t>PulseOne Communications</t>
  </si>
  <si>
    <t>Telephone Expense - Other</t>
  </si>
  <si>
    <t>Total Telephone Expense</t>
  </si>
  <si>
    <t>Training and Development</t>
  </si>
  <si>
    <t>Travel Expense</t>
  </si>
  <si>
    <t>Utilities</t>
  </si>
  <si>
    <t>Total Expense</t>
  </si>
  <si>
    <t>Net Ordinary Income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</si>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</sst>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49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2" fillId="0" borderId="4" xfId="0" applyNumberFormat="1" applyFont="1" applyBorder="1"/>
    <xf numFmtId="164" fontId="2" fillId="0" borderId="3" xfId="0" applyNumberFormat="1" applyFont="1" applyBorder="1"/>
    <xf numFmtId="164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AA35-6E6D-4D7D-BBAA-CF724D918D2F}">
  <dimension ref="A1:M112"/>
  <sheetViews>
    <sheetView tabSelected="1" workbookViewId="0">
      <pane xSplit="6" ySplit="1" topLeftCell="G2" activePane="bottomRight" state="frozenSplit"/>
      <selection pane="topRight" activeCell="G1" sqref="G1"/>
      <selection pane="bottomLeft" activeCell="A2" sqref="A2"/>
      <selection pane="bottomRight"/>
    </sheetView>
  </sheetViews>
  <sheetFormatPr defaultRowHeight="14.4" x14ac:dyDescent="0.3"/>
  <cols>
    <col min="1" max="5" width="3" style="14" customWidth="1"/>
    <col min="6" max="6" width="29.5546875" style="14" customWidth="1"/>
    <col min="7" max="7" width="9.33203125" style="15" bestFit="1" customWidth="1"/>
    <col min="8" max="8" width="2.33203125" style="15" customWidth="1"/>
    <col min="9" max="9" width="9.33203125" style="15" bestFit="1" customWidth="1"/>
    <col min="10" max="10" width="2.33203125" style="15" customWidth="1"/>
    <col min="11" max="11" width="9.33203125" style="15" bestFit="1" customWidth="1"/>
    <col min="12" max="12" width="2.33203125" style="15" customWidth="1"/>
    <col min="13" max="13" width="9.88671875" style="15" bestFit="1" customWidth="1"/>
  </cols>
  <sheetData>
    <row r="1" spans="1:13" s="13" customFormat="1" ht="15" thickBot="1" x14ac:dyDescent="0.35">
      <c r="A1" s="10"/>
      <c r="B1" s="10"/>
      <c r="C1" s="10"/>
      <c r="D1" s="10"/>
      <c r="E1" s="10"/>
      <c r="F1" s="10"/>
      <c r="G1" s="11" t="s">
        <v>0</v>
      </c>
      <c r="H1" s="12"/>
      <c r="I1" s="11" t="s">
        <v>1</v>
      </c>
      <c r="J1" s="12"/>
      <c r="K1" s="11" t="s">
        <v>2</v>
      </c>
      <c r="L1" s="12"/>
      <c r="M1" s="11" t="s">
        <v>3</v>
      </c>
    </row>
    <row r="2" spans="1:13" ht="15" thickTop="1" x14ac:dyDescent="0.3">
      <c r="A2" s="1"/>
      <c r="B2" s="1" t="s">
        <v>4</v>
      </c>
      <c r="C2" s="1"/>
      <c r="D2" s="1"/>
      <c r="E2" s="1"/>
      <c r="F2" s="1"/>
      <c r="G2" s="2"/>
      <c r="H2" s="3"/>
      <c r="I2" s="2"/>
      <c r="J2" s="3"/>
      <c r="K2" s="2"/>
      <c r="L2" s="3"/>
      <c r="M2" s="2"/>
    </row>
    <row r="3" spans="1:13" x14ac:dyDescent="0.3">
      <c r="A3" s="1"/>
      <c r="B3" s="1"/>
      <c r="C3" s="1"/>
      <c r="D3" s="1" t="s">
        <v>5</v>
      </c>
      <c r="E3" s="1"/>
      <c r="F3" s="1"/>
      <c r="G3" s="2"/>
      <c r="H3" s="3"/>
      <c r="I3" s="2"/>
      <c r="J3" s="3"/>
      <c r="K3" s="2"/>
      <c r="L3" s="3"/>
      <c r="M3" s="2"/>
    </row>
    <row r="4" spans="1:13" x14ac:dyDescent="0.3">
      <c r="A4" s="1"/>
      <c r="B4" s="1"/>
      <c r="C4" s="1"/>
      <c r="D4" s="1"/>
      <c r="E4" s="1" t="s">
        <v>6</v>
      </c>
      <c r="F4" s="1"/>
      <c r="G4" s="2">
        <v>180980.48000000001</v>
      </c>
      <c r="H4" s="3"/>
      <c r="I4" s="2">
        <v>219605.62</v>
      </c>
      <c r="J4" s="3"/>
      <c r="K4" s="2">
        <v>397596.13</v>
      </c>
      <c r="L4" s="3"/>
      <c r="M4" s="2">
        <f>ROUND(SUM(G4:K4),5)</f>
        <v>798182.23</v>
      </c>
    </row>
    <row r="5" spans="1:13" x14ac:dyDescent="0.3">
      <c r="A5" s="1"/>
      <c r="B5" s="1"/>
      <c r="C5" s="1"/>
      <c r="D5" s="1"/>
      <c r="E5" s="1" t="s">
        <v>7</v>
      </c>
      <c r="F5" s="1"/>
      <c r="G5" s="2">
        <v>1701291</v>
      </c>
      <c r="H5" s="3"/>
      <c r="I5" s="2">
        <v>1430327.78</v>
      </c>
      <c r="J5" s="3"/>
      <c r="K5" s="2">
        <v>1475778.67</v>
      </c>
      <c r="L5" s="3"/>
      <c r="M5" s="2">
        <f>ROUND(SUM(G5:K5),5)</f>
        <v>4607397.45</v>
      </c>
    </row>
    <row r="6" spans="1:13" x14ac:dyDescent="0.3">
      <c r="A6" s="1"/>
      <c r="B6" s="1"/>
      <c r="C6" s="1"/>
      <c r="D6" s="1"/>
      <c r="E6" s="1" t="s">
        <v>8</v>
      </c>
      <c r="F6" s="1"/>
      <c r="G6" s="2">
        <v>2610.94</v>
      </c>
      <c r="H6" s="3"/>
      <c r="I6" s="2">
        <v>870.31</v>
      </c>
      <c r="J6" s="3"/>
      <c r="K6" s="2">
        <v>8000</v>
      </c>
      <c r="L6" s="3"/>
      <c r="M6" s="2">
        <f>ROUND(SUM(G6:K6),5)</f>
        <v>11481.25</v>
      </c>
    </row>
    <row r="7" spans="1:13" x14ac:dyDescent="0.3">
      <c r="A7" s="1"/>
      <c r="B7" s="1"/>
      <c r="C7" s="1"/>
      <c r="D7" s="1"/>
      <c r="E7" s="1" t="s">
        <v>9</v>
      </c>
      <c r="F7" s="1"/>
      <c r="G7" s="2">
        <v>1101249.72</v>
      </c>
      <c r="H7" s="3"/>
      <c r="I7" s="2">
        <v>1865433.3</v>
      </c>
      <c r="J7" s="3"/>
      <c r="K7" s="2">
        <v>2148415.0099999998</v>
      </c>
      <c r="L7" s="3"/>
      <c r="M7" s="2">
        <f>ROUND(SUM(G7:K7),5)</f>
        <v>5115098.03</v>
      </c>
    </row>
    <row r="8" spans="1:13" x14ac:dyDescent="0.3">
      <c r="A8" s="1"/>
      <c r="B8" s="1"/>
      <c r="C8" s="1"/>
      <c r="D8" s="1"/>
      <c r="E8" s="1" t="s">
        <v>10</v>
      </c>
      <c r="F8" s="1"/>
      <c r="G8" s="2">
        <v>-20</v>
      </c>
      <c r="H8" s="3"/>
      <c r="I8" s="2">
        <v>-67</v>
      </c>
      <c r="J8" s="3"/>
      <c r="K8" s="2">
        <v>36</v>
      </c>
      <c r="L8" s="3"/>
      <c r="M8" s="2">
        <f>ROUND(SUM(G8:K8),5)</f>
        <v>-51</v>
      </c>
    </row>
    <row r="9" spans="1:13" x14ac:dyDescent="0.3">
      <c r="A9" s="1"/>
      <c r="B9" s="1"/>
      <c r="C9" s="1"/>
      <c r="D9" s="1"/>
      <c r="E9" s="1" t="s">
        <v>11</v>
      </c>
      <c r="F9" s="1"/>
      <c r="G9" s="2">
        <v>926854.92</v>
      </c>
      <c r="H9" s="3"/>
      <c r="I9" s="2">
        <v>475484.63</v>
      </c>
      <c r="J9" s="3"/>
      <c r="K9" s="2">
        <v>259984.28</v>
      </c>
      <c r="L9" s="3"/>
      <c r="M9" s="2">
        <f>ROUND(SUM(G9:K9),5)</f>
        <v>1662323.83</v>
      </c>
    </row>
    <row r="10" spans="1:13" x14ac:dyDescent="0.3">
      <c r="A10" s="1"/>
      <c r="B10" s="1"/>
      <c r="C10" s="1"/>
      <c r="D10" s="1"/>
      <c r="E10" s="1" t="s">
        <v>12</v>
      </c>
      <c r="F10" s="1"/>
      <c r="G10" s="2">
        <v>460941.01</v>
      </c>
      <c r="H10" s="3"/>
      <c r="I10" s="2">
        <v>568472.77</v>
      </c>
      <c r="J10" s="3"/>
      <c r="K10" s="2">
        <v>612879.82999999996</v>
      </c>
      <c r="L10" s="3"/>
      <c r="M10" s="2">
        <f>ROUND(SUM(G10:K10),5)</f>
        <v>1642293.61</v>
      </c>
    </row>
    <row r="11" spans="1:13" x14ac:dyDescent="0.3">
      <c r="A11" s="1"/>
      <c r="B11" s="1"/>
      <c r="C11" s="1"/>
      <c r="D11" s="1"/>
      <c r="E11" s="1" t="s">
        <v>13</v>
      </c>
      <c r="F11" s="1"/>
      <c r="G11" s="2">
        <v>4008.17</v>
      </c>
      <c r="H11" s="3"/>
      <c r="I11" s="2">
        <v>7522.33</v>
      </c>
      <c r="J11" s="3"/>
      <c r="K11" s="2">
        <v>2451.66</v>
      </c>
      <c r="L11" s="3"/>
      <c r="M11" s="2">
        <f>ROUND(SUM(G11:K11),5)</f>
        <v>13982.16</v>
      </c>
    </row>
    <row r="12" spans="1:13" ht="15" thickBot="1" x14ac:dyDescent="0.35">
      <c r="A12" s="1"/>
      <c r="B12" s="1"/>
      <c r="C12" s="1"/>
      <c r="D12" s="1"/>
      <c r="E12" s="1" t="s">
        <v>14</v>
      </c>
      <c r="F12" s="1"/>
      <c r="G12" s="4">
        <v>2824.42</v>
      </c>
      <c r="H12" s="3"/>
      <c r="I12" s="4">
        <v>1791.64</v>
      </c>
      <c r="J12" s="3"/>
      <c r="K12" s="4">
        <v>1641.74</v>
      </c>
      <c r="L12" s="3"/>
      <c r="M12" s="4">
        <f>ROUND(SUM(G12:K12),5)</f>
        <v>6257.8</v>
      </c>
    </row>
    <row r="13" spans="1:13" x14ac:dyDescent="0.3">
      <c r="A13" s="1"/>
      <c r="B13" s="1"/>
      <c r="C13" s="1"/>
      <c r="D13" s="1" t="s">
        <v>15</v>
      </c>
      <c r="E13" s="1"/>
      <c r="F13" s="1"/>
      <c r="G13" s="2">
        <f>ROUND(SUM(G3:G12),5)</f>
        <v>4380740.66</v>
      </c>
      <c r="H13" s="3"/>
      <c r="I13" s="2">
        <f>ROUND(SUM(I3:I12),5)</f>
        <v>4569441.38</v>
      </c>
      <c r="J13" s="3"/>
      <c r="K13" s="2">
        <f>ROUND(SUM(K3:K12),5)</f>
        <v>4906783.32</v>
      </c>
      <c r="L13" s="3"/>
      <c r="M13" s="2">
        <f>ROUND(SUM(G13:K13),5)</f>
        <v>13856965.359999999</v>
      </c>
    </row>
    <row r="14" spans="1:13" x14ac:dyDescent="0.3">
      <c r="A14" s="1"/>
      <c r="B14" s="1"/>
      <c r="C14" s="1"/>
      <c r="D14" s="1" t="s">
        <v>16</v>
      </c>
      <c r="E14" s="1"/>
      <c r="F14" s="1"/>
      <c r="G14" s="2"/>
      <c r="H14" s="3"/>
      <c r="I14" s="2"/>
      <c r="J14" s="3"/>
      <c r="K14" s="2"/>
      <c r="L14" s="3"/>
      <c r="M14" s="2"/>
    </row>
    <row r="15" spans="1:13" x14ac:dyDescent="0.3">
      <c r="A15" s="1"/>
      <c r="B15" s="1"/>
      <c r="C15" s="1"/>
      <c r="D15" s="1"/>
      <c r="E15" s="1" t="s">
        <v>17</v>
      </c>
      <c r="F15" s="1"/>
      <c r="G15" s="2">
        <v>145263.96</v>
      </c>
      <c r="H15" s="3"/>
      <c r="I15" s="2">
        <v>189976.78</v>
      </c>
      <c r="J15" s="3"/>
      <c r="K15" s="2">
        <v>280807.65000000002</v>
      </c>
      <c r="L15" s="3"/>
      <c r="M15" s="2">
        <f>ROUND(SUM(G15:K15),5)</f>
        <v>616048.39</v>
      </c>
    </row>
    <row r="16" spans="1:13" x14ac:dyDescent="0.3">
      <c r="A16" s="1"/>
      <c r="B16" s="1"/>
      <c r="C16" s="1"/>
      <c r="D16" s="1"/>
      <c r="E16" s="1" t="s">
        <v>18</v>
      </c>
      <c r="F16" s="1"/>
      <c r="G16" s="2"/>
      <c r="H16" s="3"/>
      <c r="I16" s="2"/>
      <c r="J16" s="3"/>
      <c r="K16" s="2"/>
      <c r="L16" s="3"/>
      <c r="M16" s="2"/>
    </row>
    <row r="17" spans="1:13" x14ac:dyDescent="0.3">
      <c r="A17" s="1"/>
      <c r="B17" s="1"/>
      <c r="C17" s="1"/>
      <c r="D17" s="1"/>
      <c r="E17" s="1"/>
      <c r="F17" s="1" t="s">
        <v>19</v>
      </c>
      <c r="G17" s="2">
        <v>1130.1400000000001</v>
      </c>
      <c r="H17" s="3"/>
      <c r="I17" s="2">
        <v>0</v>
      </c>
      <c r="J17" s="3"/>
      <c r="K17" s="2">
        <v>0</v>
      </c>
      <c r="L17" s="3"/>
      <c r="M17" s="2">
        <f>ROUND(SUM(G17:K17),5)</f>
        <v>1130.1400000000001</v>
      </c>
    </row>
    <row r="18" spans="1:13" x14ac:dyDescent="0.3">
      <c r="A18" s="1"/>
      <c r="B18" s="1"/>
      <c r="C18" s="1"/>
      <c r="D18" s="1"/>
      <c r="E18" s="1"/>
      <c r="F18" s="1" t="s">
        <v>20</v>
      </c>
      <c r="G18" s="2">
        <v>71420.36</v>
      </c>
      <c r="H18" s="3"/>
      <c r="I18" s="2">
        <v>126305.18</v>
      </c>
      <c r="J18" s="3"/>
      <c r="K18" s="2">
        <v>121411.9</v>
      </c>
      <c r="L18" s="3"/>
      <c r="M18" s="2">
        <f>ROUND(SUM(G18:K18),5)</f>
        <v>319137.44</v>
      </c>
    </row>
    <row r="19" spans="1:13" x14ac:dyDescent="0.3">
      <c r="A19" s="1"/>
      <c r="B19" s="1"/>
      <c r="C19" s="1"/>
      <c r="D19" s="1"/>
      <c r="E19" s="1"/>
      <c r="F19" s="1" t="s">
        <v>21</v>
      </c>
      <c r="G19" s="2">
        <v>107500</v>
      </c>
      <c r="H19" s="3"/>
      <c r="I19" s="2">
        <v>20585</v>
      </c>
      <c r="J19" s="3"/>
      <c r="K19" s="2">
        <v>0</v>
      </c>
      <c r="L19" s="3"/>
      <c r="M19" s="2">
        <f>ROUND(SUM(G19:K19),5)</f>
        <v>128085</v>
      </c>
    </row>
    <row r="20" spans="1:13" x14ac:dyDescent="0.3">
      <c r="A20" s="1"/>
      <c r="B20" s="1"/>
      <c r="C20" s="1"/>
      <c r="D20" s="1"/>
      <c r="E20" s="1"/>
      <c r="F20" s="1" t="s">
        <v>22</v>
      </c>
      <c r="G20" s="2">
        <v>359857.17</v>
      </c>
      <c r="H20" s="3"/>
      <c r="I20" s="2">
        <v>207450.54</v>
      </c>
      <c r="J20" s="3"/>
      <c r="K20" s="2">
        <v>27219.15</v>
      </c>
      <c r="L20" s="3"/>
      <c r="M20" s="2">
        <f>ROUND(SUM(G20:K20),5)</f>
        <v>594526.86</v>
      </c>
    </row>
    <row r="21" spans="1:13" ht="15" thickBot="1" x14ac:dyDescent="0.35">
      <c r="A21" s="1"/>
      <c r="B21" s="1"/>
      <c r="C21" s="1"/>
      <c r="D21" s="1"/>
      <c r="E21" s="1"/>
      <c r="F21" s="1" t="s">
        <v>23</v>
      </c>
      <c r="G21" s="4">
        <v>308531.21999999997</v>
      </c>
      <c r="H21" s="3"/>
      <c r="I21" s="4">
        <v>574151.80000000005</v>
      </c>
      <c r="J21" s="3"/>
      <c r="K21" s="4">
        <v>1151430.6000000001</v>
      </c>
      <c r="L21" s="3"/>
      <c r="M21" s="4">
        <f>ROUND(SUM(G21:K21),5)</f>
        <v>2034113.62</v>
      </c>
    </row>
    <row r="22" spans="1:13" x14ac:dyDescent="0.3">
      <c r="A22" s="1"/>
      <c r="B22" s="1"/>
      <c r="C22" s="1"/>
      <c r="D22" s="1"/>
      <c r="E22" s="1" t="s">
        <v>24</v>
      </c>
      <c r="F22" s="1"/>
      <c r="G22" s="2">
        <f>ROUND(SUM(G16:G21),5)</f>
        <v>848438.89</v>
      </c>
      <c r="H22" s="3"/>
      <c r="I22" s="2">
        <f>ROUND(SUM(I16:I21),5)</f>
        <v>928492.52</v>
      </c>
      <c r="J22" s="3"/>
      <c r="K22" s="2">
        <f>ROUND(SUM(K16:K21),5)</f>
        <v>1300061.6499999999</v>
      </c>
      <c r="L22" s="3"/>
      <c r="M22" s="2">
        <f>ROUND(SUM(G22:K22),5)</f>
        <v>3076993.06</v>
      </c>
    </row>
    <row r="23" spans="1:13" x14ac:dyDescent="0.3">
      <c r="A23" s="1"/>
      <c r="B23" s="1"/>
      <c r="C23" s="1"/>
      <c r="D23" s="1"/>
      <c r="E23" s="1" t="s">
        <v>25</v>
      </c>
      <c r="F23" s="1"/>
      <c r="G23" s="2">
        <v>3081</v>
      </c>
      <c r="H23" s="3"/>
      <c r="I23" s="2">
        <v>0</v>
      </c>
      <c r="J23" s="3"/>
      <c r="K23" s="2">
        <v>15992.55</v>
      </c>
      <c r="L23" s="3"/>
      <c r="M23" s="2">
        <f>ROUND(SUM(G23:K23),5)</f>
        <v>19073.55</v>
      </c>
    </row>
    <row r="24" spans="1:13" x14ac:dyDescent="0.3">
      <c r="A24" s="1"/>
      <c r="B24" s="1"/>
      <c r="C24" s="1"/>
      <c r="D24" s="1"/>
      <c r="E24" s="1" t="s">
        <v>26</v>
      </c>
      <c r="F24" s="1"/>
      <c r="G24" s="2">
        <v>6489.08</v>
      </c>
      <c r="H24" s="3"/>
      <c r="I24" s="2">
        <v>8316.7999999999993</v>
      </c>
      <c r="J24" s="3"/>
      <c r="K24" s="2">
        <v>4558.66</v>
      </c>
      <c r="L24" s="3"/>
      <c r="M24" s="2">
        <f>ROUND(SUM(G24:K24),5)</f>
        <v>19364.54</v>
      </c>
    </row>
    <row r="25" spans="1:13" x14ac:dyDescent="0.3">
      <c r="A25" s="1"/>
      <c r="B25" s="1"/>
      <c r="C25" s="1"/>
      <c r="D25" s="1"/>
      <c r="E25" s="1" t="s">
        <v>27</v>
      </c>
      <c r="F25" s="1"/>
      <c r="G25" s="2">
        <v>8506.09</v>
      </c>
      <c r="H25" s="3"/>
      <c r="I25" s="2">
        <v>0</v>
      </c>
      <c r="J25" s="3"/>
      <c r="K25" s="2">
        <v>0</v>
      </c>
      <c r="L25" s="3"/>
      <c r="M25" s="2">
        <f>ROUND(SUM(G25:K25),5)</f>
        <v>8506.09</v>
      </c>
    </row>
    <row r="26" spans="1:13" x14ac:dyDescent="0.3">
      <c r="A26" s="1"/>
      <c r="B26" s="1"/>
      <c r="C26" s="1"/>
      <c r="D26" s="1"/>
      <c r="E26" s="1" t="s">
        <v>28</v>
      </c>
      <c r="F26" s="1"/>
      <c r="G26" s="2"/>
      <c r="H26" s="3"/>
      <c r="I26" s="2"/>
      <c r="J26" s="3"/>
      <c r="K26" s="2"/>
      <c r="L26" s="3"/>
      <c r="M26" s="2"/>
    </row>
    <row r="27" spans="1:13" x14ac:dyDescent="0.3">
      <c r="A27" s="1"/>
      <c r="B27" s="1"/>
      <c r="C27" s="1"/>
      <c r="D27" s="1"/>
      <c r="E27" s="1"/>
      <c r="F27" s="1" t="s">
        <v>29</v>
      </c>
      <c r="G27" s="2">
        <v>0</v>
      </c>
      <c r="H27" s="3"/>
      <c r="I27" s="2">
        <v>0</v>
      </c>
      <c r="J27" s="3"/>
      <c r="K27" s="2">
        <v>0</v>
      </c>
      <c r="L27" s="3"/>
      <c r="M27" s="2">
        <f>ROUND(SUM(G27:K27),5)</f>
        <v>0</v>
      </c>
    </row>
    <row r="28" spans="1:13" ht="15" thickBot="1" x14ac:dyDescent="0.35">
      <c r="A28" s="1"/>
      <c r="B28" s="1"/>
      <c r="C28" s="1"/>
      <c r="D28" s="1"/>
      <c r="E28" s="1"/>
      <c r="F28" s="1" t="s">
        <v>30</v>
      </c>
      <c r="G28" s="4">
        <v>692035.42</v>
      </c>
      <c r="H28" s="3"/>
      <c r="I28" s="4">
        <v>335494.8</v>
      </c>
      <c r="J28" s="3"/>
      <c r="K28" s="4">
        <v>135396.92000000001</v>
      </c>
      <c r="L28" s="3"/>
      <c r="M28" s="4">
        <f>ROUND(SUM(G28:K28),5)</f>
        <v>1162927.1399999999</v>
      </c>
    </row>
    <row r="29" spans="1:13" x14ac:dyDescent="0.3">
      <c r="A29" s="1"/>
      <c r="B29" s="1"/>
      <c r="C29" s="1"/>
      <c r="D29" s="1"/>
      <c r="E29" s="1" t="s">
        <v>31</v>
      </c>
      <c r="F29" s="1"/>
      <c r="G29" s="2">
        <f>ROUND(SUM(G26:G28),5)</f>
        <v>692035.42</v>
      </c>
      <c r="H29" s="3"/>
      <c r="I29" s="2">
        <f>ROUND(SUM(I26:I28),5)</f>
        <v>335494.8</v>
      </c>
      <c r="J29" s="3"/>
      <c r="K29" s="2">
        <f>ROUND(SUM(K26:K28),5)</f>
        <v>135396.92000000001</v>
      </c>
      <c r="L29" s="3"/>
      <c r="M29" s="2">
        <f>ROUND(SUM(G29:K29),5)</f>
        <v>1162927.1399999999</v>
      </c>
    </row>
    <row r="30" spans="1:13" x14ac:dyDescent="0.3">
      <c r="A30" s="1"/>
      <c r="B30" s="1"/>
      <c r="C30" s="1"/>
      <c r="D30" s="1"/>
      <c r="E30" s="1" t="s">
        <v>32</v>
      </c>
      <c r="F30" s="1"/>
      <c r="G30" s="2"/>
      <c r="H30" s="3"/>
      <c r="I30" s="2"/>
      <c r="J30" s="3"/>
      <c r="K30" s="2"/>
      <c r="L30" s="3"/>
      <c r="M30" s="2"/>
    </row>
    <row r="31" spans="1:13" x14ac:dyDescent="0.3">
      <c r="A31" s="1"/>
      <c r="B31" s="1"/>
      <c r="C31" s="1"/>
      <c r="D31" s="1"/>
      <c r="E31" s="1"/>
      <c r="F31" s="1" t="s">
        <v>33</v>
      </c>
      <c r="G31" s="2">
        <v>137225.84</v>
      </c>
      <c r="H31" s="3"/>
      <c r="I31" s="2">
        <v>113567.85</v>
      </c>
      <c r="J31" s="3"/>
      <c r="K31" s="2">
        <v>110243.05</v>
      </c>
      <c r="L31" s="3"/>
      <c r="M31" s="2">
        <f>ROUND(SUM(G31:K31),5)</f>
        <v>361036.74</v>
      </c>
    </row>
    <row r="32" spans="1:13" x14ac:dyDescent="0.3">
      <c r="A32" s="1"/>
      <c r="B32" s="1"/>
      <c r="C32" s="1"/>
      <c r="D32" s="1"/>
      <c r="E32" s="1"/>
      <c r="F32" s="1" t="s">
        <v>34</v>
      </c>
      <c r="G32" s="2">
        <v>761.25</v>
      </c>
      <c r="H32" s="3"/>
      <c r="I32" s="2">
        <v>2417.08</v>
      </c>
      <c r="J32" s="3"/>
      <c r="K32" s="2">
        <v>4637</v>
      </c>
      <c r="L32" s="3"/>
      <c r="M32" s="2">
        <f>ROUND(SUM(G32:K32),5)</f>
        <v>7815.33</v>
      </c>
    </row>
    <row r="33" spans="1:13" x14ac:dyDescent="0.3">
      <c r="A33" s="1"/>
      <c r="B33" s="1"/>
      <c r="C33" s="1"/>
      <c r="D33" s="1"/>
      <c r="E33" s="1"/>
      <c r="F33" s="1" t="s">
        <v>35</v>
      </c>
      <c r="G33" s="2">
        <v>50363.68</v>
      </c>
      <c r="H33" s="3"/>
      <c r="I33" s="2">
        <v>12316.5</v>
      </c>
      <c r="J33" s="3"/>
      <c r="K33" s="2">
        <v>8152</v>
      </c>
      <c r="L33" s="3"/>
      <c r="M33" s="2">
        <f>ROUND(SUM(G33:K33),5)</f>
        <v>70832.179999999993</v>
      </c>
    </row>
    <row r="34" spans="1:13" x14ac:dyDescent="0.3">
      <c r="A34" s="1"/>
      <c r="B34" s="1"/>
      <c r="C34" s="1"/>
      <c r="D34" s="1"/>
      <c r="E34" s="1"/>
      <c r="F34" s="1" t="s">
        <v>36</v>
      </c>
      <c r="G34" s="2">
        <v>15600.8</v>
      </c>
      <c r="H34" s="3"/>
      <c r="I34" s="2">
        <v>17830.04</v>
      </c>
      <c r="J34" s="3"/>
      <c r="K34" s="2">
        <v>3152.23</v>
      </c>
      <c r="L34" s="3"/>
      <c r="M34" s="2">
        <f>ROUND(SUM(G34:K34),5)</f>
        <v>36583.07</v>
      </c>
    </row>
    <row r="35" spans="1:13" x14ac:dyDescent="0.3">
      <c r="A35" s="1"/>
      <c r="B35" s="1"/>
      <c r="C35" s="1"/>
      <c r="D35" s="1"/>
      <c r="E35" s="1"/>
      <c r="F35" s="1" t="s">
        <v>37</v>
      </c>
      <c r="G35" s="2">
        <v>2534.04</v>
      </c>
      <c r="H35" s="3"/>
      <c r="I35" s="2">
        <v>2449.27</v>
      </c>
      <c r="J35" s="3"/>
      <c r="K35" s="2">
        <v>0</v>
      </c>
      <c r="L35" s="3"/>
      <c r="M35" s="2">
        <f>ROUND(SUM(G35:K35),5)</f>
        <v>4983.3100000000004</v>
      </c>
    </row>
    <row r="36" spans="1:13" x14ac:dyDescent="0.3">
      <c r="A36" s="1"/>
      <c r="B36" s="1"/>
      <c r="C36" s="1"/>
      <c r="D36" s="1"/>
      <c r="E36" s="1"/>
      <c r="F36" s="1" t="s">
        <v>38</v>
      </c>
      <c r="G36" s="2">
        <v>11025</v>
      </c>
      <c r="H36" s="3"/>
      <c r="I36" s="2">
        <v>11272.8</v>
      </c>
      <c r="J36" s="3"/>
      <c r="K36" s="2">
        <v>10812.76</v>
      </c>
      <c r="L36" s="3"/>
      <c r="M36" s="2">
        <f>ROUND(SUM(G36:K36),5)</f>
        <v>33110.559999999998</v>
      </c>
    </row>
    <row r="37" spans="1:13" x14ac:dyDescent="0.3">
      <c r="A37" s="1"/>
      <c r="B37" s="1"/>
      <c r="C37" s="1"/>
      <c r="D37" s="1"/>
      <c r="E37" s="1"/>
      <c r="F37" s="1" t="s">
        <v>39</v>
      </c>
      <c r="G37" s="2">
        <v>509.6</v>
      </c>
      <c r="H37" s="3"/>
      <c r="I37" s="2">
        <v>613.48</v>
      </c>
      <c r="J37" s="3"/>
      <c r="K37" s="2">
        <v>90.19</v>
      </c>
      <c r="L37" s="3"/>
      <c r="M37" s="2">
        <f>ROUND(SUM(G37:K37),5)</f>
        <v>1213.27</v>
      </c>
    </row>
    <row r="38" spans="1:13" ht="15" thickBot="1" x14ac:dyDescent="0.35">
      <c r="A38" s="1"/>
      <c r="B38" s="1"/>
      <c r="C38" s="1"/>
      <c r="D38" s="1"/>
      <c r="E38" s="1"/>
      <c r="F38" s="1" t="s">
        <v>40</v>
      </c>
      <c r="G38" s="5">
        <v>72888.63</v>
      </c>
      <c r="H38" s="3"/>
      <c r="I38" s="5">
        <v>257938.53</v>
      </c>
      <c r="J38" s="3"/>
      <c r="K38" s="5">
        <v>279576.84999999998</v>
      </c>
      <c r="L38" s="3"/>
      <c r="M38" s="5">
        <f>ROUND(SUM(G38:K38),5)</f>
        <v>610404.01</v>
      </c>
    </row>
    <row r="39" spans="1:13" ht="15" thickBot="1" x14ac:dyDescent="0.35">
      <c r="A39" s="1"/>
      <c r="B39" s="1"/>
      <c r="C39" s="1"/>
      <c r="D39" s="1"/>
      <c r="E39" s="1" t="s">
        <v>41</v>
      </c>
      <c r="F39" s="1"/>
      <c r="G39" s="6">
        <f>ROUND(SUM(G30:G38),5)</f>
        <v>290908.84000000003</v>
      </c>
      <c r="H39" s="3"/>
      <c r="I39" s="6">
        <f>ROUND(SUM(I30:I38),5)</f>
        <v>418405.55</v>
      </c>
      <c r="J39" s="3"/>
      <c r="K39" s="6">
        <f>ROUND(SUM(K30:K38),5)</f>
        <v>416664.08</v>
      </c>
      <c r="L39" s="3"/>
      <c r="M39" s="6">
        <f>ROUND(SUM(G39:K39),5)</f>
        <v>1125978.47</v>
      </c>
    </row>
    <row r="40" spans="1:13" ht="15" thickBot="1" x14ac:dyDescent="0.35">
      <c r="A40" s="1"/>
      <c r="B40" s="1"/>
      <c r="C40" s="1"/>
      <c r="D40" s="1" t="s">
        <v>42</v>
      </c>
      <c r="E40" s="1"/>
      <c r="F40" s="1"/>
      <c r="G40" s="7">
        <f>ROUND(SUM(G14:G15)+SUM(G22:G25)+G29+G39,5)</f>
        <v>1994723.28</v>
      </c>
      <c r="H40" s="3"/>
      <c r="I40" s="7">
        <f>ROUND(SUM(I14:I15)+SUM(I22:I25)+I29+I39,5)</f>
        <v>1880686.45</v>
      </c>
      <c r="J40" s="3"/>
      <c r="K40" s="7">
        <f>ROUND(SUM(K14:K15)+SUM(K22:K25)+K29+K39,5)</f>
        <v>2153481.5099999998</v>
      </c>
      <c r="L40" s="3"/>
      <c r="M40" s="7">
        <f>ROUND(SUM(G40:K40),5)</f>
        <v>6028891.2400000002</v>
      </c>
    </row>
    <row r="41" spans="1:13" x14ac:dyDescent="0.3">
      <c r="A41" s="1"/>
      <c r="B41" s="1"/>
      <c r="C41" s="1" t="s">
        <v>43</v>
      </c>
      <c r="D41" s="1"/>
      <c r="E41" s="1"/>
      <c r="F41" s="1"/>
      <c r="G41" s="2">
        <f>ROUND(G13-G40,5)</f>
        <v>2386017.38</v>
      </c>
      <c r="H41" s="3"/>
      <c r="I41" s="2">
        <f>ROUND(I13-I40,5)</f>
        <v>2688754.93</v>
      </c>
      <c r="J41" s="3"/>
      <c r="K41" s="2">
        <f>ROUND(K13-K40,5)</f>
        <v>2753301.81</v>
      </c>
      <c r="L41" s="3"/>
      <c r="M41" s="2">
        <f>ROUND(SUM(G41:K41),5)</f>
        <v>7828074.1200000001</v>
      </c>
    </row>
    <row r="42" spans="1:13" x14ac:dyDescent="0.3">
      <c r="A42" s="1"/>
      <c r="B42" s="1"/>
      <c r="C42" s="1"/>
      <c r="D42" s="1" t="s">
        <v>44</v>
      </c>
      <c r="E42" s="1"/>
      <c r="F42" s="1"/>
      <c r="G42" s="2"/>
      <c r="H42" s="3"/>
      <c r="I42" s="2"/>
      <c r="J42" s="3"/>
      <c r="K42" s="2"/>
      <c r="L42" s="3"/>
      <c r="M42" s="2"/>
    </row>
    <row r="43" spans="1:13" x14ac:dyDescent="0.3">
      <c r="A43" s="1"/>
      <c r="B43" s="1"/>
      <c r="C43" s="1"/>
      <c r="D43" s="1"/>
      <c r="E43" s="1" t="s">
        <v>45</v>
      </c>
      <c r="F43" s="1"/>
      <c r="G43" s="2">
        <v>67501.600000000006</v>
      </c>
      <c r="H43" s="3"/>
      <c r="I43" s="2">
        <v>119692.47</v>
      </c>
      <c r="J43" s="3"/>
      <c r="K43" s="2">
        <v>51450.29</v>
      </c>
      <c r="L43" s="3"/>
      <c r="M43" s="2">
        <f>ROUND(SUM(G43:K43),5)</f>
        <v>238644.36</v>
      </c>
    </row>
    <row r="44" spans="1:13" x14ac:dyDescent="0.3">
      <c r="A44" s="1"/>
      <c r="B44" s="1"/>
      <c r="C44" s="1"/>
      <c r="D44" s="1"/>
      <c r="E44" s="1" t="s">
        <v>46</v>
      </c>
      <c r="F44" s="1"/>
      <c r="G44" s="2">
        <v>13047.45</v>
      </c>
      <c r="H44" s="3"/>
      <c r="I44" s="2">
        <v>2545.7600000000002</v>
      </c>
      <c r="J44" s="3"/>
      <c r="K44" s="2">
        <v>2340.36</v>
      </c>
      <c r="L44" s="3"/>
      <c r="M44" s="2">
        <f>ROUND(SUM(G44:K44),5)</f>
        <v>17933.57</v>
      </c>
    </row>
    <row r="45" spans="1:13" x14ac:dyDescent="0.3">
      <c r="A45" s="1"/>
      <c r="B45" s="1"/>
      <c r="C45" s="1"/>
      <c r="D45" s="1"/>
      <c r="E45" s="1" t="s">
        <v>47</v>
      </c>
      <c r="F45" s="1"/>
      <c r="G45" s="2"/>
      <c r="H45" s="3"/>
      <c r="I45" s="2"/>
      <c r="J45" s="3"/>
      <c r="K45" s="2"/>
      <c r="L45" s="3"/>
      <c r="M45" s="2"/>
    </row>
    <row r="46" spans="1:13" x14ac:dyDescent="0.3">
      <c r="A46" s="1"/>
      <c r="B46" s="1"/>
      <c r="C46" s="1"/>
      <c r="D46" s="1"/>
      <c r="E46" s="1"/>
      <c r="F46" s="1" t="s">
        <v>48</v>
      </c>
      <c r="G46" s="2">
        <v>3075.37</v>
      </c>
      <c r="H46" s="3"/>
      <c r="I46" s="2">
        <v>0</v>
      </c>
      <c r="J46" s="3"/>
      <c r="K46" s="2">
        <v>243.05</v>
      </c>
      <c r="L46" s="3"/>
      <c r="M46" s="2">
        <f>ROUND(SUM(G46:K46),5)</f>
        <v>3318.42</v>
      </c>
    </row>
    <row r="47" spans="1:13" ht="15" thickBot="1" x14ac:dyDescent="0.35">
      <c r="A47" s="1"/>
      <c r="B47" s="1"/>
      <c r="C47" s="1"/>
      <c r="D47" s="1"/>
      <c r="E47" s="1"/>
      <c r="F47" s="1" t="s">
        <v>49</v>
      </c>
      <c r="G47" s="4">
        <v>10</v>
      </c>
      <c r="H47" s="3"/>
      <c r="I47" s="4">
        <v>906.5</v>
      </c>
      <c r="J47" s="3"/>
      <c r="K47" s="4">
        <v>196.6</v>
      </c>
      <c r="L47" s="3"/>
      <c r="M47" s="4">
        <f>ROUND(SUM(G47:K47),5)</f>
        <v>1113.0999999999999</v>
      </c>
    </row>
    <row r="48" spans="1:13" x14ac:dyDescent="0.3">
      <c r="A48" s="1"/>
      <c r="B48" s="1"/>
      <c r="C48" s="1"/>
      <c r="D48" s="1"/>
      <c r="E48" s="1" t="s">
        <v>50</v>
      </c>
      <c r="F48" s="1"/>
      <c r="G48" s="2">
        <f>ROUND(SUM(G45:G47),5)</f>
        <v>3085.37</v>
      </c>
      <c r="H48" s="3"/>
      <c r="I48" s="2">
        <f>ROUND(SUM(I45:I47),5)</f>
        <v>906.5</v>
      </c>
      <c r="J48" s="3"/>
      <c r="K48" s="2">
        <f>ROUND(SUM(K45:K47),5)</f>
        <v>439.65</v>
      </c>
      <c r="L48" s="3"/>
      <c r="M48" s="2">
        <f>ROUND(SUM(G48:K48),5)</f>
        <v>4431.5200000000004</v>
      </c>
    </row>
    <row r="49" spans="1:13" x14ac:dyDescent="0.3">
      <c r="A49" s="1"/>
      <c r="B49" s="1"/>
      <c r="C49" s="1"/>
      <c r="D49" s="1"/>
      <c r="E49" s="1" t="s">
        <v>51</v>
      </c>
      <c r="F49" s="1"/>
      <c r="G49" s="2">
        <v>1033.24</v>
      </c>
      <c r="H49" s="3"/>
      <c r="I49" s="2">
        <v>2122.4699999999998</v>
      </c>
      <c r="J49" s="3"/>
      <c r="K49" s="2">
        <v>1405.05</v>
      </c>
      <c r="L49" s="3"/>
      <c r="M49" s="2">
        <f>ROUND(SUM(G49:K49),5)</f>
        <v>4560.76</v>
      </c>
    </row>
    <row r="50" spans="1:13" x14ac:dyDescent="0.3">
      <c r="A50" s="1"/>
      <c r="B50" s="1"/>
      <c r="C50" s="1"/>
      <c r="D50" s="1"/>
      <c r="E50" s="1" t="s">
        <v>52</v>
      </c>
      <c r="F50" s="1"/>
      <c r="G50" s="2">
        <v>964.18</v>
      </c>
      <c r="H50" s="3"/>
      <c r="I50" s="2">
        <v>1538.45</v>
      </c>
      <c r="J50" s="3"/>
      <c r="K50" s="2">
        <v>2091.61</v>
      </c>
      <c r="L50" s="3"/>
      <c r="M50" s="2">
        <f>ROUND(SUM(G50:K50),5)</f>
        <v>4594.24</v>
      </c>
    </row>
    <row r="51" spans="1:13" x14ac:dyDescent="0.3">
      <c r="A51" s="1"/>
      <c r="B51" s="1"/>
      <c r="C51" s="1"/>
      <c r="D51" s="1"/>
      <c r="E51" s="1" t="s">
        <v>53</v>
      </c>
      <c r="F51" s="1"/>
      <c r="G51" s="2">
        <v>0</v>
      </c>
      <c r="H51" s="3"/>
      <c r="I51" s="2">
        <v>525</v>
      </c>
      <c r="J51" s="3"/>
      <c r="K51" s="2">
        <v>1500</v>
      </c>
      <c r="L51" s="3"/>
      <c r="M51" s="2">
        <f>ROUND(SUM(G51:K51),5)</f>
        <v>2025</v>
      </c>
    </row>
    <row r="52" spans="1:13" x14ac:dyDescent="0.3">
      <c r="A52" s="1"/>
      <c r="B52" s="1"/>
      <c r="C52" s="1"/>
      <c r="D52" s="1"/>
      <c r="E52" s="1" t="s">
        <v>54</v>
      </c>
      <c r="F52" s="1"/>
      <c r="G52" s="2"/>
      <c r="H52" s="3"/>
      <c r="I52" s="2"/>
      <c r="J52" s="3"/>
      <c r="K52" s="2"/>
      <c r="L52" s="3"/>
      <c r="M52" s="2"/>
    </row>
    <row r="53" spans="1:13" x14ac:dyDescent="0.3">
      <c r="A53" s="1"/>
      <c r="B53" s="1"/>
      <c r="C53" s="1"/>
      <c r="D53" s="1"/>
      <c r="E53" s="1"/>
      <c r="F53" s="1" t="s">
        <v>55</v>
      </c>
      <c r="G53" s="2">
        <v>1596</v>
      </c>
      <c r="H53" s="3"/>
      <c r="I53" s="2">
        <v>0</v>
      </c>
      <c r="J53" s="3"/>
      <c r="K53" s="2">
        <v>0</v>
      </c>
      <c r="L53" s="3"/>
      <c r="M53" s="2">
        <f>ROUND(SUM(G53:K53),5)</f>
        <v>1596</v>
      </c>
    </row>
    <row r="54" spans="1:13" x14ac:dyDescent="0.3">
      <c r="A54" s="1"/>
      <c r="B54" s="1"/>
      <c r="C54" s="1"/>
      <c r="D54" s="1"/>
      <c r="E54" s="1"/>
      <c r="F54" s="1" t="s">
        <v>56</v>
      </c>
      <c r="G54" s="2">
        <v>49223.33</v>
      </c>
      <c r="H54" s="3"/>
      <c r="I54" s="2">
        <v>71600.710000000006</v>
      </c>
      <c r="J54" s="3"/>
      <c r="K54" s="2">
        <v>84674.68</v>
      </c>
      <c r="L54" s="3"/>
      <c r="M54" s="2">
        <f>ROUND(SUM(G54:K54),5)</f>
        <v>205498.72</v>
      </c>
    </row>
    <row r="55" spans="1:13" x14ac:dyDescent="0.3">
      <c r="A55" s="1"/>
      <c r="B55" s="1"/>
      <c r="C55" s="1"/>
      <c r="D55" s="1"/>
      <c r="E55" s="1"/>
      <c r="F55" s="1" t="s">
        <v>57</v>
      </c>
      <c r="G55" s="2">
        <v>34750</v>
      </c>
      <c r="H55" s="3"/>
      <c r="I55" s="2">
        <v>46813</v>
      </c>
      <c r="J55" s="3"/>
      <c r="K55" s="2">
        <v>65974</v>
      </c>
      <c r="L55" s="3"/>
      <c r="M55" s="2">
        <f>ROUND(SUM(G55:K55),5)</f>
        <v>147537</v>
      </c>
    </row>
    <row r="56" spans="1:13" x14ac:dyDescent="0.3">
      <c r="A56" s="1"/>
      <c r="B56" s="1"/>
      <c r="C56" s="1"/>
      <c r="D56" s="1"/>
      <c r="E56" s="1"/>
      <c r="F56" s="1" t="s">
        <v>58</v>
      </c>
      <c r="G56" s="2">
        <v>3176.06</v>
      </c>
      <c r="H56" s="3"/>
      <c r="I56" s="2">
        <v>2164.94</v>
      </c>
      <c r="J56" s="3"/>
      <c r="K56" s="2">
        <v>3522.29</v>
      </c>
      <c r="L56" s="3"/>
      <c r="M56" s="2">
        <f>ROUND(SUM(G56:K56),5)</f>
        <v>8863.2900000000009</v>
      </c>
    </row>
    <row r="57" spans="1:13" x14ac:dyDescent="0.3">
      <c r="A57" s="1"/>
      <c r="B57" s="1"/>
      <c r="C57" s="1"/>
      <c r="D57" s="1"/>
      <c r="E57" s="1"/>
      <c r="F57" s="1" t="s">
        <v>59</v>
      </c>
      <c r="G57" s="2">
        <v>2278.58</v>
      </c>
      <c r="H57" s="3"/>
      <c r="I57" s="2">
        <v>8484.5499999999993</v>
      </c>
      <c r="J57" s="3"/>
      <c r="K57" s="2">
        <v>6013.24</v>
      </c>
      <c r="L57" s="3"/>
      <c r="M57" s="2">
        <f>ROUND(SUM(G57:K57),5)</f>
        <v>16776.37</v>
      </c>
    </row>
    <row r="58" spans="1:13" x14ac:dyDescent="0.3">
      <c r="A58" s="1"/>
      <c r="B58" s="1"/>
      <c r="C58" s="1"/>
      <c r="D58" s="1"/>
      <c r="E58" s="1"/>
      <c r="F58" s="1" t="s">
        <v>60</v>
      </c>
      <c r="G58" s="2">
        <v>1300</v>
      </c>
      <c r="H58" s="3"/>
      <c r="I58" s="2">
        <v>0</v>
      </c>
      <c r="J58" s="3"/>
      <c r="K58" s="2">
        <v>0</v>
      </c>
      <c r="L58" s="3"/>
      <c r="M58" s="2">
        <f>ROUND(SUM(G58:K58),5)</f>
        <v>1300</v>
      </c>
    </row>
    <row r="59" spans="1:13" x14ac:dyDescent="0.3">
      <c r="A59" s="1"/>
      <c r="B59" s="1"/>
      <c r="C59" s="1"/>
      <c r="D59" s="1"/>
      <c r="E59" s="1"/>
      <c r="F59" s="1" t="s">
        <v>61</v>
      </c>
      <c r="G59" s="2">
        <v>15450</v>
      </c>
      <c r="H59" s="3"/>
      <c r="I59" s="2">
        <v>16200</v>
      </c>
      <c r="J59" s="3"/>
      <c r="K59" s="2">
        <v>9450</v>
      </c>
      <c r="L59" s="3"/>
      <c r="M59" s="2">
        <f>ROUND(SUM(G59:K59),5)</f>
        <v>41100</v>
      </c>
    </row>
    <row r="60" spans="1:13" x14ac:dyDescent="0.3">
      <c r="A60" s="1"/>
      <c r="B60" s="1"/>
      <c r="C60" s="1"/>
      <c r="D60" s="1"/>
      <c r="E60" s="1"/>
      <c r="F60" s="1" t="s">
        <v>62</v>
      </c>
      <c r="G60" s="2">
        <v>10858.1</v>
      </c>
      <c r="H60" s="3"/>
      <c r="I60" s="2">
        <v>26418.06</v>
      </c>
      <c r="J60" s="3"/>
      <c r="K60" s="2">
        <v>43119.93</v>
      </c>
      <c r="L60" s="3"/>
      <c r="M60" s="2">
        <f>ROUND(SUM(G60:K60),5)</f>
        <v>80396.09</v>
      </c>
    </row>
    <row r="61" spans="1:13" x14ac:dyDescent="0.3">
      <c r="A61" s="1"/>
      <c r="B61" s="1"/>
      <c r="C61" s="1"/>
      <c r="D61" s="1"/>
      <c r="E61" s="1"/>
      <c r="F61" s="1" t="s">
        <v>63</v>
      </c>
      <c r="G61" s="2">
        <v>803.88</v>
      </c>
      <c r="H61" s="3"/>
      <c r="I61" s="2">
        <v>0</v>
      </c>
      <c r="J61" s="3"/>
      <c r="K61" s="2">
        <v>0</v>
      </c>
      <c r="L61" s="3"/>
      <c r="M61" s="2">
        <f>ROUND(SUM(G61:K61),5)</f>
        <v>803.88</v>
      </c>
    </row>
    <row r="62" spans="1:13" ht="15" thickBot="1" x14ac:dyDescent="0.35">
      <c r="A62" s="1"/>
      <c r="B62" s="1"/>
      <c r="C62" s="1"/>
      <c r="D62" s="1"/>
      <c r="E62" s="1"/>
      <c r="F62" s="1" t="s">
        <v>64</v>
      </c>
      <c r="G62" s="4">
        <v>5703.46</v>
      </c>
      <c r="H62" s="3"/>
      <c r="I62" s="4">
        <v>12279.58</v>
      </c>
      <c r="J62" s="3"/>
      <c r="K62" s="4">
        <v>32173.72</v>
      </c>
      <c r="L62" s="3"/>
      <c r="M62" s="4">
        <f>ROUND(SUM(G62:K62),5)</f>
        <v>50156.76</v>
      </c>
    </row>
    <row r="63" spans="1:13" x14ac:dyDescent="0.3">
      <c r="A63" s="1"/>
      <c r="B63" s="1"/>
      <c r="C63" s="1"/>
      <c r="D63" s="1"/>
      <c r="E63" s="1" t="s">
        <v>65</v>
      </c>
      <c r="F63" s="1"/>
      <c r="G63" s="2">
        <f>ROUND(SUM(G52:G62),5)</f>
        <v>125139.41</v>
      </c>
      <c r="H63" s="3"/>
      <c r="I63" s="2">
        <f>ROUND(SUM(I52:I62),5)</f>
        <v>183960.84</v>
      </c>
      <c r="J63" s="3"/>
      <c r="K63" s="2">
        <f>ROUND(SUM(K52:K62),5)</f>
        <v>244927.86</v>
      </c>
      <c r="L63" s="3"/>
      <c r="M63" s="2">
        <f>ROUND(SUM(G63:K63),5)</f>
        <v>554028.11</v>
      </c>
    </row>
    <row r="64" spans="1:13" x14ac:dyDescent="0.3">
      <c r="A64" s="1"/>
      <c r="B64" s="1"/>
      <c r="C64" s="1"/>
      <c r="D64" s="1"/>
      <c r="E64" s="1" t="s">
        <v>66</v>
      </c>
      <c r="F64" s="1"/>
      <c r="G64" s="2">
        <v>18810</v>
      </c>
      <c r="H64" s="3"/>
      <c r="I64" s="2">
        <v>1562.5</v>
      </c>
      <c r="J64" s="3"/>
      <c r="K64" s="2">
        <v>1680</v>
      </c>
      <c r="L64" s="3"/>
      <c r="M64" s="2">
        <f>ROUND(SUM(G64:K64),5)</f>
        <v>22052.5</v>
      </c>
    </row>
    <row r="65" spans="1:13" x14ac:dyDescent="0.3">
      <c r="A65" s="1"/>
      <c r="B65" s="1"/>
      <c r="C65" s="1"/>
      <c r="D65" s="1"/>
      <c r="E65" s="1" t="s">
        <v>67</v>
      </c>
      <c r="F65" s="1"/>
      <c r="G65" s="2">
        <v>1522.61</v>
      </c>
      <c r="H65" s="3"/>
      <c r="I65" s="2">
        <v>7724.1</v>
      </c>
      <c r="J65" s="3"/>
      <c r="K65" s="2">
        <v>7324.4</v>
      </c>
      <c r="L65" s="3"/>
      <c r="M65" s="2">
        <f>ROUND(SUM(G65:K65),5)</f>
        <v>16571.11</v>
      </c>
    </row>
    <row r="66" spans="1:13" x14ac:dyDescent="0.3">
      <c r="A66" s="1"/>
      <c r="B66" s="1"/>
      <c r="C66" s="1"/>
      <c r="D66" s="1"/>
      <c r="E66" s="1" t="s">
        <v>68</v>
      </c>
      <c r="F66" s="1"/>
      <c r="G66" s="2"/>
      <c r="H66" s="3"/>
      <c r="I66" s="2"/>
      <c r="J66" s="3"/>
      <c r="K66" s="2"/>
      <c r="L66" s="3"/>
      <c r="M66" s="2"/>
    </row>
    <row r="67" spans="1:13" x14ac:dyDescent="0.3">
      <c r="A67" s="1"/>
      <c r="B67" s="1"/>
      <c r="C67" s="1"/>
      <c r="D67" s="1"/>
      <c r="E67" s="1"/>
      <c r="F67" s="1" t="s">
        <v>69</v>
      </c>
      <c r="G67" s="2">
        <v>63621.4</v>
      </c>
      <c r="H67" s="3"/>
      <c r="I67" s="2">
        <v>104166.96</v>
      </c>
      <c r="J67" s="3"/>
      <c r="K67" s="2">
        <v>129614.45</v>
      </c>
      <c r="L67" s="3"/>
      <c r="M67" s="2">
        <f>ROUND(SUM(G67:K67),5)</f>
        <v>297402.81</v>
      </c>
    </row>
    <row r="68" spans="1:13" ht="15" thickBot="1" x14ac:dyDescent="0.35">
      <c r="A68" s="1"/>
      <c r="B68" s="1"/>
      <c r="C68" s="1"/>
      <c r="D68" s="1"/>
      <c r="E68" s="1"/>
      <c r="F68" s="1" t="s">
        <v>70</v>
      </c>
      <c r="G68" s="4">
        <v>16312.16</v>
      </c>
      <c r="H68" s="3"/>
      <c r="I68" s="4">
        <v>18735.009999999998</v>
      </c>
      <c r="J68" s="3"/>
      <c r="K68" s="4">
        <v>18846.79</v>
      </c>
      <c r="L68" s="3"/>
      <c r="M68" s="4">
        <f>ROUND(SUM(G68:K68),5)</f>
        <v>53893.96</v>
      </c>
    </row>
    <row r="69" spans="1:13" x14ac:dyDescent="0.3">
      <c r="A69" s="1"/>
      <c r="B69" s="1"/>
      <c r="C69" s="1"/>
      <c r="D69" s="1"/>
      <c r="E69" s="1" t="s">
        <v>71</v>
      </c>
      <c r="F69" s="1"/>
      <c r="G69" s="2">
        <f>ROUND(SUM(G66:G68),5)</f>
        <v>79933.56</v>
      </c>
      <c r="H69" s="3"/>
      <c r="I69" s="2">
        <f>ROUND(SUM(I66:I68),5)</f>
        <v>122901.97</v>
      </c>
      <c r="J69" s="3"/>
      <c r="K69" s="2">
        <f>ROUND(SUM(K66:K68),5)</f>
        <v>148461.24</v>
      </c>
      <c r="L69" s="3"/>
      <c r="M69" s="2">
        <f>ROUND(SUM(G69:K69),5)</f>
        <v>351296.77</v>
      </c>
    </row>
    <row r="70" spans="1:13" x14ac:dyDescent="0.3">
      <c r="A70" s="1"/>
      <c r="B70" s="1"/>
      <c r="C70" s="1"/>
      <c r="D70" s="1"/>
      <c r="E70" s="1" t="s">
        <v>72</v>
      </c>
      <c r="F70" s="1"/>
      <c r="G70" s="2">
        <v>35.119999999999997</v>
      </c>
      <c r="H70" s="3"/>
      <c r="I70" s="2">
        <v>9251.25</v>
      </c>
      <c r="J70" s="3"/>
      <c r="K70" s="2">
        <v>15415.21</v>
      </c>
      <c r="L70" s="3"/>
      <c r="M70" s="2">
        <f>ROUND(SUM(G70:K70),5)</f>
        <v>24701.58</v>
      </c>
    </row>
    <row r="71" spans="1:13" x14ac:dyDescent="0.3">
      <c r="A71" s="1"/>
      <c r="B71" s="1"/>
      <c r="C71" s="1"/>
      <c r="D71" s="1"/>
      <c r="E71" s="1" t="s">
        <v>73</v>
      </c>
      <c r="F71" s="1"/>
      <c r="G71" s="2">
        <v>0</v>
      </c>
      <c r="H71" s="3"/>
      <c r="I71" s="2">
        <v>0</v>
      </c>
      <c r="J71" s="3"/>
      <c r="K71" s="2">
        <v>835</v>
      </c>
      <c r="L71" s="3"/>
      <c r="M71" s="2">
        <f>ROUND(SUM(G71:K71),5)</f>
        <v>835</v>
      </c>
    </row>
    <row r="72" spans="1:13" x14ac:dyDescent="0.3">
      <c r="A72" s="1"/>
      <c r="B72" s="1"/>
      <c r="C72" s="1"/>
      <c r="D72" s="1"/>
      <c r="E72" s="1" t="s">
        <v>74</v>
      </c>
      <c r="F72" s="1"/>
      <c r="G72" s="2">
        <v>3057.38</v>
      </c>
      <c r="H72" s="3"/>
      <c r="I72" s="2">
        <v>2990.88</v>
      </c>
      <c r="J72" s="3"/>
      <c r="K72" s="2">
        <v>1496.28</v>
      </c>
      <c r="L72" s="3"/>
      <c r="M72" s="2">
        <f>ROUND(SUM(G72:K72),5)</f>
        <v>7544.54</v>
      </c>
    </row>
    <row r="73" spans="1:13" x14ac:dyDescent="0.3">
      <c r="A73" s="1"/>
      <c r="B73" s="1"/>
      <c r="C73" s="1"/>
      <c r="D73" s="1"/>
      <c r="E73" s="1" t="s">
        <v>75</v>
      </c>
      <c r="F73" s="1"/>
      <c r="G73" s="2">
        <v>0</v>
      </c>
      <c r="H73" s="3"/>
      <c r="I73" s="2">
        <v>0</v>
      </c>
      <c r="J73" s="3"/>
      <c r="K73" s="2">
        <v>282</v>
      </c>
      <c r="L73" s="3"/>
      <c r="M73" s="2">
        <f>ROUND(SUM(G73:K73),5)</f>
        <v>282</v>
      </c>
    </row>
    <row r="74" spans="1:13" x14ac:dyDescent="0.3">
      <c r="A74" s="1"/>
      <c r="B74" s="1"/>
      <c r="C74" s="1"/>
      <c r="D74" s="1"/>
      <c r="E74" s="1" t="s">
        <v>76</v>
      </c>
      <c r="F74" s="1"/>
      <c r="G74" s="2">
        <v>9851.2800000000007</v>
      </c>
      <c r="H74" s="3"/>
      <c r="I74" s="2">
        <v>15194.54</v>
      </c>
      <c r="J74" s="3"/>
      <c r="K74" s="2">
        <v>8641.32</v>
      </c>
      <c r="L74" s="3"/>
      <c r="M74" s="2">
        <f>ROUND(SUM(G74:K74),5)</f>
        <v>33687.14</v>
      </c>
    </row>
    <row r="75" spans="1:13" x14ac:dyDescent="0.3">
      <c r="A75" s="1"/>
      <c r="B75" s="1"/>
      <c r="C75" s="1"/>
      <c r="D75" s="1"/>
      <c r="E75" s="1" t="s">
        <v>77</v>
      </c>
      <c r="F75" s="1"/>
      <c r="G75" s="2"/>
      <c r="H75" s="3"/>
      <c r="I75" s="2"/>
      <c r="J75" s="3"/>
      <c r="K75" s="2"/>
      <c r="L75" s="3"/>
      <c r="M75" s="2"/>
    </row>
    <row r="76" spans="1:13" x14ac:dyDescent="0.3">
      <c r="A76" s="1"/>
      <c r="B76" s="1"/>
      <c r="C76" s="1"/>
      <c r="D76" s="1"/>
      <c r="E76" s="1"/>
      <c r="F76" s="1" t="s">
        <v>78</v>
      </c>
      <c r="G76" s="2">
        <v>96000</v>
      </c>
      <c r="H76" s="3"/>
      <c r="I76" s="2">
        <v>123000</v>
      </c>
      <c r="J76" s="3"/>
      <c r="K76" s="2">
        <v>141000</v>
      </c>
      <c r="L76" s="3"/>
      <c r="M76" s="2">
        <f>ROUND(SUM(G76:K76),5)</f>
        <v>360000</v>
      </c>
    </row>
    <row r="77" spans="1:13" x14ac:dyDescent="0.3">
      <c r="A77" s="1"/>
      <c r="B77" s="1"/>
      <c r="C77" s="1"/>
      <c r="D77" s="1"/>
      <c r="E77" s="1"/>
      <c r="F77" s="1" t="s">
        <v>79</v>
      </c>
      <c r="G77" s="2">
        <v>96000</v>
      </c>
      <c r="H77" s="3"/>
      <c r="I77" s="2">
        <v>123000</v>
      </c>
      <c r="J77" s="3"/>
      <c r="K77" s="2">
        <v>141000</v>
      </c>
      <c r="L77" s="3"/>
      <c r="M77" s="2">
        <f>ROUND(SUM(G77:K77),5)</f>
        <v>360000</v>
      </c>
    </row>
    <row r="78" spans="1:13" ht="15" thickBot="1" x14ac:dyDescent="0.35">
      <c r="A78" s="1"/>
      <c r="B78" s="1"/>
      <c r="C78" s="1"/>
      <c r="D78" s="1"/>
      <c r="E78" s="1"/>
      <c r="F78" s="1" t="s">
        <v>80</v>
      </c>
      <c r="G78" s="4">
        <v>96000</v>
      </c>
      <c r="H78" s="3"/>
      <c r="I78" s="4">
        <v>123000</v>
      </c>
      <c r="J78" s="3"/>
      <c r="K78" s="4">
        <v>141000</v>
      </c>
      <c r="L78" s="3"/>
      <c r="M78" s="4">
        <f>ROUND(SUM(G78:K78),5)</f>
        <v>360000</v>
      </c>
    </row>
    <row r="79" spans="1:13" x14ac:dyDescent="0.3">
      <c r="A79" s="1"/>
      <c r="B79" s="1"/>
      <c r="C79" s="1"/>
      <c r="D79" s="1"/>
      <c r="E79" s="1" t="s">
        <v>81</v>
      </c>
      <c r="F79" s="1"/>
      <c r="G79" s="2">
        <f>ROUND(SUM(G75:G78),5)</f>
        <v>288000</v>
      </c>
      <c r="H79" s="3"/>
      <c r="I79" s="2">
        <f>ROUND(SUM(I75:I78),5)</f>
        <v>369000</v>
      </c>
      <c r="J79" s="3"/>
      <c r="K79" s="2">
        <f>ROUND(SUM(K75:K78),5)</f>
        <v>423000</v>
      </c>
      <c r="L79" s="3"/>
      <c r="M79" s="2">
        <f>ROUND(SUM(G79:K79),5)</f>
        <v>1080000</v>
      </c>
    </row>
    <row r="80" spans="1:13" x14ac:dyDescent="0.3">
      <c r="A80" s="1"/>
      <c r="B80" s="1"/>
      <c r="C80" s="1"/>
      <c r="D80" s="1"/>
      <c r="E80" s="1" t="s">
        <v>82</v>
      </c>
      <c r="F80" s="1"/>
      <c r="G80" s="2">
        <v>9397.8799999999992</v>
      </c>
      <c r="H80" s="3"/>
      <c r="I80" s="2">
        <v>10877.26</v>
      </c>
      <c r="J80" s="3"/>
      <c r="K80" s="2">
        <v>10636.19</v>
      </c>
      <c r="L80" s="3"/>
      <c r="M80" s="2">
        <f>ROUND(SUM(G80:K80),5)</f>
        <v>30911.33</v>
      </c>
    </row>
    <row r="81" spans="1:13" x14ac:dyDescent="0.3">
      <c r="A81" s="1"/>
      <c r="B81" s="1"/>
      <c r="C81" s="1"/>
      <c r="D81" s="1"/>
      <c r="E81" s="1" t="s">
        <v>83</v>
      </c>
      <c r="F81" s="1"/>
      <c r="G81" s="2">
        <v>239684.15</v>
      </c>
      <c r="H81" s="3"/>
      <c r="I81" s="2">
        <v>305442.58</v>
      </c>
      <c r="J81" s="3"/>
      <c r="K81" s="2">
        <v>332043.14</v>
      </c>
      <c r="L81" s="3"/>
      <c r="M81" s="2">
        <f>ROUND(SUM(G81:K81),5)</f>
        <v>877169.87</v>
      </c>
    </row>
    <row r="82" spans="1:13" x14ac:dyDescent="0.3">
      <c r="A82" s="1"/>
      <c r="B82" s="1"/>
      <c r="C82" s="1"/>
      <c r="D82" s="1"/>
      <c r="E82" s="1" t="s">
        <v>84</v>
      </c>
      <c r="F82" s="1"/>
      <c r="G82" s="2">
        <v>11564</v>
      </c>
      <c r="H82" s="3"/>
      <c r="I82" s="2">
        <v>15084.17</v>
      </c>
      <c r="J82" s="3"/>
      <c r="K82" s="2">
        <v>12364.27</v>
      </c>
      <c r="L82" s="3"/>
      <c r="M82" s="2">
        <f>ROUND(SUM(G82:K82),5)</f>
        <v>39012.44</v>
      </c>
    </row>
    <row r="83" spans="1:13" x14ac:dyDescent="0.3">
      <c r="A83" s="1"/>
      <c r="B83" s="1"/>
      <c r="C83" s="1"/>
      <c r="D83" s="1"/>
      <c r="E83" s="1" t="s">
        <v>85</v>
      </c>
      <c r="F83" s="1"/>
      <c r="G83" s="2">
        <v>6.48</v>
      </c>
      <c r="H83" s="3"/>
      <c r="I83" s="2">
        <v>3.59</v>
      </c>
      <c r="J83" s="3"/>
      <c r="K83" s="2">
        <v>-29.86</v>
      </c>
      <c r="L83" s="3"/>
      <c r="M83" s="2">
        <f>ROUND(SUM(G83:K83),5)</f>
        <v>-19.79</v>
      </c>
    </row>
    <row r="84" spans="1:13" x14ac:dyDescent="0.3">
      <c r="A84" s="1"/>
      <c r="B84" s="1"/>
      <c r="C84" s="1"/>
      <c r="D84" s="1"/>
      <c r="E84" s="1" t="s">
        <v>86</v>
      </c>
      <c r="F84" s="1"/>
      <c r="G84" s="2">
        <v>0</v>
      </c>
      <c r="H84" s="3"/>
      <c r="I84" s="2">
        <v>3708.01</v>
      </c>
      <c r="J84" s="3"/>
      <c r="K84" s="2">
        <v>0</v>
      </c>
      <c r="L84" s="3"/>
      <c r="M84" s="2">
        <f>ROUND(SUM(G84:K84),5)</f>
        <v>3708.01</v>
      </c>
    </row>
    <row r="85" spans="1:13" x14ac:dyDescent="0.3">
      <c r="A85" s="1"/>
      <c r="B85" s="1"/>
      <c r="C85" s="1"/>
      <c r="D85" s="1"/>
      <c r="E85" s="1" t="s">
        <v>87</v>
      </c>
      <c r="F85" s="1"/>
      <c r="G85" s="2">
        <v>26768</v>
      </c>
      <c r="H85" s="3"/>
      <c r="I85" s="2">
        <v>30770.65</v>
      </c>
      <c r="J85" s="3"/>
      <c r="K85" s="2">
        <v>33129.300000000003</v>
      </c>
      <c r="L85" s="3"/>
      <c r="M85" s="2">
        <f>ROUND(SUM(G85:K85),5)</f>
        <v>90667.95</v>
      </c>
    </row>
    <row r="86" spans="1:13" x14ac:dyDescent="0.3">
      <c r="A86" s="1"/>
      <c r="B86" s="1"/>
      <c r="C86" s="1"/>
      <c r="D86" s="1"/>
      <c r="E86" s="1" t="s">
        <v>88</v>
      </c>
      <c r="F86" s="1"/>
      <c r="G86" s="2">
        <v>0</v>
      </c>
      <c r="H86" s="3"/>
      <c r="I86" s="2">
        <v>0</v>
      </c>
      <c r="J86" s="3"/>
      <c r="K86" s="2">
        <v>66887.61</v>
      </c>
      <c r="L86" s="3"/>
      <c r="M86" s="2">
        <f>ROUND(SUM(G86:K86),5)</f>
        <v>66887.61</v>
      </c>
    </row>
    <row r="87" spans="1:13" x14ac:dyDescent="0.3">
      <c r="A87" s="1"/>
      <c r="B87" s="1"/>
      <c r="C87" s="1"/>
      <c r="D87" s="1"/>
      <c r="E87" s="1" t="s">
        <v>89</v>
      </c>
      <c r="F87" s="1"/>
      <c r="G87" s="2"/>
      <c r="H87" s="3"/>
      <c r="I87" s="2"/>
      <c r="J87" s="3"/>
      <c r="K87" s="2"/>
      <c r="L87" s="3"/>
      <c r="M87" s="2"/>
    </row>
    <row r="88" spans="1:13" x14ac:dyDescent="0.3">
      <c r="A88" s="1"/>
      <c r="B88" s="1"/>
      <c r="C88" s="1"/>
      <c r="D88" s="1"/>
      <c r="E88" s="1"/>
      <c r="F88" s="1" t="s">
        <v>90</v>
      </c>
      <c r="G88" s="2">
        <v>10871.87</v>
      </c>
      <c r="H88" s="3"/>
      <c r="I88" s="2">
        <v>27598.99</v>
      </c>
      <c r="J88" s="3"/>
      <c r="K88" s="2">
        <v>37319.86</v>
      </c>
      <c r="L88" s="3"/>
      <c r="M88" s="2">
        <f>ROUND(SUM(G88:K88),5)</f>
        <v>75790.720000000001</v>
      </c>
    </row>
    <row r="89" spans="1:13" x14ac:dyDescent="0.3">
      <c r="A89" s="1"/>
      <c r="B89" s="1"/>
      <c r="C89" s="1"/>
      <c r="D89" s="1"/>
      <c r="E89" s="1"/>
      <c r="F89" s="1" t="s">
        <v>91</v>
      </c>
      <c r="G89" s="2">
        <v>96396.27</v>
      </c>
      <c r="H89" s="3"/>
      <c r="I89" s="2">
        <v>425568.83</v>
      </c>
      <c r="J89" s="3"/>
      <c r="K89" s="2">
        <v>487967.55</v>
      </c>
      <c r="L89" s="3"/>
      <c r="M89" s="2">
        <f>ROUND(SUM(G89:K89),5)</f>
        <v>1009932.65</v>
      </c>
    </row>
    <row r="90" spans="1:13" ht="15" thickBot="1" x14ac:dyDescent="0.35">
      <c r="A90" s="1"/>
      <c r="B90" s="1"/>
      <c r="C90" s="1"/>
      <c r="D90" s="1"/>
      <c r="E90" s="1"/>
      <c r="F90" s="1" t="s">
        <v>92</v>
      </c>
      <c r="G90" s="4">
        <v>627761.67000000004</v>
      </c>
      <c r="H90" s="3"/>
      <c r="I90" s="4">
        <v>793277.79</v>
      </c>
      <c r="J90" s="3"/>
      <c r="K90" s="4">
        <v>506770.55</v>
      </c>
      <c r="L90" s="3"/>
      <c r="M90" s="4">
        <f>ROUND(SUM(G90:K90),5)</f>
        <v>1927810.01</v>
      </c>
    </row>
    <row r="91" spans="1:13" x14ac:dyDescent="0.3">
      <c r="A91" s="1"/>
      <c r="B91" s="1"/>
      <c r="C91" s="1"/>
      <c r="D91" s="1"/>
      <c r="E91" s="1" t="s">
        <v>93</v>
      </c>
      <c r="F91" s="1"/>
      <c r="G91" s="2">
        <f>ROUND(SUM(G87:G90),5)</f>
        <v>735029.81</v>
      </c>
      <c r="H91" s="3"/>
      <c r="I91" s="2">
        <f>ROUND(SUM(I87:I90),5)</f>
        <v>1246445.6100000001</v>
      </c>
      <c r="J91" s="3"/>
      <c r="K91" s="2">
        <f>ROUND(SUM(K87:K90),5)</f>
        <v>1032057.96</v>
      </c>
      <c r="L91" s="3"/>
      <c r="M91" s="2">
        <f>ROUND(SUM(G91:K91),5)</f>
        <v>3013533.38</v>
      </c>
    </row>
    <row r="92" spans="1:13" x14ac:dyDescent="0.3">
      <c r="A92" s="1"/>
      <c r="B92" s="1"/>
      <c r="C92" s="1"/>
      <c r="D92" s="1"/>
      <c r="E92" s="1" t="s">
        <v>94</v>
      </c>
      <c r="F92" s="1"/>
      <c r="G92" s="2">
        <v>0</v>
      </c>
      <c r="H92" s="3"/>
      <c r="I92" s="2">
        <v>15.54</v>
      </c>
      <c r="J92" s="3"/>
      <c r="K92" s="2">
        <v>0</v>
      </c>
      <c r="L92" s="3"/>
      <c r="M92" s="2">
        <f>ROUND(SUM(G92:K92),5)</f>
        <v>15.54</v>
      </c>
    </row>
    <row r="93" spans="1:13" x14ac:dyDescent="0.3">
      <c r="A93" s="1"/>
      <c r="B93" s="1"/>
      <c r="C93" s="1"/>
      <c r="D93" s="1"/>
      <c r="E93" s="1" t="s">
        <v>95</v>
      </c>
      <c r="F93" s="1"/>
      <c r="G93" s="2">
        <v>1556.76</v>
      </c>
      <c r="H93" s="3"/>
      <c r="I93" s="2">
        <v>605.73</v>
      </c>
      <c r="J93" s="3"/>
      <c r="K93" s="2">
        <v>709.1</v>
      </c>
      <c r="L93" s="3"/>
      <c r="M93" s="2">
        <f>ROUND(SUM(G93:K93),5)</f>
        <v>2871.59</v>
      </c>
    </row>
    <row r="94" spans="1:13" x14ac:dyDescent="0.3">
      <c r="A94" s="1"/>
      <c r="B94" s="1"/>
      <c r="C94" s="1"/>
      <c r="D94" s="1"/>
      <c r="E94" s="1" t="s">
        <v>96</v>
      </c>
      <c r="F94" s="1"/>
      <c r="G94" s="2">
        <v>3765.26</v>
      </c>
      <c r="H94" s="3"/>
      <c r="I94" s="2">
        <v>1966.01</v>
      </c>
      <c r="J94" s="3"/>
      <c r="K94" s="2">
        <v>2280.4299999999998</v>
      </c>
      <c r="L94" s="3"/>
      <c r="M94" s="2">
        <f>ROUND(SUM(G94:K94),5)</f>
        <v>8011.7</v>
      </c>
    </row>
    <row r="95" spans="1:13" x14ac:dyDescent="0.3">
      <c r="A95" s="1"/>
      <c r="B95" s="1"/>
      <c r="C95" s="1"/>
      <c r="D95" s="1"/>
      <c r="E95" s="1" t="s">
        <v>97</v>
      </c>
      <c r="F95" s="1"/>
      <c r="G95" s="2"/>
      <c r="H95" s="3"/>
      <c r="I95" s="2"/>
      <c r="J95" s="3"/>
      <c r="K95" s="2"/>
      <c r="L95" s="3"/>
      <c r="M95" s="2"/>
    </row>
    <row r="96" spans="1:13" x14ac:dyDescent="0.3">
      <c r="A96" s="1"/>
      <c r="B96" s="1"/>
      <c r="C96" s="1"/>
      <c r="D96" s="1"/>
      <c r="E96" s="1"/>
      <c r="F96" s="1" t="s">
        <v>98</v>
      </c>
      <c r="G96" s="2">
        <v>40616</v>
      </c>
      <c r="H96" s="3"/>
      <c r="I96" s="2">
        <v>0</v>
      </c>
      <c r="J96" s="3"/>
      <c r="K96" s="2">
        <v>0</v>
      </c>
      <c r="L96" s="3"/>
      <c r="M96" s="2">
        <f>ROUND(SUM(G96:K96),5)</f>
        <v>40616</v>
      </c>
    </row>
    <row r="97" spans="1:13" ht="15" thickBot="1" x14ac:dyDescent="0.35">
      <c r="A97" s="1"/>
      <c r="B97" s="1"/>
      <c r="C97" s="1"/>
      <c r="D97" s="1"/>
      <c r="E97" s="1"/>
      <c r="F97" s="1" t="s">
        <v>99</v>
      </c>
      <c r="G97" s="4">
        <v>10680.78</v>
      </c>
      <c r="H97" s="3"/>
      <c r="I97" s="4">
        <v>121732</v>
      </c>
      <c r="J97" s="3"/>
      <c r="K97" s="4">
        <v>44860.89</v>
      </c>
      <c r="L97" s="3"/>
      <c r="M97" s="4">
        <f>ROUND(SUM(G97:K97),5)</f>
        <v>177273.67</v>
      </c>
    </row>
    <row r="98" spans="1:13" x14ac:dyDescent="0.3">
      <c r="A98" s="1"/>
      <c r="B98" s="1"/>
      <c r="C98" s="1"/>
      <c r="D98" s="1"/>
      <c r="E98" s="1" t="s">
        <v>100</v>
      </c>
      <c r="F98" s="1"/>
      <c r="G98" s="2">
        <f>ROUND(SUM(G95:G97),5)</f>
        <v>51296.78</v>
      </c>
      <c r="H98" s="3"/>
      <c r="I98" s="2">
        <f>ROUND(SUM(I95:I97),5)</f>
        <v>121732</v>
      </c>
      <c r="J98" s="3"/>
      <c r="K98" s="2">
        <f>ROUND(SUM(K95:K97),5)</f>
        <v>44860.89</v>
      </c>
      <c r="L98" s="3"/>
      <c r="M98" s="2">
        <f>ROUND(SUM(G98:K98),5)</f>
        <v>217889.67</v>
      </c>
    </row>
    <row r="99" spans="1:13" x14ac:dyDescent="0.3">
      <c r="A99" s="1"/>
      <c r="B99" s="1"/>
      <c r="C99" s="1"/>
      <c r="D99" s="1"/>
      <c r="E99" s="1" t="s">
        <v>101</v>
      </c>
      <c r="F99" s="1"/>
      <c r="G99" s="2">
        <v>0</v>
      </c>
      <c r="H99" s="3"/>
      <c r="I99" s="2">
        <v>300</v>
      </c>
      <c r="J99" s="3"/>
      <c r="K99" s="2">
        <v>0</v>
      </c>
      <c r="L99" s="3"/>
      <c r="M99" s="2">
        <f>ROUND(SUM(G99:K99),5)</f>
        <v>300</v>
      </c>
    </row>
    <row r="100" spans="1:13" x14ac:dyDescent="0.3">
      <c r="A100" s="1"/>
      <c r="B100" s="1"/>
      <c r="C100" s="1"/>
      <c r="D100" s="1"/>
      <c r="E100" s="1" t="s">
        <v>102</v>
      </c>
      <c r="F100" s="1"/>
      <c r="G100" s="2"/>
      <c r="H100" s="3"/>
      <c r="I100" s="2"/>
      <c r="J100" s="3"/>
      <c r="K100" s="2"/>
      <c r="L100" s="3"/>
      <c r="M100" s="2"/>
    </row>
    <row r="101" spans="1:13" x14ac:dyDescent="0.3">
      <c r="A101" s="1"/>
      <c r="B101" s="1"/>
      <c r="C101" s="1"/>
      <c r="D101" s="1"/>
      <c r="E101" s="1"/>
      <c r="F101" s="1" t="s">
        <v>103</v>
      </c>
      <c r="G101" s="2">
        <v>2448</v>
      </c>
      <c r="H101" s="3"/>
      <c r="I101" s="2">
        <v>2097</v>
      </c>
      <c r="J101" s="3"/>
      <c r="K101" s="2">
        <v>0</v>
      </c>
      <c r="L101" s="3"/>
      <c r="M101" s="2">
        <f>ROUND(SUM(G101:K101),5)</f>
        <v>4545</v>
      </c>
    </row>
    <row r="102" spans="1:13" x14ac:dyDescent="0.3">
      <c r="A102" s="1"/>
      <c r="B102" s="1"/>
      <c r="C102" s="1"/>
      <c r="D102" s="1"/>
      <c r="E102" s="1"/>
      <c r="F102" s="1" t="s">
        <v>104</v>
      </c>
      <c r="G102" s="2">
        <v>1715.5</v>
      </c>
      <c r="H102" s="3"/>
      <c r="I102" s="2">
        <v>1936.99</v>
      </c>
      <c r="J102" s="3"/>
      <c r="K102" s="2">
        <v>1904.64</v>
      </c>
      <c r="L102" s="3"/>
      <c r="M102" s="2">
        <f>ROUND(SUM(G102:K102),5)</f>
        <v>5557.13</v>
      </c>
    </row>
    <row r="103" spans="1:13" x14ac:dyDescent="0.3">
      <c r="A103" s="1"/>
      <c r="B103" s="1"/>
      <c r="C103" s="1"/>
      <c r="D103" s="1"/>
      <c r="E103" s="1"/>
      <c r="F103" s="1" t="s">
        <v>105</v>
      </c>
      <c r="G103" s="2">
        <v>9655.5300000000007</v>
      </c>
      <c r="H103" s="3"/>
      <c r="I103" s="2">
        <v>11220.4</v>
      </c>
      <c r="J103" s="3"/>
      <c r="K103" s="2">
        <v>14428.37</v>
      </c>
      <c r="L103" s="3"/>
      <c r="M103" s="2">
        <f>ROUND(SUM(G103:K103),5)</f>
        <v>35304.300000000003</v>
      </c>
    </row>
    <row r="104" spans="1:13" ht="15" thickBot="1" x14ac:dyDescent="0.35">
      <c r="A104" s="1"/>
      <c r="B104" s="1"/>
      <c r="C104" s="1"/>
      <c r="D104" s="1"/>
      <c r="E104" s="1"/>
      <c r="F104" s="1" t="s">
        <v>106</v>
      </c>
      <c r="G104" s="4">
        <v>8340.8700000000008</v>
      </c>
      <c r="H104" s="3"/>
      <c r="I104" s="4">
        <v>7601.15</v>
      </c>
      <c r="J104" s="3"/>
      <c r="K104" s="4">
        <v>7783.52</v>
      </c>
      <c r="L104" s="3"/>
      <c r="M104" s="4">
        <f>ROUND(SUM(G104:K104),5)</f>
        <v>23725.54</v>
      </c>
    </row>
    <row r="105" spans="1:13" x14ac:dyDescent="0.3">
      <c r="A105" s="1"/>
      <c r="B105" s="1"/>
      <c r="C105" s="1"/>
      <c r="D105" s="1"/>
      <c r="E105" s="1" t="s">
        <v>107</v>
      </c>
      <c r="F105" s="1"/>
      <c r="G105" s="2">
        <f>ROUND(SUM(G100:G104),5)</f>
        <v>22159.9</v>
      </c>
      <c r="H105" s="3"/>
      <c r="I105" s="2">
        <f>ROUND(SUM(I100:I104),5)</f>
        <v>22855.54</v>
      </c>
      <c r="J105" s="3"/>
      <c r="K105" s="2">
        <f>ROUND(SUM(K100:K104),5)</f>
        <v>24116.53</v>
      </c>
      <c r="L105" s="3"/>
      <c r="M105" s="2">
        <f>ROUND(SUM(G105:K105),5)</f>
        <v>69131.97</v>
      </c>
    </row>
    <row r="106" spans="1:13" x14ac:dyDescent="0.3">
      <c r="A106" s="1"/>
      <c r="B106" s="1"/>
      <c r="C106" s="1"/>
      <c r="D106" s="1"/>
      <c r="E106" s="1" t="s">
        <v>108</v>
      </c>
      <c r="F106" s="1"/>
      <c r="G106" s="2">
        <v>6443.95</v>
      </c>
      <c r="H106" s="3"/>
      <c r="I106" s="2">
        <v>12730.91</v>
      </c>
      <c r="J106" s="3"/>
      <c r="K106" s="2">
        <v>2779.51</v>
      </c>
      <c r="L106" s="3"/>
      <c r="M106" s="2">
        <f>ROUND(SUM(G106:K106),5)</f>
        <v>21954.37</v>
      </c>
    </row>
    <row r="107" spans="1:13" x14ac:dyDescent="0.3">
      <c r="A107" s="1"/>
      <c r="B107" s="1"/>
      <c r="C107" s="1"/>
      <c r="D107" s="1"/>
      <c r="E107" s="1" t="s">
        <v>109</v>
      </c>
      <c r="F107" s="1"/>
      <c r="G107" s="2">
        <v>16960.13</v>
      </c>
      <c r="H107" s="3"/>
      <c r="I107" s="2">
        <v>13646.49</v>
      </c>
      <c r="J107" s="3"/>
      <c r="K107" s="2">
        <v>11001.63</v>
      </c>
      <c r="L107" s="3"/>
      <c r="M107" s="2">
        <f>ROUND(SUM(G107:K107),5)</f>
        <v>41608.25</v>
      </c>
    </row>
    <row r="108" spans="1:13" ht="15" thickBot="1" x14ac:dyDescent="0.35">
      <c r="A108" s="1"/>
      <c r="B108" s="1"/>
      <c r="C108" s="1"/>
      <c r="D108" s="1"/>
      <c r="E108" s="1" t="s">
        <v>110</v>
      </c>
      <c r="F108" s="1"/>
      <c r="G108" s="5">
        <v>2606.77</v>
      </c>
      <c r="H108" s="3"/>
      <c r="I108" s="5">
        <v>4163.4799999999996</v>
      </c>
      <c r="J108" s="3"/>
      <c r="K108" s="5">
        <v>7721.97</v>
      </c>
      <c r="L108" s="3"/>
      <c r="M108" s="5">
        <f>ROUND(SUM(G108:K108),5)</f>
        <v>14492.22</v>
      </c>
    </row>
    <row r="109" spans="1:13" ht="15" thickBot="1" x14ac:dyDescent="0.35">
      <c r="A109" s="1"/>
      <c r="B109" s="1"/>
      <c r="C109" s="1"/>
      <c r="D109" s="1" t="s">
        <v>111</v>
      </c>
      <c r="E109" s="1"/>
      <c r="F109" s="1"/>
      <c r="G109" s="6">
        <f>ROUND(SUM(G42:G44)+SUM(G48:G51)+SUM(G63:G65)+SUM(G69:G74)+SUM(G79:G86)+SUM(G91:G94)+SUM(G98:G99)+SUM(G105:G108),5)</f>
        <v>1739221.07</v>
      </c>
      <c r="H109" s="3"/>
      <c r="I109" s="6">
        <f>ROUND(SUM(I42:I44)+SUM(I48:I51)+SUM(I63:I65)+SUM(I69:I74)+SUM(I79:I86)+SUM(I91:I94)+SUM(I98:I99)+SUM(I105:I108),5)</f>
        <v>2630264.2999999998</v>
      </c>
      <c r="J109" s="3"/>
      <c r="K109" s="6">
        <f>ROUND(SUM(K42:K44)+SUM(K48:K51)+SUM(K63:K65)+SUM(K69:K74)+SUM(K79:K86)+SUM(K91:K94)+SUM(K98:K99)+SUM(K105:K108),5)</f>
        <v>2491848.94</v>
      </c>
      <c r="L109" s="3"/>
      <c r="M109" s="6">
        <f>ROUND(SUM(G109:K109),5)</f>
        <v>6861334.3099999996</v>
      </c>
    </row>
    <row r="110" spans="1:13" ht="15" thickBot="1" x14ac:dyDescent="0.35">
      <c r="A110" s="1"/>
      <c r="B110" s="1" t="s">
        <v>112</v>
      </c>
      <c r="C110" s="1"/>
      <c r="D110" s="1"/>
      <c r="E110" s="1"/>
      <c r="F110" s="1"/>
      <c r="G110" s="6">
        <f>ROUND(G2+G41-G109,5)</f>
        <v>646796.31000000006</v>
      </c>
      <c r="H110" s="3"/>
      <c r="I110" s="6">
        <f>ROUND(I2+I41-I109,5)</f>
        <v>58490.63</v>
      </c>
      <c r="J110" s="3"/>
      <c r="K110" s="6">
        <f>ROUND(K2+K41-K109,5)</f>
        <v>261452.87</v>
      </c>
      <c r="L110" s="3"/>
      <c r="M110" s="6">
        <f>ROUND(SUM(G110:K110),5)</f>
        <v>966739.81</v>
      </c>
    </row>
    <row r="111" spans="1:13" s="9" customFormat="1" ht="10.8" thickBot="1" x14ac:dyDescent="0.25">
      <c r="A111" s="1" t="s">
        <v>113</v>
      </c>
      <c r="B111" s="1"/>
      <c r="C111" s="1"/>
      <c r="D111" s="1"/>
      <c r="E111" s="1"/>
      <c r="F111" s="1"/>
      <c r="G111" s="8">
        <f>G110</f>
        <v>646796.31000000006</v>
      </c>
      <c r="H111" s="1"/>
      <c r="I111" s="8">
        <f>I110</f>
        <v>58490.63</v>
      </c>
      <c r="J111" s="1"/>
      <c r="K111" s="8">
        <f>K110</f>
        <v>261452.87</v>
      </c>
      <c r="L111" s="1"/>
      <c r="M111" s="8">
        <f>ROUND(SUM(G111:K111),5)</f>
        <v>966739.81</v>
      </c>
    </row>
    <row r="112" spans="1:13" ht="15" thickTop="1" x14ac:dyDescent="0.3"/>
  </sheetData>
  <pageMargins left="0.7" right="0.7" top="0.75" bottom="0.75" header="0.1" footer="0.3"/>
  <pageSetup orientation="portrait" r:id="rId1"/>
  <headerFooter>
    <oddHeader>&amp;L&amp;"Arial,Bold"&amp;8 4:06 PM
&amp;"Arial,Bold"&amp;8 04/13/26
&amp;"Arial,Bold"&amp;8 Accrual Basis&amp;C&amp;"Arial,Bold"&amp;12 PulseOne Group, LLC
&amp;"Arial,Bold"&amp;14 Profit &amp;&amp; Loss
&amp;"Arial,Bold"&amp;10 January 2022 through December 2024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Hare</dc:creator>
  <cp:lastModifiedBy>Roderick Hare</cp:lastModifiedBy>
  <dcterms:created xsi:type="dcterms:W3CDTF">2026-04-13T21:06:32Z</dcterms:created>
  <dcterms:modified xsi:type="dcterms:W3CDTF">2026-04-13T21:06:50Z</dcterms:modified>
</cp:coreProperties>
</file>