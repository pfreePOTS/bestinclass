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rickHare\AppData\Local\Temp\"/>
    </mc:Choice>
  </mc:AlternateContent>
  <xr:revisionPtr revIDLastSave="0" documentId="13_ncr:1_{82A1E0D6-90E5-4C27-93E0-BA16DCEA05A5}" xr6:coauthVersionLast="47" xr6:coauthVersionMax="47" xr10:uidLastSave="{00000000-0000-0000-0000-000000000000}"/>
  <bookViews>
    <workbookView xWindow="-108" yWindow="-108" windowWidth="23256" windowHeight="12456" xr2:uid="{6585668E-0259-454E-8993-ABFD8E4A4084}"/>
  </bookViews>
  <sheets>
    <sheet name="Sheet1" sheetId="1" r:id="rId1"/>
  </sheets>
  <definedNames>
    <definedName name="_xlnm.Print_Titles" localSheetId="0">Sheet1!$A:$E,Sheet1!$1:$1</definedName>
    <definedName name="QBCANSUPPORTUPDATE" localSheetId="0">FALSE</definedName>
    <definedName name="QBCOMPANYFILENAME" localSheetId="0">"C:\Users\RoderickHare\Documents\Quickbooks Backups\PulseOne LLC (Delaware)\PulseOne, LLC.qbw"</definedName>
    <definedName name="QBENDDATE" localSheetId="0">20241231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8</definedName>
    <definedName name="QBREPORTCOMPANYID" localSheetId="0">"3085ab3be9a74a0599f34ae8d79590b5"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5</definedName>
    <definedName name="QBSTARTDATE" localSheetId="0">20220101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J16" i="1"/>
  <c r="H16" i="1"/>
  <c r="F16" i="1"/>
  <c r="L15" i="1"/>
  <c r="J15" i="1"/>
  <c r="H15" i="1"/>
  <c r="F15" i="1"/>
  <c r="L14" i="1"/>
  <c r="J14" i="1"/>
  <c r="H14" i="1"/>
  <c r="F14" i="1"/>
  <c r="L13" i="1"/>
  <c r="L12" i="1"/>
  <c r="L11" i="1"/>
  <c r="L9" i="1"/>
  <c r="J9" i="1"/>
  <c r="H9" i="1"/>
  <c r="F9" i="1"/>
  <c r="L8" i="1"/>
  <c r="J8" i="1"/>
  <c r="H8" i="1"/>
  <c r="F8" i="1"/>
  <c r="L7" i="1"/>
  <c r="L5" i="1"/>
  <c r="J5" i="1"/>
  <c r="H5" i="1"/>
  <c r="F5" i="1"/>
  <c r="L4" i="1"/>
</calcChain>
</file>

<file path=xl/sharedStrings.xml><?xml version="1.0" encoding="utf-8"?>
<sst xmlns="http://schemas.openxmlformats.org/spreadsheetml/2006/main" count="19" uniqueCount="19">
  <si>
    <t>Jan - Dec 22</t>
  </si>
  <si>
    <t>Jan - Dec 23</t>
  </si>
  <si>
    <t>Jan - Dec 24</t>
  </si>
  <si>
    <t>TOTAL</t>
  </si>
  <si>
    <t>Ordinary Income/Expense</t>
  </si>
  <si>
    <t>Income</t>
  </si>
  <si>
    <t>Consulting Income</t>
  </si>
  <si>
    <t>Total Income</t>
  </si>
  <si>
    <t>Cost of Goods Sold</t>
  </si>
  <si>
    <t>Consulting Services Cost</t>
  </si>
  <si>
    <t>Total COGS</t>
  </si>
  <si>
    <t>Gross Profit</t>
  </si>
  <si>
    <t>Expense</t>
  </si>
  <si>
    <t>Bank Service Charges</t>
  </si>
  <si>
    <t>Professional Fees</t>
  </si>
  <si>
    <t>Taxes</t>
  </si>
  <si>
    <t>Total Expense</t>
  </si>
  <si>
    <t>Net Ordinary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</si>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</sst>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BA66-C567-41D8-85F2-6993A2AE5929}">
  <dimension ref="A1:L17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4" width="3" style="14" customWidth="1"/>
    <col min="5" max="5" width="18.33203125" style="14" customWidth="1"/>
    <col min="6" max="6" width="9.33203125" style="15" bestFit="1" customWidth="1"/>
    <col min="7" max="7" width="2.33203125" style="15" customWidth="1"/>
    <col min="8" max="8" width="9.33203125" style="15" bestFit="1" customWidth="1"/>
    <col min="9" max="9" width="2.33203125" style="15" customWidth="1"/>
    <col min="10" max="10" width="9.33203125" style="15" bestFit="1" customWidth="1"/>
    <col min="11" max="11" width="2.33203125" style="15" customWidth="1"/>
    <col min="12" max="12" width="7.88671875" style="15" bestFit="1" customWidth="1"/>
  </cols>
  <sheetData>
    <row r="1" spans="1:12" s="13" customFormat="1" ht="15" thickBot="1" x14ac:dyDescent="0.35">
      <c r="A1" s="10"/>
      <c r="B1" s="10"/>
      <c r="C1" s="10"/>
      <c r="D1" s="10"/>
      <c r="E1" s="10"/>
      <c r="F1" s="11" t="s">
        <v>0</v>
      </c>
      <c r="G1" s="12"/>
      <c r="H1" s="11" t="s">
        <v>1</v>
      </c>
      <c r="I1" s="12"/>
      <c r="J1" s="11" t="s">
        <v>2</v>
      </c>
      <c r="K1" s="12"/>
      <c r="L1" s="11" t="s">
        <v>3</v>
      </c>
    </row>
    <row r="2" spans="1:12" ht="15" thickTop="1" x14ac:dyDescent="0.3">
      <c r="A2" s="1"/>
      <c r="B2" s="1" t="s">
        <v>4</v>
      </c>
      <c r="C2" s="1"/>
      <c r="D2" s="1"/>
      <c r="E2" s="1"/>
      <c r="F2" s="2"/>
      <c r="G2" s="3"/>
      <c r="H2" s="2"/>
      <c r="I2" s="3"/>
      <c r="J2" s="2"/>
      <c r="K2" s="3"/>
      <c r="L2" s="2"/>
    </row>
    <row r="3" spans="1:12" x14ac:dyDescent="0.3">
      <c r="A3" s="1"/>
      <c r="B3" s="1"/>
      <c r="C3" s="1"/>
      <c r="D3" s="1" t="s">
        <v>5</v>
      </c>
      <c r="E3" s="1"/>
      <c r="F3" s="2"/>
      <c r="G3" s="3"/>
      <c r="H3" s="2"/>
      <c r="I3" s="3"/>
      <c r="J3" s="2"/>
      <c r="K3" s="3"/>
      <c r="L3" s="2"/>
    </row>
    <row r="4" spans="1:12" ht="15" thickBot="1" x14ac:dyDescent="0.35">
      <c r="A4" s="1"/>
      <c r="B4" s="1"/>
      <c r="C4" s="1"/>
      <c r="D4" s="1"/>
      <c r="E4" s="1" t="s">
        <v>6</v>
      </c>
      <c r="F4" s="4">
        <v>107500</v>
      </c>
      <c r="G4" s="3"/>
      <c r="H4" s="4">
        <v>20585</v>
      </c>
      <c r="I4" s="3"/>
      <c r="J4" s="4">
        <v>693821.04</v>
      </c>
      <c r="K4" s="3"/>
      <c r="L4" s="4">
        <f>ROUND(SUM(F4:J4),5)</f>
        <v>821906.04</v>
      </c>
    </row>
    <row r="5" spans="1:12" x14ac:dyDescent="0.3">
      <c r="A5" s="1"/>
      <c r="B5" s="1"/>
      <c r="C5" s="1"/>
      <c r="D5" s="1" t="s">
        <v>7</v>
      </c>
      <c r="E5" s="1"/>
      <c r="F5" s="2">
        <f>ROUND(SUM(F3:F4),5)</f>
        <v>107500</v>
      </c>
      <c r="G5" s="3"/>
      <c r="H5" s="2">
        <f>ROUND(SUM(H3:H4),5)</f>
        <v>20585</v>
      </c>
      <c r="I5" s="3"/>
      <c r="J5" s="2">
        <f>ROUND(SUM(J3:J4),5)</f>
        <v>693821.04</v>
      </c>
      <c r="K5" s="3"/>
      <c r="L5" s="2">
        <f>ROUND(SUM(F5:J5),5)</f>
        <v>821906.04</v>
      </c>
    </row>
    <row r="6" spans="1:12" x14ac:dyDescent="0.3">
      <c r="A6" s="1"/>
      <c r="B6" s="1"/>
      <c r="C6" s="1"/>
      <c r="D6" s="1" t="s">
        <v>8</v>
      </c>
      <c r="E6" s="1"/>
      <c r="F6" s="2"/>
      <c r="G6" s="3"/>
      <c r="H6" s="2"/>
      <c r="I6" s="3"/>
      <c r="J6" s="2"/>
      <c r="K6" s="3"/>
      <c r="L6" s="2"/>
    </row>
    <row r="7" spans="1:12" ht="15" thickBot="1" x14ac:dyDescent="0.35">
      <c r="A7" s="1"/>
      <c r="B7" s="1"/>
      <c r="C7" s="1"/>
      <c r="D7" s="1"/>
      <c r="E7" s="1" t="s">
        <v>9</v>
      </c>
      <c r="F7" s="5">
        <v>0</v>
      </c>
      <c r="G7" s="3"/>
      <c r="H7" s="5">
        <v>0</v>
      </c>
      <c r="I7" s="3"/>
      <c r="J7" s="5">
        <v>555056.84</v>
      </c>
      <c r="K7" s="3"/>
      <c r="L7" s="5">
        <f>ROUND(SUM(F7:J7),5)</f>
        <v>555056.84</v>
      </c>
    </row>
    <row r="8" spans="1:12" ht="15" thickBot="1" x14ac:dyDescent="0.35">
      <c r="A8" s="1"/>
      <c r="B8" s="1"/>
      <c r="C8" s="1"/>
      <c r="D8" s="1" t="s">
        <v>10</v>
      </c>
      <c r="E8" s="1"/>
      <c r="F8" s="6">
        <f>ROUND(SUM(F6:F7),5)</f>
        <v>0</v>
      </c>
      <c r="G8" s="3"/>
      <c r="H8" s="6">
        <f>ROUND(SUM(H6:H7),5)</f>
        <v>0</v>
      </c>
      <c r="I8" s="3"/>
      <c r="J8" s="6">
        <f>ROUND(SUM(J6:J7),5)</f>
        <v>555056.84</v>
      </c>
      <c r="K8" s="3"/>
      <c r="L8" s="6">
        <f>ROUND(SUM(F8:J8),5)</f>
        <v>555056.84</v>
      </c>
    </row>
    <row r="9" spans="1:12" x14ac:dyDescent="0.3">
      <c r="A9" s="1"/>
      <c r="B9" s="1"/>
      <c r="C9" s="1" t="s">
        <v>11</v>
      </c>
      <c r="D9" s="1"/>
      <c r="E9" s="1"/>
      <c r="F9" s="2">
        <f>ROUND(F5-F8,5)</f>
        <v>107500</v>
      </c>
      <c r="G9" s="3"/>
      <c r="H9" s="2">
        <f>ROUND(H5-H8,5)</f>
        <v>20585</v>
      </c>
      <c r="I9" s="3"/>
      <c r="J9" s="2">
        <f>ROUND(J5-J8,5)</f>
        <v>138764.20000000001</v>
      </c>
      <c r="K9" s="3"/>
      <c r="L9" s="2">
        <f>ROUND(SUM(F9:J9),5)</f>
        <v>266849.2</v>
      </c>
    </row>
    <row r="10" spans="1:12" x14ac:dyDescent="0.3">
      <c r="A10" s="1"/>
      <c r="B10" s="1"/>
      <c r="C10" s="1"/>
      <c r="D10" s="1" t="s">
        <v>12</v>
      </c>
      <c r="E10" s="1"/>
      <c r="F10" s="2"/>
      <c r="G10" s="3"/>
      <c r="H10" s="2"/>
      <c r="I10" s="3"/>
      <c r="J10" s="2"/>
      <c r="K10" s="3"/>
      <c r="L10" s="2"/>
    </row>
    <row r="11" spans="1:12" x14ac:dyDescent="0.3">
      <c r="A11" s="1"/>
      <c r="B11" s="1"/>
      <c r="C11" s="1"/>
      <c r="D11" s="1"/>
      <c r="E11" s="1" t="s">
        <v>13</v>
      </c>
      <c r="F11" s="2">
        <v>120</v>
      </c>
      <c r="G11" s="3"/>
      <c r="H11" s="2">
        <v>60</v>
      </c>
      <c r="I11" s="3"/>
      <c r="J11" s="2">
        <v>60</v>
      </c>
      <c r="K11" s="3"/>
      <c r="L11" s="2">
        <f>ROUND(SUM(F11:J11),5)</f>
        <v>240</v>
      </c>
    </row>
    <row r="12" spans="1:12" x14ac:dyDescent="0.3">
      <c r="A12" s="1"/>
      <c r="B12" s="1"/>
      <c r="C12" s="1"/>
      <c r="D12" s="1"/>
      <c r="E12" s="1" t="s">
        <v>14</v>
      </c>
      <c r="F12" s="2">
        <v>0</v>
      </c>
      <c r="G12" s="3"/>
      <c r="H12" s="2">
        <v>458</v>
      </c>
      <c r="I12" s="3"/>
      <c r="J12" s="2">
        <v>1079.75</v>
      </c>
      <c r="K12" s="3"/>
      <c r="L12" s="2">
        <f>ROUND(SUM(F12:J12),5)</f>
        <v>1537.75</v>
      </c>
    </row>
    <row r="13" spans="1:12" ht="15" thickBot="1" x14ac:dyDescent="0.35">
      <c r="A13" s="1"/>
      <c r="B13" s="1"/>
      <c r="C13" s="1"/>
      <c r="D13" s="1"/>
      <c r="E13" s="1" t="s">
        <v>15</v>
      </c>
      <c r="F13" s="5">
        <v>0</v>
      </c>
      <c r="G13" s="3"/>
      <c r="H13" s="5">
        <v>300</v>
      </c>
      <c r="I13" s="3"/>
      <c r="J13" s="5">
        <v>300</v>
      </c>
      <c r="K13" s="3"/>
      <c r="L13" s="5">
        <f>ROUND(SUM(F13:J13),5)</f>
        <v>600</v>
      </c>
    </row>
    <row r="14" spans="1:12" ht="15" thickBot="1" x14ac:dyDescent="0.35">
      <c r="A14" s="1"/>
      <c r="B14" s="1"/>
      <c r="C14" s="1"/>
      <c r="D14" s="1" t="s">
        <v>16</v>
      </c>
      <c r="E14" s="1"/>
      <c r="F14" s="7">
        <f>ROUND(SUM(F10:F13),5)</f>
        <v>120</v>
      </c>
      <c r="G14" s="3"/>
      <c r="H14" s="7">
        <f>ROUND(SUM(H10:H13),5)</f>
        <v>818</v>
      </c>
      <c r="I14" s="3"/>
      <c r="J14" s="7">
        <f>ROUND(SUM(J10:J13),5)</f>
        <v>1439.75</v>
      </c>
      <c r="K14" s="3"/>
      <c r="L14" s="7">
        <f>ROUND(SUM(F14:J14),5)</f>
        <v>2377.75</v>
      </c>
    </row>
    <row r="15" spans="1:12" ht="15" thickBot="1" x14ac:dyDescent="0.35">
      <c r="A15" s="1"/>
      <c r="B15" s="1" t="s">
        <v>17</v>
      </c>
      <c r="C15" s="1"/>
      <c r="D15" s="1"/>
      <c r="E15" s="1"/>
      <c r="F15" s="7">
        <f>ROUND(F2+F9-F14,5)</f>
        <v>107380</v>
      </c>
      <c r="G15" s="3"/>
      <c r="H15" s="7">
        <f>ROUND(H2+H9-H14,5)</f>
        <v>19767</v>
      </c>
      <c r="I15" s="3"/>
      <c r="J15" s="7">
        <f>ROUND(J2+J9-J14,5)</f>
        <v>137324.45000000001</v>
      </c>
      <c r="K15" s="3"/>
      <c r="L15" s="7">
        <f>ROUND(SUM(F15:J15),5)</f>
        <v>264471.45</v>
      </c>
    </row>
    <row r="16" spans="1:12" s="9" customFormat="1" ht="10.8" thickBot="1" x14ac:dyDescent="0.25">
      <c r="A16" s="1" t="s">
        <v>18</v>
      </c>
      <c r="B16" s="1"/>
      <c r="C16" s="1"/>
      <c r="D16" s="1"/>
      <c r="E16" s="1"/>
      <c r="F16" s="8">
        <f>F15</f>
        <v>107380</v>
      </c>
      <c r="G16" s="1"/>
      <c r="H16" s="8">
        <f>H15</f>
        <v>19767</v>
      </c>
      <c r="I16" s="1"/>
      <c r="J16" s="8">
        <f>J15</f>
        <v>137324.45000000001</v>
      </c>
      <c r="K16" s="1"/>
      <c r="L16" s="8">
        <f>ROUND(SUM(F16:J16),5)</f>
        <v>264471.45</v>
      </c>
    </row>
    <row r="17" ht="15" thickTop="1" x14ac:dyDescent="0.3"/>
  </sheetData>
  <pageMargins left="0.7" right="0.7" top="0.75" bottom="0.75" header="0.1" footer="0.3"/>
  <pageSetup orientation="portrait" r:id="rId1"/>
  <headerFooter>
    <oddHeader>&amp;L&amp;"Arial,Bold"&amp;8 4:49 PM
&amp;"Arial,Bold"&amp;8 04/13/26
&amp;"Arial,Bold"&amp;8 Accrual Basis&amp;C&amp;"Arial,Bold"&amp;12 PulseOne, LLC
&amp;"Arial,Bold"&amp;14 Profit &amp;&amp; Loss
&amp;"Arial,Bold"&amp;10 January 2022 through December 2024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Hare</dc:creator>
  <cp:lastModifiedBy>Roderick Hare</cp:lastModifiedBy>
  <dcterms:created xsi:type="dcterms:W3CDTF">2026-04-13T21:48:59Z</dcterms:created>
  <dcterms:modified xsi:type="dcterms:W3CDTF">2026-04-13T21:49:05Z</dcterms:modified>
</cp:coreProperties>
</file>