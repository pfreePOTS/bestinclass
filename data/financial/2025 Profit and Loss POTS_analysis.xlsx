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ul  Home Dropbox\Paul Freeman\..Home Files\pfreeman\PDP\PulseOne\Operations\Finance\"/>
    </mc:Choice>
  </mc:AlternateContent>
  <xr:revisionPtr revIDLastSave="0" documentId="8_{7E1D0CF5-9944-4DE3-90A6-D451E5DED67E}" xr6:coauthVersionLast="47" xr6:coauthVersionMax="47" xr10:uidLastSave="{00000000-0000-0000-0000-000000000000}"/>
  <bookViews>
    <workbookView xWindow="-103" yWindow="-103" windowWidth="33120" windowHeight="18000" xr2:uid="{63E0FE31-4623-4DEC-90D8-E21F298B0418}"/>
  </bookViews>
  <sheets>
    <sheet name="Sheet1" sheetId="1" r:id="rId1"/>
  </sheets>
  <definedNames>
    <definedName name="_xlnm.Print_Titles" localSheetId="0">Sheet1!$A:$E,Sheet1!$1:$1</definedName>
    <definedName name="QBCANSUPPORTUPDATE" localSheetId="0">FALSE</definedName>
    <definedName name="QBCOMPANYFILENAME" localSheetId="0">"C:\Users\RoderickHare\Documents\Quickbooks Backups\PulseOne Group, LLC\PulseOne Group, LLC.QBW"</definedName>
    <definedName name="QBENDDATE" localSheetId="0">20251231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6</definedName>
    <definedName name="QBREPORTCOMPANYID" localSheetId="0">"6e406bdf85a3464a8f405f0583021578"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5</definedName>
    <definedName name="QBSTARTDATE" localSheetId="0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2" i="1" l="1"/>
  <c r="AK33" i="1" s="1"/>
  <c r="AK31" i="1"/>
  <c r="AK30" i="1"/>
  <c r="AK29" i="1"/>
  <c r="AK28" i="1"/>
  <c r="AF55" i="1"/>
  <c r="AE55" i="1"/>
  <c r="AF54" i="1"/>
  <c r="AE54" i="1"/>
  <c r="AE21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0" i="1"/>
  <c r="AE19" i="1"/>
  <c r="AE22" i="1"/>
  <c r="AE15" i="1"/>
  <c r="AE16" i="1"/>
  <c r="AD56" i="1"/>
  <c r="AB56" i="1"/>
  <c r="Z56" i="1"/>
  <c r="X56" i="1"/>
  <c r="V56" i="1"/>
  <c r="T56" i="1"/>
  <c r="R56" i="1"/>
  <c r="P56" i="1"/>
  <c r="N56" i="1"/>
  <c r="L56" i="1"/>
  <c r="J56" i="1"/>
  <c r="H56" i="1"/>
  <c r="F56" i="1"/>
  <c r="AD55" i="1"/>
  <c r="AB55" i="1"/>
  <c r="Z55" i="1"/>
  <c r="X55" i="1"/>
  <c r="V55" i="1"/>
  <c r="T55" i="1"/>
  <c r="R55" i="1"/>
  <c r="P55" i="1"/>
  <c r="N55" i="1"/>
  <c r="L55" i="1"/>
  <c r="J55" i="1"/>
  <c r="H55" i="1"/>
  <c r="F55" i="1"/>
  <c r="AD54" i="1"/>
  <c r="AB54" i="1"/>
  <c r="Z54" i="1"/>
  <c r="X54" i="1"/>
  <c r="V54" i="1"/>
  <c r="T54" i="1"/>
  <c r="R54" i="1"/>
  <c r="P54" i="1"/>
  <c r="N54" i="1"/>
  <c r="L54" i="1"/>
  <c r="J54" i="1"/>
  <c r="H54" i="1"/>
  <c r="F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2" i="1"/>
  <c r="AB22" i="1"/>
  <c r="Z22" i="1"/>
  <c r="X22" i="1"/>
  <c r="V22" i="1"/>
  <c r="T22" i="1"/>
  <c r="R22" i="1"/>
  <c r="P22" i="1"/>
  <c r="N22" i="1"/>
  <c r="L22" i="1"/>
  <c r="J22" i="1"/>
  <c r="H22" i="1"/>
  <c r="F22" i="1"/>
  <c r="AD21" i="1"/>
  <c r="AB21" i="1"/>
  <c r="Z21" i="1"/>
  <c r="X21" i="1"/>
  <c r="V21" i="1"/>
  <c r="T21" i="1"/>
  <c r="R21" i="1"/>
  <c r="P21" i="1"/>
  <c r="N21" i="1"/>
  <c r="L21" i="1"/>
  <c r="J21" i="1"/>
  <c r="H21" i="1"/>
  <c r="F21" i="1"/>
  <c r="AD20" i="1"/>
  <c r="AD19" i="1"/>
  <c r="AD18" i="1"/>
  <c r="AD17" i="1"/>
  <c r="AD16" i="1"/>
  <c r="AD15" i="1"/>
  <c r="AD13" i="1"/>
  <c r="AB13" i="1"/>
  <c r="Z13" i="1"/>
  <c r="X13" i="1"/>
  <c r="V13" i="1"/>
  <c r="T13" i="1"/>
  <c r="R13" i="1"/>
  <c r="P13" i="1"/>
  <c r="N13" i="1"/>
  <c r="L13" i="1"/>
  <c r="J13" i="1"/>
  <c r="H13" i="1"/>
  <c r="F13" i="1"/>
  <c r="AD12" i="1"/>
  <c r="AD11" i="1"/>
  <c r="AD10" i="1"/>
  <c r="AD9" i="1"/>
  <c r="AD8" i="1"/>
  <c r="AD7" i="1"/>
  <c r="AD6" i="1"/>
  <c r="AD5" i="1"/>
  <c r="AD4" i="1"/>
</calcChain>
</file>

<file path=xl/sharedStrings.xml><?xml version="1.0" encoding="utf-8"?>
<sst xmlns="http://schemas.openxmlformats.org/spreadsheetml/2006/main" count="97" uniqueCount="97">
  <si>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</si>
  <si>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</si>
  <si>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</si>
  <si>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</si>
  <si>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</si>
  <si>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</si>
  <si>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</si>
  <si>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</si>
  <si>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</si>
  <si>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</si>
  <si>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</si>
  <si>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</si>
  <si>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TOTAL</t>
  </si>
  <si>
    <t>Ordinary Income/Expense</t>
  </si>
  <si>
    <t>Income</t>
  </si>
  <si>
    <t>Agreement Licenses</t>
  </si>
  <si>
    <t>Consulting Income</t>
  </si>
  <si>
    <t>Installation Income</t>
  </si>
  <si>
    <t>IT Managed Services</t>
  </si>
  <si>
    <t>Recycling Fees</t>
  </si>
  <si>
    <t>Sales - Hardware</t>
  </si>
  <si>
    <t>Sales - Software</t>
  </si>
  <si>
    <t>Sales - Support and Maintenance</t>
  </si>
  <si>
    <t>Shipping and Delivery Income</t>
  </si>
  <si>
    <t>Total Income</t>
  </si>
  <si>
    <t>Cost of Goods Sold</t>
  </si>
  <si>
    <t>Agreement License Cost</t>
  </si>
  <si>
    <t>Consulting Services - Cost</t>
  </si>
  <si>
    <t>Installation Services - Cost</t>
  </si>
  <si>
    <t>Merchant Account Fees</t>
  </si>
  <si>
    <t>Purchases - Hardware for Resale</t>
  </si>
  <si>
    <t>Purchases - Software for Resale</t>
  </si>
  <si>
    <t>Total COGS</t>
  </si>
  <si>
    <t>Gross Profit</t>
  </si>
  <si>
    <t>Expense</t>
  </si>
  <si>
    <t>Advertising and Promotion</t>
  </si>
  <si>
    <t>Automobile Expense</t>
  </si>
  <si>
    <t>Bank Service Charges</t>
  </si>
  <si>
    <t>Business Gifts</t>
  </si>
  <si>
    <t>Business Licenses and Permits</t>
  </si>
  <si>
    <t>Charitable Contributions</t>
  </si>
  <si>
    <t>Computer and Internet Expenses</t>
  </si>
  <si>
    <t>Consulting Fees</t>
  </si>
  <si>
    <t>Dues and Subscriptions</t>
  </si>
  <si>
    <t>Insurance Expense</t>
  </si>
  <si>
    <t>Interest Expense</t>
  </si>
  <si>
    <t>Janitorial Expense</t>
  </si>
  <si>
    <t>Meals and Entertainment</t>
  </si>
  <si>
    <t>Office Supplies</t>
  </si>
  <si>
    <t>Partner Compensation</t>
  </si>
  <si>
    <t>Payroll Expenses</t>
  </si>
  <si>
    <t>Payroll Taxes</t>
  </si>
  <si>
    <t>Professional Fees</t>
  </si>
  <si>
    <t>Reconciliation Discrepancies</t>
  </si>
  <si>
    <t>Rent Expense</t>
  </si>
  <si>
    <t>Repairs and Maintenance</t>
  </si>
  <si>
    <t>RepScheduler Expenses</t>
  </si>
  <si>
    <t>Salary Expense</t>
  </si>
  <si>
    <t>Sales Tax</t>
  </si>
  <si>
    <t>Shipping</t>
  </si>
  <si>
    <t>Tax - California</t>
  </si>
  <si>
    <t>Telephone Expense</t>
  </si>
  <si>
    <t>Training and Development</t>
  </si>
  <si>
    <t>Travel Expense</t>
  </si>
  <si>
    <t>Utilities</t>
  </si>
  <si>
    <t>Total Expense</t>
  </si>
  <si>
    <t>Net Ordinary Income</t>
  </si>
  <si>
    <t>Net Income</t>
  </si>
  <si>
    <t>Cost</t>
  </si>
  <si>
    <t>NOTES</t>
  </si>
  <si>
    <t>% of rev</t>
  </si>
  <si>
    <t>% of profit</t>
  </si>
  <si>
    <t>Target</t>
  </si>
  <si>
    <t>Is this true? If so, we are losing money here.</t>
  </si>
  <si>
    <t>This is high, should be &lt;45%, need to increase rates or decrease spending</t>
  </si>
  <si>
    <t>minus</t>
  </si>
  <si>
    <t>Non MS revenue</t>
  </si>
  <si>
    <t>divided by</t>
  </si>
  <si>
    <t>COGS</t>
  </si>
  <si>
    <t>Actual COGS for non-MSP</t>
  </si>
  <si>
    <t>Actual GM for that portion of business</t>
  </si>
  <si>
    <t>Total sales</t>
  </si>
  <si>
    <t>MS revenue</t>
  </si>
  <si>
    <t>This should be 45-50%</t>
  </si>
  <si>
    <t>We are in Best In Class range for expense when you add salaries, including me, but we are underperforming.  Should be 15-20% YoY growth.</t>
  </si>
  <si>
    <t>This is high.  Does this include COGS? Should be &lt;1.5%</t>
  </si>
  <si>
    <t>Non-MS Analysis</t>
  </si>
  <si>
    <t>The "Normalized" Gross Profit Calculation</t>
  </si>
  <si>
    <t>Category</t>
  </si>
  <si>
    <t>Amount</t>
  </si>
  <si>
    <t>% of Revenue</t>
  </si>
  <si>
    <t>Total Revenue</t>
  </si>
  <si>
    <t>Original COGS (Vendors/Tools)</t>
  </si>
  <si>
    <t>Service Delivery Labor (Extracted)</t>
  </si>
  <si>
    <t>TOTAL NORMALIZED COGS</t>
  </si>
  <si>
    <t>TOTAL GROSS PROFIT</t>
  </si>
  <si>
    <t>18% of revenue leakage, should be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</si>
</sst>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/>
    <xf numFmtId="164" fontId="4" fillId="0" borderId="0" xfId="0" applyNumberFormat="1" applyFont="1"/>
    <xf numFmtId="49" fontId="4" fillId="0" borderId="0" xfId="0" applyNumberFormat="1" applyFont="1"/>
    <xf numFmtId="10" fontId="3" fillId="0" borderId="0" xfId="1" applyNumberFormat="1" applyFont="1"/>
    <xf numFmtId="0" fontId="3" fillId="0" borderId="0" xfId="0" applyFont="1"/>
    <xf numFmtId="164" fontId="4" fillId="0" borderId="2" xfId="0" applyNumberFormat="1" applyFont="1" applyBorder="1"/>
    <xf numFmtId="10" fontId="5" fillId="0" borderId="0" xfId="1" applyNumberFormat="1" applyFont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2" fillId="0" borderId="5" xfId="0" applyNumberFormat="1" applyFont="1" applyBorder="1"/>
    <xf numFmtId="10" fontId="2" fillId="0" borderId="0" xfId="1" applyNumberFormat="1" applyFont="1"/>
    <xf numFmtId="0" fontId="2" fillId="0" borderId="0" xfId="0" applyFont="1"/>
    <xf numFmtId="164" fontId="3" fillId="0" borderId="0" xfId="0" applyNumberFormat="1" applyFont="1"/>
    <xf numFmtId="39" fontId="3" fillId="0" borderId="0" xfId="0" applyNumberFormat="1" applyFont="1"/>
    <xf numFmtId="9" fontId="3" fillId="0" borderId="0" xfId="1" applyNumberFormat="1" applyFont="1"/>
    <xf numFmtId="0" fontId="3" fillId="0" borderId="0" xfId="0" applyFont="1" applyAlignment="1">
      <alignment horizontal="right"/>
    </xf>
    <xf numFmtId="9" fontId="5" fillId="0" borderId="0" xfId="0" applyNumberFormat="1" applyFont="1"/>
    <xf numFmtId="0" fontId="5" fillId="0" borderId="0" xfId="0" applyFont="1"/>
    <xf numFmtId="0" fontId="3" fillId="0" borderId="0" xfId="0" applyFont="1" applyAlignment="1"/>
    <xf numFmtId="0" fontId="3" fillId="0" borderId="0" xfId="0" applyFont="1" applyAlignment="1">
      <alignment wrapText="1"/>
    </xf>
    <xf numFmtId="8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5" fillId="0" borderId="0" xfId="0" applyFont="1" applyAlignment="1"/>
    <xf numFmtId="10" fontId="5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10B9-5576-4790-820C-7BCCE13A83CD}">
  <dimension ref="A1:AM57"/>
  <sheetViews>
    <sheetView tabSelected="1" zoomScale="160" zoomScaleNormal="160" workbookViewId="0">
      <pane xSplit="5" ySplit="1" topLeftCell="AC2" activePane="bottomRight" state="frozenSplit"/>
      <selection pane="topRight" activeCell="F1" sqref="F1"/>
      <selection pane="bottomLeft" activeCell="A2" sqref="A2"/>
      <selection pane="bottomRight" activeCell="E3" sqref="E3"/>
    </sheetView>
  </sheetViews>
  <sheetFormatPr defaultRowHeight="12.9" x14ac:dyDescent="0.35"/>
  <cols>
    <col min="1" max="4" width="3" style="17" customWidth="1"/>
    <col min="5" max="5" width="30.3828125" style="17" customWidth="1"/>
    <col min="6" max="6" width="10.4609375" style="10" hidden="1" customWidth="1"/>
    <col min="7" max="7" width="2.3046875" style="10" hidden="1" customWidth="1"/>
    <col min="8" max="8" width="10.4609375" style="10" hidden="1" customWidth="1"/>
    <col min="9" max="9" width="2.3046875" style="10" hidden="1" customWidth="1"/>
    <col min="10" max="10" width="10.4609375" style="10" hidden="1" customWidth="1"/>
    <col min="11" max="11" width="2.3046875" style="10" hidden="1" customWidth="1"/>
    <col min="12" max="12" width="10.4609375" style="10" hidden="1" customWidth="1"/>
    <col min="13" max="13" width="2.3046875" style="10" hidden="1" customWidth="1"/>
    <col min="14" max="14" width="10.4609375" style="10" hidden="1" customWidth="1"/>
    <col min="15" max="15" width="2.3046875" style="10" hidden="1" customWidth="1"/>
    <col min="16" max="16" width="10.4609375" style="10" hidden="1" customWidth="1"/>
    <col min="17" max="17" width="2.3046875" style="10" hidden="1" customWidth="1"/>
    <col min="18" max="18" width="10.4609375" style="10" hidden="1" customWidth="1"/>
    <col min="19" max="19" width="2.3046875" style="10" hidden="1" customWidth="1"/>
    <col min="20" max="20" width="10.4609375" style="10" hidden="1" customWidth="1"/>
    <col min="21" max="21" width="2.3046875" style="10" hidden="1" customWidth="1"/>
    <col min="22" max="22" width="10.4609375" style="10" hidden="1" customWidth="1"/>
    <col min="23" max="23" width="2.3046875" style="10" hidden="1" customWidth="1"/>
    <col min="24" max="24" width="10.4609375" style="10" hidden="1" customWidth="1"/>
    <col min="25" max="25" width="2.3046875" style="10" hidden="1" customWidth="1"/>
    <col min="26" max="26" width="10.4609375" style="10" hidden="1" customWidth="1"/>
    <col min="27" max="27" width="2.3046875" style="10" hidden="1" customWidth="1"/>
    <col min="28" max="28" width="10.4609375" style="10" hidden="1" customWidth="1"/>
    <col min="29" max="29" width="2.3046875" style="10" customWidth="1"/>
    <col min="30" max="30" width="10.4609375" style="10" customWidth="1"/>
    <col min="31" max="31" width="8.23046875" style="9" customWidth="1"/>
    <col min="32" max="32" width="7.4609375" style="9" bestFit="1" customWidth="1"/>
    <col min="33" max="33" width="9.23046875" style="10"/>
    <col min="34" max="34" width="40.921875" style="10" customWidth="1"/>
    <col min="35" max="35" width="10.921875" style="10" bestFit="1" customWidth="1"/>
    <col min="36" max="36" width="12.15234375" style="10" customWidth="1"/>
    <col min="37" max="37" width="12.765625" style="10" bestFit="1" customWidth="1"/>
    <col min="38" max="38" width="12.15234375" style="10" customWidth="1"/>
    <col min="39" max="39" width="11.3828125" style="10" customWidth="1"/>
    <col min="40" max="16384" width="9.23046875" style="10"/>
  </cols>
  <sheetData>
    <row r="1" spans="1:34" s="5" customFormat="1" ht="13.3" thickBot="1" x14ac:dyDescent="0.4">
      <c r="A1" s="1"/>
      <c r="B1" s="1"/>
      <c r="C1" s="1"/>
      <c r="D1" s="1"/>
      <c r="E1" s="1"/>
      <c r="F1" s="2" t="s">
        <v>0</v>
      </c>
      <c r="G1" s="3"/>
      <c r="H1" s="2" t="s">
        <v>1</v>
      </c>
      <c r="I1" s="3"/>
      <c r="J1" s="2" t="s">
        <v>2</v>
      </c>
      <c r="K1" s="3"/>
      <c r="L1" s="2" t="s">
        <v>3</v>
      </c>
      <c r="M1" s="3"/>
      <c r="N1" s="2" t="s">
        <v>4</v>
      </c>
      <c r="O1" s="3"/>
      <c r="P1" s="2" t="s">
        <v>5</v>
      </c>
      <c r="Q1" s="3"/>
      <c r="R1" s="2" t="s">
        <v>6</v>
      </c>
      <c r="S1" s="3"/>
      <c r="T1" s="2" t="s">
        <v>7</v>
      </c>
      <c r="U1" s="3"/>
      <c r="V1" s="2" t="s">
        <v>8</v>
      </c>
      <c r="W1" s="3"/>
      <c r="X1" s="2" t="s">
        <v>9</v>
      </c>
      <c r="Y1" s="3"/>
      <c r="Z1" s="2" t="s">
        <v>10</v>
      </c>
      <c r="AA1" s="3"/>
      <c r="AB1" s="2" t="s">
        <v>11</v>
      </c>
      <c r="AC1" s="3"/>
      <c r="AD1" s="2" t="s">
        <v>12</v>
      </c>
      <c r="AE1" s="4" t="s">
        <v>68</v>
      </c>
      <c r="AF1" s="4"/>
      <c r="AG1" s="5" t="s">
        <v>72</v>
      </c>
      <c r="AH1" s="5" t="s">
        <v>69</v>
      </c>
    </row>
    <row r="2" spans="1:34" ht="13.3" thickTop="1" x14ac:dyDescent="0.35">
      <c r="A2" s="6"/>
      <c r="B2" s="6" t="s">
        <v>13</v>
      </c>
      <c r="C2" s="6"/>
      <c r="D2" s="6"/>
      <c r="E2" s="6"/>
      <c r="F2" s="7"/>
      <c r="G2" s="8"/>
      <c r="H2" s="7"/>
      <c r="I2" s="8"/>
      <c r="J2" s="7"/>
      <c r="K2" s="8"/>
      <c r="L2" s="7"/>
      <c r="M2" s="8"/>
      <c r="N2" s="7"/>
      <c r="O2" s="8"/>
      <c r="P2" s="7"/>
      <c r="Q2" s="8"/>
      <c r="R2" s="7"/>
      <c r="S2" s="8"/>
      <c r="T2" s="7"/>
      <c r="U2" s="8"/>
      <c r="V2" s="7"/>
      <c r="W2" s="8"/>
      <c r="X2" s="7"/>
      <c r="Y2" s="8"/>
      <c r="Z2" s="7"/>
      <c r="AA2" s="8"/>
      <c r="AB2" s="7"/>
      <c r="AC2" s="8"/>
      <c r="AD2" s="7"/>
    </row>
    <row r="3" spans="1:34" x14ac:dyDescent="0.35">
      <c r="A3" s="6"/>
      <c r="B3" s="6"/>
      <c r="C3" s="6"/>
      <c r="D3" s="6" t="s">
        <v>14</v>
      </c>
      <c r="E3" s="6"/>
      <c r="F3" s="7"/>
      <c r="G3" s="8"/>
      <c r="H3" s="7"/>
      <c r="I3" s="8"/>
      <c r="J3" s="7"/>
      <c r="K3" s="8"/>
      <c r="L3" s="7"/>
      <c r="M3" s="8"/>
      <c r="N3" s="7"/>
      <c r="O3" s="8"/>
      <c r="P3" s="7"/>
      <c r="Q3" s="8"/>
      <c r="R3" s="7"/>
      <c r="S3" s="8"/>
      <c r="T3" s="7"/>
      <c r="U3" s="8"/>
      <c r="V3" s="7"/>
      <c r="W3" s="8"/>
      <c r="X3" s="7"/>
      <c r="Y3" s="8"/>
      <c r="Z3" s="7"/>
      <c r="AA3" s="8"/>
      <c r="AB3" s="7"/>
      <c r="AC3" s="8"/>
      <c r="AD3" s="7"/>
    </row>
    <row r="4" spans="1:34" x14ac:dyDescent="0.35">
      <c r="A4" s="6"/>
      <c r="B4" s="6"/>
      <c r="C4" s="6"/>
      <c r="D4" s="6"/>
      <c r="E4" s="6" t="s">
        <v>15</v>
      </c>
      <c r="F4" s="7">
        <v>40101.629999999997</v>
      </c>
      <c r="G4" s="8"/>
      <c r="H4" s="7">
        <v>49365.36</v>
      </c>
      <c r="I4" s="8"/>
      <c r="J4" s="7">
        <v>34440.230000000003</v>
      </c>
      <c r="K4" s="8"/>
      <c r="L4" s="7">
        <v>47085.58</v>
      </c>
      <c r="M4" s="8"/>
      <c r="N4" s="7">
        <v>50669.86</v>
      </c>
      <c r="O4" s="8"/>
      <c r="P4" s="7">
        <v>43089.65</v>
      </c>
      <c r="Q4" s="8"/>
      <c r="R4" s="7">
        <v>68549.179999999993</v>
      </c>
      <c r="S4" s="8"/>
      <c r="T4" s="7">
        <v>180150.6</v>
      </c>
      <c r="U4" s="8"/>
      <c r="V4" s="7">
        <v>53100.95</v>
      </c>
      <c r="W4" s="8"/>
      <c r="X4" s="7">
        <v>68547.259999999995</v>
      </c>
      <c r="Y4" s="8"/>
      <c r="Z4" s="7">
        <v>64226.66</v>
      </c>
      <c r="AA4" s="8"/>
      <c r="AB4" s="7">
        <v>64428.26</v>
      </c>
      <c r="AC4" s="8"/>
      <c r="AD4" s="7">
        <f t="shared" ref="AD4:AD13" si="0">ROUND(SUM(F4:AB4),5)</f>
        <v>763755.22</v>
      </c>
    </row>
    <row r="5" spans="1:34" x14ac:dyDescent="0.35">
      <c r="A5" s="6"/>
      <c r="B5" s="6"/>
      <c r="C5" s="6"/>
      <c r="D5" s="6"/>
      <c r="E5" s="6" t="s">
        <v>16</v>
      </c>
      <c r="F5" s="7">
        <v>104235.71</v>
      </c>
      <c r="G5" s="8"/>
      <c r="H5" s="7">
        <v>152177.78</v>
      </c>
      <c r="I5" s="8"/>
      <c r="J5" s="7">
        <v>127437.7</v>
      </c>
      <c r="K5" s="8"/>
      <c r="L5" s="7">
        <v>236539.26</v>
      </c>
      <c r="M5" s="8"/>
      <c r="N5" s="7">
        <v>211420.17</v>
      </c>
      <c r="O5" s="8"/>
      <c r="P5" s="7">
        <v>172776.53</v>
      </c>
      <c r="Q5" s="8"/>
      <c r="R5" s="7">
        <v>113785.60000000001</v>
      </c>
      <c r="S5" s="8"/>
      <c r="T5" s="7">
        <v>135419.04</v>
      </c>
      <c r="U5" s="8"/>
      <c r="V5" s="7">
        <v>139145.71</v>
      </c>
      <c r="W5" s="8"/>
      <c r="X5" s="7">
        <v>124087.38</v>
      </c>
      <c r="Y5" s="8"/>
      <c r="Z5" s="7">
        <v>137357.5</v>
      </c>
      <c r="AA5" s="8"/>
      <c r="AB5" s="7">
        <v>150010.60999999999</v>
      </c>
      <c r="AC5" s="8"/>
      <c r="AD5" s="7">
        <f t="shared" si="0"/>
        <v>1804392.99</v>
      </c>
    </row>
    <row r="6" spans="1:34" x14ac:dyDescent="0.35">
      <c r="A6" s="6"/>
      <c r="B6" s="6"/>
      <c r="C6" s="6"/>
      <c r="D6" s="6"/>
      <c r="E6" s="6" t="s">
        <v>17</v>
      </c>
      <c r="F6" s="7">
        <v>0</v>
      </c>
      <c r="G6" s="8"/>
      <c r="H6" s="7">
        <v>0</v>
      </c>
      <c r="I6" s="8"/>
      <c r="J6" s="7">
        <v>0</v>
      </c>
      <c r="K6" s="8"/>
      <c r="L6" s="7">
        <v>0</v>
      </c>
      <c r="M6" s="8"/>
      <c r="N6" s="7">
        <v>0</v>
      </c>
      <c r="O6" s="8"/>
      <c r="P6" s="7">
        <v>0</v>
      </c>
      <c r="Q6" s="8"/>
      <c r="R6" s="7">
        <v>2800</v>
      </c>
      <c r="S6" s="8"/>
      <c r="T6" s="7">
        <v>0</v>
      </c>
      <c r="U6" s="8"/>
      <c r="V6" s="7">
        <v>0</v>
      </c>
      <c r="W6" s="8"/>
      <c r="X6" s="7">
        <v>0</v>
      </c>
      <c r="Y6" s="8"/>
      <c r="Z6" s="7">
        <v>0</v>
      </c>
      <c r="AA6" s="8"/>
      <c r="AB6" s="7">
        <v>0</v>
      </c>
      <c r="AC6" s="8"/>
      <c r="AD6" s="7">
        <f t="shared" si="0"/>
        <v>2800</v>
      </c>
    </row>
    <row r="7" spans="1:34" x14ac:dyDescent="0.35">
      <c r="A7" s="6"/>
      <c r="B7" s="6"/>
      <c r="C7" s="6"/>
      <c r="D7" s="6"/>
      <c r="E7" s="6" t="s">
        <v>18</v>
      </c>
      <c r="F7" s="7">
        <v>171230.6</v>
      </c>
      <c r="G7" s="8"/>
      <c r="H7" s="7">
        <v>169083.8</v>
      </c>
      <c r="I7" s="8"/>
      <c r="J7" s="7">
        <v>148698.44</v>
      </c>
      <c r="K7" s="8"/>
      <c r="L7" s="7">
        <v>148711.01</v>
      </c>
      <c r="M7" s="8"/>
      <c r="N7" s="7">
        <v>147391.60999999999</v>
      </c>
      <c r="O7" s="8"/>
      <c r="P7" s="7">
        <v>146389.10999999999</v>
      </c>
      <c r="Q7" s="8"/>
      <c r="R7" s="7">
        <v>144529.10999999999</v>
      </c>
      <c r="S7" s="8"/>
      <c r="T7" s="7">
        <v>146031.63</v>
      </c>
      <c r="U7" s="8"/>
      <c r="V7" s="7">
        <v>144719.13</v>
      </c>
      <c r="W7" s="8"/>
      <c r="X7" s="7">
        <v>144789.14000000001</v>
      </c>
      <c r="Y7" s="8"/>
      <c r="Z7" s="7">
        <v>145426.62</v>
      </c>
      <c r="AA7" s="8"/>
      <c r="AB7" s="7">
        <v>142686.04999999999</v>
      </c>
      <c r="AC7" s="8"/>
      <c r="AD7" s="7">
        <f t="shared" si="0"/>
        <v>1799686.25</v>
      </c>
    </row>
    <row r="8" spans="1:34" x14ac:dyDescent="0.35">
      <c r="A8" s="6"/>
      <c r="B8" s="6"/>
      <c r="C8" s="6"/>
      <c r="D8" s="6"/>
      <c r="E8" s="6" t="s">
        <v>19</v>
      </c>
      <c r="F8" s="7">
        <v>6</v>
      </c>
      <c r="G8" s="8"/>
      <c r="H8" s="7">
        <v>-34.99</v>
      </c>
      <c r="I8" s="8"/>
      <c r="J8" s="7">
        <v>18</v>
      </c>
      <c r="K8" s="8"/>
      <c r="L8" s="7">
        <v>20</v>
      </c>
      <c r="M8" s="8"/>
      <c r="N8" s="7">
        <v>12</v>
      </c>
      <c r="O8" s="8"/>
      <c r="P8" s="7">
        <v>0</v>
      </c>
      <c r="Q8" s="8"/>
      <c r="R8" s="7">
        <v>24</v>
      </c>
      <c r="S8" s="8"/>
      <c r="T8" s="7">
        <v>6</v>
      </c>
      <c r="U8" s="8"/>
      <c r="V8" s="7">
        <v>12</v>
      </c>
      <c r="W8" s="8"/>
      <c r="X8" s="7">
        <v>13</v>
      </c>
      <c r="Y8" s="8"/>
      <c r="Z8" s="7">
        <v>24</v>
      </c>
      <c r="AA8" s="8"/>
      <c r="AB8" s="7">
        <v>18</v>
      </c>
      <c r="AC8" s="8"/>
      <c r="AD8" s="7">
        <f t="shared" si="0"/>
        <v>118.01</v>
      </c>
    </row>
    <row r="9" spans="1:34" x14ac:dyDescent="0.35">
      <c r="A9" s="6"/>
      <c r="B9" s="6"/>
      <c r="C9" s="6"/>
      <c r="D9" s="6"/>
      <c r="E9" s="6" t="s">
        <v>20</v>
      </c>
      <c r="F9" s="7">
        <v>5677.39</v>
      </c>
      <c r="G9" s="8"/>
      <c r="H9" s="7">
        <v>10963.91</v>
      </c>
      <c r="I9" s="8"/>
      <c r="J9" s="7">
        <v>12542.16</v>
      </c>
      <c r="K9" s="8"/>
      <c r="L9" s="7">
        <v>37802.400000000001</v>
      </c>
      <c r="M9" s="8"/>
      <c r="N9" s="7">
        <v>38767.9</v>
      </c>
      <c r="O9" s="8"/>
      <c r="P9" s="7">
        <v>15084.76</v>
      </c>
      <c r="Q9" s="8"/>
      <c r="R9" s="7">
        <v>13581.76</v>
      </c>
      <c r="S9" s="8"/>
      <c r="T9" s="7">
        <v>61011</v>
      </c>
      <c r="U9" s="8"/>
      <c r="V9" s="7">
        <v>16678.05</v>
      </c>
      <c r="W9" s="8"/>
      <c r="X9" s="7">
        <v>45687.56</v>
      </c>
      <c r="Y9" s="8"/>
      <c r="Z9" s="7">
        <v>11542.51</v>
      </c>
      <c r="AA9" s="8"/>
      <c r="AB9" s="7">
        <v>9179.24</v>
      </c>
      <c r="AC9" s="8"/>
      <c r="AD9" s="7">
        <f t="shared" si="0"/>
        <v>278518.64</v>
      </c>
    </row>
    <row r="10" spans="1:34" x14ac:dyDescent="0.35">
      <c r="A10" s="6"/>
      <c r="B10" s="6"/>
      <c r="C10" s="6"/>
      <c r="D10" s="6"/>
      <c r="E10" s="6" t="s">
        <v>21</v>
      </c>
      <c r="F10" s="7">
        <v>47949.34</v>
      </c>
      <c r="G10" s="8"/>
      <c r="H10" s="7">
        <v>37185.58</v>
      </c>
      <c r="I10" s="8"/>
      <c r="J10" s="7">
        <v>46201.78</v>
      </c>
      <c r="K10" s="8"/>
      <c r="L10" s="7">
        <v>58671.03</v>
      </c>
      <c r="M10" s="8"/>
      <c r="N10" s="7">
        <v>69650.75</v>
      </c>
      <c r="O10" s="8"/>
      <c r="P10" s="7">
        <v>47585.35</v>
      </c>
      <c r="Q10" s="8"/>
      <c r="R10" s="7">
        <v>15357.01</v>
      </c>
      <c r="S10" s="8"/>
      <c r="T10" s="7">
        <v>34803.629999999997</v>
      </c>
      <c r="U10" s="8"/>
      <c r="V10" s="7">
        <v>28013.29</v>
      </c>
      <c r="W10" s="8"/>
      <c r="X10" s="7">
        <v>29475.9</v>
      </c>
      <c r="Y10" s="8"/>
      <c r="Z10" s="7">
        <v>44527.61</v>
      </c>
      <c r="AA10" s="8"/>
      <c r="AB10" s="7">
        <v>54984.19</v>
      </c>
      <c r="AC10" s="8"/>
      <c r="AD10" s="7">
        <f t="shared" si="0"/>
        <v>514405.46</v>
      </c>
    </row>
    <row r="11" spans="1:34" x14ac:dyDescent="0.35">
      <c r="A11" s="6"/>
      <c r="B11" s="6"/>
      <c r="C11" s="6"/>
      <c r="D11" s="6"/>
      <c r="E11" s="6" t="s">
        <v>22</v>
      </c>
      <c r="F11" s="7">
        <v>10.69</v>
      </c>
      <c r="G11" s="8"/>
      <c r="H11" s="7">
        <v>7.06</v>
      </c>
      <c r="I11" s="8"/>
      <c r="J11" s="7">
        <v>6.75</v>
      </c>
      <c r="K11" s="8"/>
      <c r="L11" s="7">
        <v>6.75</v>
      </c>
      <c r="M11" s="8"/>
      <c r="N11" s="7">
        <v>6.75</v>
      </c>
      <c r="O11" s="8"/>
      <c r="P11" s="7">
        <v>12.01</v>
      </c>
      <c r="Q11" s="8"/>
      <c r="R11" s="7">
        <v>-29.25</v>
      </c>
      <c r="S11" s="8"/>
      <c r="T11" s="7">
        <v>6.75</v>
      </c>
      <c r="U11" s="8"/>
      <c r="V11" s="7">
        <v>6.75</v>
      </c>
      <c r="W11" s="8"/>
      <c r="X11" s="7">
        <v>143.01</v>
      </c>
      <c r="Y11" s="8"/>
      <c r="Z11" s="7">
        <v>6.75</v>
      </c>
      <c r="AA11" s="8"/>
      <c r="AB11" s="7">
        <v>-40.31</v>
      </c>
      <c r="AC11" s="8"/>
      <c r="AD11" s="7">
        <f t="shared" si="0"/>
        <v>143.71</v>
      </c>
    </row>
    <row r="12" spans="1:34" ht="13.3" thickBot="1" x14ac:dyDescent="0.4">
      <c r="A12" s="6"/>
      <c r="B12" s="6"/>
      <c r="C12" s="6"/>
      <c r="D12" s="6"/>
      <c r="E12" s="6" t="s">
        <v>23</v>
      </c>
      <c r="F12" s="11">
        <v>256.83</v>
      </c>
      <c r="G12" s="8"/>
      <c r="H12" s="11">
        <v>1762.86</v>
      </c>
      <c r="I12" s="8"/>
      <c r="J12" s="11">
        <v>194.1</v>
      </c>
      <c r="K12" s="8"/>
      <c r="L12" s="11">
        <v>409.76</v>
      </c>
      <c r="M12" s="8"/>
      <c r="N12" s="11">
        <v>608.91999999999996</v>
      </c>
      <c r="O12" s="8"/>
      <c r="P12" s="11">
        <v>644.96</v>
      </c>
      <c r="Q12" s="8"/>
      <c r="R12" s="11">
        <v>250.13</v>
      </c>
      <c r="S12" s="8"/>
      <c r="T12" s="11">
        <v>0</v>
      </c>
      <c r="U12" s="8"/>
      <c r="V12" s="11">
        <v>190.29</v>
      </c>
      <c r="W12" s="8"/>
      <c r="X12" s="11">
        <v>345.06</v>
      </c>
      <c r="Y12" s="8"/>
      <c r="Z12" s="11">
        <v>135.06</v>
      </c>
      <c r="AA12" s="8"/>
      <c r="AB12" s="11">
        <v>136.04</v>
      </c>
      <c r="AC12" s="8"/>
      <c r="AD12" s="11">
        <f t="shared" si="0"/>
        <v>4934.01</v>
      </c>
    </row>
    <row r="13" spans="1:34" x14ac:dyDescent="0.35">
      <c r="A13" s="6"/>
      <c r="B13" s="6"/>
      <c r="C13" s="6"/>
      <c r="D13" s="6" t="s">
        <v>24</v>
      </c>
      <c r="E13" s="6"/>
      <c r="F13" s="7">
        <f>ROUND(SUM(F3:F12),5)</f>
        <v>369468.19</v>
      </c>
      <c r="G13" s="8"/>
      <c r="H13" s="7">
        <f>ROUND(SUM(H3:H12),5)</f>
        <v>420511.36</v>
      </c>
      <c r="I13" s="8"/>
      <c r="J13" s="7">
        <f>ROUND(SUM(J3:J12),5)</f>
        <v>369539.16</v>
      </c>
      <c r="K13" s="8"/>
      <c r="L13" s="7">
        <f>ROUND(SUM(L3:L12),5)</f>
        <v>529245.79</v>
      </c>
      <c r="M13" s="8"/>
      <c r="N13" s="7">
        <f>ROUND(SUM(N3:N12),5)</f>
        <v>518527.96</v>
      </c>
      <c r="O13" s="8"/>
      <c r="P13" s="7">
        <f>ROUND(SUM(P3:P12),5)</f>
        <v>425582.37</v>
      </c>
      <c r="Q13" s="8"/>
      <c r="R13" s="7">
        <f>ROUND(SUM(R3:R12),5)</f>
        <v>358847.54</v>
      </c>
      <c r="S13" s="8"/>
      <c r="T13" s="7">
        <f>ROUND(SUM(T3:T12),5)</f>
        <v>557428.65</v>
      </c>
      <c r="U13" s="8"/>
      <c r="V13" s="7">
        <f>ROUND(SUM(V3:V12),5)</f>
        <v>381866.17</v>
      </c>
      <c r="W13" s="8"/>
      <c r="X13" s="7">
        <f>ROUND(SUM(X3:X12),5)</f>
        <v>413088.31</v>
      </c>
      <c r="Y13" s="8"/>
      <c r="Z13" s="7">
        <f>ROUND(SUM(Z3:Z12),5)</f>
        <v>403246.71</v>
      </c>
      <c r="AA13" s="8"/>
      <c r="AB13" s="7">
        <f>ROUND(SUM(AB3:AB12),5)</f>
        <v>421402.08</v>
      </c>
      <c r="AC13" s="8"/>
      <c r="AD13" s="7">
        <f t="shared" si="0"/>
        <v>5168754.29</v>
      </c>
    </row>
    <row r="14" spans="1:34" x14ac:dyDescent="0.35">
      <c r="A14" s="6"/>
      <c r="B14" s="6"/>
      <c r="C14" s="6"/>
      <c r="D14" s="6" t="s">
        <v>25</v>
      </c>
      <c r="E14" s="6"/>
      <c r="F14" s="7"/>
      <c r="G14" s="8"/>
      <c r="H14" s="7"/>
      <c r="I14" s="8"/>
      <c r="J14" s="7"/>
      <c r="K14" s="8"/>
      <c r="L14" s="7"/>
      <c r="M14" s="8"/>
      <c r="N14" s="7"/>
      <c r="O14" s="8"/>
      <c r="P14" s="7"/>
      <c r="Q14" s="8"/>
      <c r="R14" s="7"/>
      <c r="S14" s="8"/>
      <c r="T14" s="7"/>
      <c r="U14" s="8"/>
      <c r="V14" s="7"/>
      <c r="W14" s="8"/>
      <c r="X14" s="7"/>
      <c r="Y14" s="8"/>
      <c r="Z14" s="7"/>
      <c r="AA14" s="8"/>
      <c r="AB14" s="7"/>
      <c r="AC14" s="8"/>
      <c r="AD14" s="7"/>
    </row>
    <row r="15" spans="1:34" x14ac:dyDescent="0.35">
      <c r="A15" s="6"/>
      <c r="B15" s="6"/>
      <c r="C15" s="6"/>
      <c r="D15" s="6"/>
      <c r="E15" s="6" t="s">
        <v>26</v>
      </c>
      <c r="F15" s="7">
        <v>24942.53</v>
      </c>
      <c r="G15" s="8"/>
      <c r="H15" s="7">
        <v>27986.98</v>
      </c>
      <c r="I15" s="8"/>
      <c r="J15" s="7">
        <v>27842.58</v>
      </c>
      <c r="K15" s="8"/>
      <c r="L15" s="7">
        <v>34287.69</v>
      </c>
      <c r="M15" s="8"/>
      <c r="N15" s="7">
        <v>31261.87</v>
      </c>
      <c r="O15" s="8"/>
      <c r="P15" s="7">
        <v>33832.199999999997</v>
      </c>
      <c r="Q15" s="8"/>
      <c r="R15" s="7">
        <v>30821.26</v>
      </c>
      <c r="S15" s="8"/>
      <c r="T15" s="7">
        <v>26668.45</v>
      </c>
      <c r="U15" s="8"/>
      <c r="V15" s="7">
        <v>35428.57</v>
      </c>
      <c r="W15" s="8"/>
      <c r="X15" s="7">
        <v>36336.339999999997</v>
      </c>
      <c r="Y15" s="8"/>
      <c r="Z15" s="7">
        <v>28873.96</v>
      </c>
      <c r="AA15" s="8"/>
      <c r="AB15" s="7">
        <v>28244.74</v>
      </c>
      <c r="AC15" s="8"/>
      <c r="AD15" s="7">
        <f t="shared" ref="AD15:AD22" si="1">ROUND(SUM(F15:AB15),5)</f>
        <v>366527.17</v>
      </c>
      <c r="AE15" s="9">
        <f>AD15/AD4</f>
        <v>0.47990136159069391</v>
      </c>
    </row>
    <row r="16" spans="1:34" x14ac:dyDescent="0.35">
      <c r="A16" s="6"/>
      <c r="B16" s="6"/>
      <c r="C16" s="6"/>
      <c r="D16" s="6"/>
      <c r="E16" s="6" t="s">
        <v>27</v>
      </c>
      <c r="F16" s="7">
        <v>92746.27</v>
      </c>
      <c r="G16" s="8"/>
      <c r="H16" s="7">
        <v>80999.16</v>
      </c>
      <c r="I16" s="8"/>
      <c r="J16" s="7">
        <v>82567.22</v>
      </c>
      <c r="K16" s="8"/>
      <c r="L16" s="7">
        <v>91619.89</v>
      </c>
      <c r="M16" s="8"/>
      <c r="N16" s="7">
        <v>93017.4</v>
      </c>
      <c r="O16" s="8"/>
      <c r="P16" s="7">
        <v>102201.62</v>
      </c>
      <c r="Q16" s="8"/>
      <c r="R16" s="7">
        <v>91065.919999999998</v>
      </c>
      <c r="S16" s="8"/>
      <c r="T16" s="7">
        <v>82756.84</v>
      </c>
      <c r="U16" s="8"/>
      <c r="V16" s="7">
        <v>88858.97</v>
      </c>
      <c r="W16" s="8"/>
      <c r="X16" s="7">
        <v>93399.64</v>
      </c>
      <c r="Y16" s="8"/>
      <c r="Z16" s="7">
        <v>74911.259999999995</v>
      </c>
      <c r="AA16" s="8"/>
      <c r="AB16" s="7">
        <v>70279.56</v>
      </c>
      <c r="AC16" s="8"/>
      <c r="AD16" s="7">
        <f t="shared" si="1"/>
        <v>1044423.75</v>
      </c>
      <c r="AE16" s="12">
        <f>AD16/AD5</f>
        <v>0.57882277075350419</v>
      </c>
      <c r="AH16" s="10" t="s">
        <v>74</v>
      </c>
    </row>
    <row r="17" spans="1:38" x14ac:dyDescent="0.35">
      <c r="A17" s="6"/>
      <c r="B17" s="6"/>
      <c r="C17" s="6"/>
      <c r="D17" s="6"/>
      <c r="E17" s="6" t="s">
        <v>28</v>
      </c>
      <c r="F17" s="7">
        <v>0</v>
      </c>
      <c r="G17" s="8"/>
      <c r="H17" s="7">
        <v>0</v>
      </c>
      <c r="I17" s="8"/>
      <c r="J17" s="7">
        <v>0</v>
      </c>
      <c r="K17" s="8"/>
      <c r="L17" s="7">
        <v>590</v>
      </c>
      <c r="M17" s="8"/>
      <c r="N17" s="7">
        <v>0</v>
      </c>
      <c r="O17" s="8"/>
      <c r="P17" s="7">
        <v>0</v>
      </c>
      <c r="Q17" s="8"/>
      <c r="R17" s="7">
        <v>1750</v>
      </c>
      <c r="S17" s="8"/>
      <c r="T17" s="7">
        <v>0</v>
      </c>
      <c r="U17" s="8"/>
      <c r="V17" s="7">
        <v>0</v>
      </c>
      <c r="W17" s="8"/>
      <c r="X17" s="7">
        <v>830</v>
      </c>
      <c r="Y17" s="8"/>
      <c r="Z17" s="7">
        <v>0</v>
      </c>
      <c r="AA17" s="8"/>
      <c r="AB17" s="7">
        <v>0</v>
      </c>
      <c r="AC17" s="8"/>
      <c r="AD17" s="7">
        <f t="shared" si="1"/>
        <v>3170</v>
      </c>
    </row>
    <row r="18" spans="1:38" x14ac:dyDescent="0.35">
      <c r="A18" s="6"/>
      <c r="B18" s="6"/>
      <c r="C18" s="6"/>
      <c r="D18" s="6"/>
      <c r="E18" s="6" t="s">
        <v>29</v>
      </c>
      <c r="F18" s="7">
        <v>1210.99</v>
      </c>
      <c r="G18" s="8"/>
      <c r="H18" s="7">
        <v>396.64</v>
      </c>
      <c r="I18" s="8"/>
      <c r="J18" s="7">
        <v>163.63</v>
      </c>
      <c r="K18" s="8"/>
      <c r="L18" s="7">
        <v>1270.19</v>
      </c>
      <c r="M18" s="8"/>
      <c r="N18" s="7">
        <v>386.9</v>
      </c>
      <c r="O18" s="8"/>
      <c r="P18" s="7">
        <v>593.54</v>
      </c>
      <c r="Q18" s="8"/>
      <c r="R18" s="7">
        <v>1358.51</v>
      </c>
      <c r="S18" s="8"/>
      <c r="T18" s="7">
        <v>1194.58</v>
      </c>
      <c r="U18" s="8"/>
      <c r="V18" s="7">
        <v>1077.6500000000001</v>
      </c>
      <c r="W18" s="8"/>
      <c r="X18" s="7">
        <v>790.17</v>
      </c>
      <c r="Y18" s="8"/>
      <c r="Z18" s="7">
        <v>338.06</v>
      </c>
      <c r="AA18" s="8"/>
      <c r="AB18" s="7">
        <v>1686.94</v>
      </c>
      <c r="AC18" s="8"/>
      <c r="AD18" s="7">
        <f t="shared" si="1"/>
        <v>10467.799999999999</v>
      </c>
    </row>
    <row r="19" spans="1:38" x14ac:dyDescent="0.35">
      <c r="A19" s="6"/>
      <c r="B19" s="6"/>
      <c r="C19" s="6"/>
      <c r="D19" s="6"/>
      <c r="E19" s="6" t="s">
        <v>30</v>
      </c>
      <c r="F19" s="7">
        <v>9412.69</v>
      </c>
      <c r="G19" s="8"/>
      <c r="H19" s="7">
        <v>11680.87</v>
      </c>
      <c r="I19" s="8"/>
      <c r="J19" s="7">
        <v>11150.85</v>
      </c>
      <c r="K19" s="8"/>
      <c r="L19" s="7">
        <v>10621.53</v>
      </c>
      <c r="M19" s="8"/>
      <c r="N19" s="7">
        <v>12103.32</v>
      </c>
      <c r="O19" s="8"/>
      <c r="P19" s="7">
        <v>4399.8100000000004</v>
      </c>
      <c r="Q19" s="8"/>
      <c r="R19" s="7">
        <v>2729.61</v>
      </c>
      <c r="S19" s="8"/>
      <c r="T19" s="7">
        <v>39737.160000000003</v>
      </c>
      <c r="U19" s="8"/>
      <c r="V19" s="7">
        <v>11537.33</v>
      </c>
      <c r="W19" s="8"/>
      <c r="X19" s="7">
        <v>11410.85</v>
      </c>
      <c r="Y19" s="8"/>
      <c r="Z19" s="7">
        <v>5136.17</v>
      </c>
      <c r="AA19" s="8"/>
      <c r="AB19" s="7">
        <v>5777.26</v>
      </c>
      <c r="AC19" s="8"/>
      <c r="AD19" s="7">
        <f t="shared" si="1"/>
        <v>135697.45000000001</v>
      </c>
      <c r="AE19" s="9">
        <f>AD19/AD9</f>
        <v>0.48721137658865493</v>
      </c>
    </row>
    <row r="20" spans="1:38" ht="13.3" thickBot="1" x14ac:dyDescent="0.4">
      <c r="A20" s="6"/>
      <c r="B20" s="6"/>
      <c r="C20" s="6"/>
      <c r="D20" s="6"/>
      <c r="E20" s="6" t="s">
        <v>31</v>
      </c>
      <c r="F20" s="7">
        <v>20263.36</v>
      </c>
      <c r="G20" s="8"/>
      <c r="H20" s="7">
        <v>38827.11</v>
      </c>
      <c r="I20" s="8"/>
      <c r="J20" s="7">
        <v>28924.99</v>
      </c>
      <c r="K20" s="8"/>
      <c r="L20" s="7">
        <v>28921.97</v>
      </c>
      <c r="M20" s="8"/>
      <c r="N20" s="7">
        <v>66307.759999999995</v>
      </c>
      <c r="O20" s="8"/>
      <c r="P20" s="7">
        <v>40325.07</v>
      </c>
      <c r="Q20" s="8"/>
      <c r="R20" s="7">
        <v>32337.57</v>
      </c>
      <c r="S20" s="8"/>
      <c r="T20" s="7">
        <v>135934.07</v>
      </c>
      <c r="U20" s="8"/>
      <c r="V20" s="7">
        <v>40369.120000000003</v>
      </c>
      <c r="W20" s="8"/>
      <c r="X20" s="7">
        <v>43082.879999999997</v>
      </c>
      <c r="Y20" s="8"/>
      <c r="Z20" s="7">
        <v>54703.64</v>
      </c>
      <c r="AA20" s="8"/>
      <c r="AB20" s="7">
        <v>32728.18</v>
      </c>
      <c r="AC20" s="8"/>
      <c r="AD20" s="7">
        <f t="shared" si="1"/>
        <v>562725.72</v>
      </c>
      <c r="AE20" s="12">
        <f>AD20/AD10</f>
        <v>1.0939341895787809</v>
      </c>
      <c r="AH20" s="10" t="s">
        <v>73</v>
      </c>
    </row>
    <row r="21" spans="1:38" ht="13.3" thickBot="1" x14ac:dyDescent="0.4">
      <c r="A21" s="6"/>
      <c r="B21" s="6"/>
      <c r="C21" s="6"/>
      <c r="D21" s="6" t="s">
        <v>32</v>
      </c>
      <c r="E21" s="6"/>
      <c r="F21" s="13">
        <f>ROUND(SUM(F14:F20),5)</f>
        <v>148575.84</v>
      </c>
      <c r="G21" s="8"/>
      <c r="H21" s="13">
        <f>ROUND(SUM(H14:H20),5)</f>
        <v>159890.76</v>
      </c>
      <c r="I21" s="8"/>
      <c r="J21" s="13">
        <f>ROUND(SUM(J14:J20),5)</f>
        <v>150649.26999999999</v>
      </c>
      <c r="K21" s="8"/>
      <c r="L21" s="13">
        <f>ROUND(SUM(L14:L20),5)</f>
        <v>167311.26999999999</v>
      </c>
      <c r="M21" s="8"/>
      <c r="N21" s="13">
        <f>ROUND(SUM(N14:N20),5)</f>
        <v>203077.25</v>
      </c>
      <c r="O21" s="8"/>
      <c r="P21" s="13">
        <f>ROUND(SUM(P14:P20),5)</f>
        <v>181352.24</v>
      </c>
      <c r="Q21" s="8"/>
      <c r="R21" s="13">
        <f>ROUND(SUM(R14:R20),5)</f>
        <v>160062.87</v>
      </c>
      <c r="S21" s="8"/>
      <c r="T21" s="13">
        <f>ROUND(SUM(T14:T20),5)</f>
        <v>286291.09999999998</v>
      </c>
      <c r="U21" s="8"/>
      <c r="V21" s="13">
        <f>ROUND(SUM(V14:V20),5)</f>
        <v>177271.64</v>
      </c>
      <c r="W21" s="8"/>
      <c r="X21" s="13">
        <f>ROUND(SUM(X14:X20),5)</f>
        <v>185849.88</v>
      </c>
      <c r="Y21" s="8"/>
      <c r="Z21" s="13">
        <f>ROUND(SUM(Z14:Z20),5)</f>
        <v>163963.09</v>
      </c>
      <c r="AA21" s="8"/>
      <c r="AB21" s="13">
        <f>ROUND(SUM(AB14:AB20),5)</f>
        <v>138716.68</v>
      </c>
      <c r="AC21" s="8"/>
      <c r="AD21" s="13">
        <f t="shared" si="1"/>
        <v>2123011.89</v>
      </c>
      <c r="AE21" s="9">
        <f>AD21/AD13</f>
        <v>0.41073956525799565</v>
      </c>
    </row>
    <row r="22" spans="1:38" x14ac:dyDescent="0.35">
      <c r="A22" s="6"/>
      <c r="B22" s="6"/>
      <c r="C22" s="6" t="s">
        <v>33</v>
      </c>
      <c r="D22" s="6"/>
      <c r="E22" s="6"/>
      <c r="F22" s="7">
        <f>ROUND(F13-F21,5)</f>
        <v>220892.35</v>
      </c>
      <c r="G22" s="8"/>
      <c r="H22" s="7">
        <f>ROUND(H13-H21,5)</f>
        <v>260620.6</v>
      </c>
      <c r="I22" s="8"/>
      <c r="J22" s="7">
        <f>ROUND(J13-J21,5)</f>
        <v>218889.89</v>
      </c>
      <c r="K22" s="8"/>
      <c r="L22" s="7">
        <f>ROUND(L13-L21,5)</f>
        <v>361934.52</v>
      </c>
      <c r="M22" s="8"/>
      <c r="N22" s="7">
        <f>ROUND(N13-N21,5)</f>
        <v>315450.71000000002</v>
      </c>
      <c r="O22" s="8"/>
      <c r="P22" s="7">
        <f>ROUND(P13-P21,5)</f>
        <v>244230.13</v>
      </c>
      <c r="Q22" s="8"/>
      <c r="R22" s="7">
        <f>ROUND(R13-R21,5)</f>
        <v>198784.67</v>
      </c>
      <c r="S22" s="8"/>
      <c r="T22" s="7">
        <f>ROUND(T13-T21,5)</f>
        <v>271137.55</v>
      </c>
      <c r="U22" s="8"/>
      <c r="V22" s="7">
        <f>ROUND(V13-V21,5)</f>
        <v>204594.53</v>
      </c>
      <c r="W22" s="8"/>
      <c r="X22" s="7">
        <f>ROUND(X13-X21,5)</f>
        <v>227238.43</v>
      </c>
      <c r="Y22" s="8"/>
      <c r="Z22" s="7">
        <f>ROUND(Z13-Z21,5)</f>
        <v>239283.62</v>
      </c>
      <c r="AA22" s="8"/>
      <c r="AB22" s="7">
        <f>ROUND(AB13-AB21,5)</f>
        <v>282685.40000000002</v>
      </c>
      <c r="AC22" s="8"/>
      <c r="AD22" s="7">
        <f t="shared" si="1"/>
        <v>3045742.4</v>
      </c>
      <c r="AE22" s="9">
        <f>AD22/AD13</f>
        <v>0.58926043474200429</v>
      </c>
    </row>
    <row r="23" spans="1:38" x14ac:dyDescent="0.35">
      <c r="A23" s="6"/>
      <c r="B23" s="6"/>
      <c r="C23" s="6"/>
      <c r="D23" s="6" t="s">
        <v>34</v>
      </c>
      <c r="E23" s="6"/>
      <c r="F23" s="7"/>
      <c r="G23" s="8"/>
      <c r="H23" s="7"/>
      <c r="I23" s="8"/>
      <c r="J23" s="7"/>
      <c r="K23" s="8"/>
      <c r="L23" s="7"/>
      <c r="M23" s="8"/>
      <c r="N23" s="7"/>
      <c r="O23" s="8"/>
      <c r="P23" s="7"/>
      <c r="Q23" s="8"/>
      <c r="R23" s="7"/>
      <c r="S23" s="8"/>
      <c r="T23" s="7"/>
      <c r="U23" s="8"/>
      <c r="V23" s="7"/>
      <c r="W23" s="8"/>
      <c r="X23" s="7"/>
      <c r="Y23" s="8"/>
      <c r="Z23" s="7"/>
      <c r="AA23" s="8"/>
      <c r="AB23" s="7"/>
      <c r="AC23" s="8"/>
      <c r="AD23" s="7"/>
      <c r="AE23" s="9" t="s">
        <v>70</v>
      </c>
      <c r="AF23" s="9" t="s">
        <v>71</v>
      </c>
    </row>
    <row r="24" spans="1:38" x14ac:dyDescent="0.35">
      <c r="A24" s="6"/>
      <c r="B24" s="6"/>
      <c r="C24" s="6"/>
      <c r="D24" s="6"/>
      <c r="E24" s="6" t="s">
        <v>35</v>
      </c>
      <c r="F24" s="7">
        <v>4068.41</v>
      </c>
      <c r="G24" s="8"/>
      <c r="H24" s="7">
        <v>4473.55</v>
      </c>
      <c r="I24" s="8"/>
      <c r="J24" s="7">
        <v>4023.45</v>
      </c>
      <c r="K24" s="8"/>
      <c r="L24" s="7">
        <v>5294.17</v>
      </c>
      <c r="M24" s="8"/>
      <c r="N24" s="7">
        <v>4858.95</v>
      </c>
      <c r="O24" s="8"/>
      <c r="P24" s="7">
        <v>4248.1400000000003</v>
      </c>
      <c r="Q24" s="8"/>
      <c r="R24" s="7">
        <v>3961.04</v>
      </c>
      <c r="S24" s="8"/>
      <c r="T24" s="7">
        <v>4344.75</v>
      </c>
      <c r="U24" s="8"/>
      <c r="V24" s="7">
        <v>4575.4799999999996</v>
      </c>
      <c r="W24" s="8"/>
      <c r="X24" s="7">
        <v>3962.54</v>
      </c>
      <c r="Y24" s="8"/>
      <c r="Z24" s="7">
        <v>3977.68</v>
      </c>
      <c r="AA24" s="8"/>
      <c r="AB24" s="7">
        <v>4181.4399999999996</v>
      </c>
      <c r="AC24" s="8"/>
      <c r="AD24" s="7">
        <f t="shared" ref="AD24:AD56" si="2">ROUND(SUM(F24:AB24),5)</f>
        <v>51969.599999999999</v>
      </c>
      <c r="AE24" s="9">
        <f>AD24/$AD$13</f>
        <v>1.0054569647573631E-2</v>
      </c>
      <c r="AF24" s="9">
        <f>AD24/$AD$22</f>
        <v>1.7063031988522732E-2</v>
      </c>
      <c r="AH24" s="10" t="s">
        <v>84</v>
      </c>
    </row>
    <row r="25" spans="1:38" x14ac:dyDescent="0.35">
      <c r="A25" s="6"/>
      <c r="B25" s="6"/>
      <c r="C25" s="6"/>
      <c r="D25" s="6"/>
      <c r="E25" s="6" t="s">
        <v>36</v>
      </c>
      <c r="F25" s="7">
        <v>64.38</v>
      </c>
      <c r="G25" s="8"/>
      <c r="H25" s="7">
        <v>298.75</v>
      </c>
      <c r="I25" s="8"/>
      <c r="J25" s="7">
        <v>174.38</v>
      </c>
      <c r="K25" s="8"/>
      <c r="L25" s="7">
        <v>60.94</v>
      </c>
      <c r="M25" s="8"/>
      <c r="N25" s="7">
        <v>153.31</v>
      </c>
      <c r="O25" s="8"/>
      <c r="P25" s="7">
        <v>0</v>
      </c>
      <c r="Q25" s="8"/>
      <c r="R25" s="7">
        <v>117.13</v>
      </c>
      <c r="S25" s="8"/>
      <c r="T25" s="7">
        <v>0</v>
      </c>
      <c r="U25" s="8"/>
      <c r="V25" s="7">
        <v>152.5</v>
      </c>
      <c r="W25" s="8"/>
      <c r="X25" s="7">
        <v>20</v>
      </c>
      <c r="Y25" s="8"/>
      <c r="Z25" s="7">
        <v>0</v>
      </c>
      <c r="AA25" s="8"/>
      <c r="AB25" s="7">
        <v>34.06</v>
      </c>
      <c r="AC25" s="8"/>
      <c r="AD25" s="7">
        <f t="shared" si="2"/>
        <v>1075.45</v>
      </c>
      <c r="AE25" s="9">
        <f t="shared" ref="AE25:AE53" si="3">AD25/$AD$13</f>
        <v>2.0806754193765324E-4</v>
      </c>
      <c r="AF25" s="9">
        <f t="shared" ref="AF25:AF53" si="4">AD25/$AD$22</f>
        <v>3.5309946107064082E-4</v>
      </c>
    </row>
    <row r="26" spans="1:38" x14ac:dyDescent="0.35">
      <c r="A26" s="6"/>
      <c r="B26" s="6"/>
      <c r="C26" s="6"/>
      <c r="D26" s="6"/>
      <c r="E26" s="6" t="s">
        <v>37</v>
      </c>
      <c r="F26" s="7">
        <v>281.61</v>
      </c>
      <c r="G26" s="8"/>
      <c r="H26" s="7">
        <v>12.5</v>
      </c>
      <c r="I26" s="8"/>
      <c r="J26" s="7">
        <v>12.5</v>
      </c>
      <c r="K26" s="8"/>
      <c r="L26" s="7">
        <v>12.5</v>
      </c>
      <c r="M26" s="8"/>
      <c r="N26" s="7">
        <v>15</v>
      </c>
      <c r="O26" s="8"/>
      <c r="P26" s="7">
        <v>1543</v>
      </c>
      <c r="Q26" s="8"/>
      <c r="R26" s="7">
        <v>743.74</v>
      </c>
      <c r="S26" s="8"/>
      <c r="T26" s="7">
        <v>17.5</v>
      </c>
      <c r="U26" s="8"/>
      <c r="V26" s="7">
        <v>864.12</v>
      </c>
      <c r="W26" s="8"/>
      <c r="X26" s="7">
        <v>1159.44</v>
      </c>
      <c r="Y26" s="8"/>
      <c r="Z26" s="7">
        <v>2316.9899999999998</v>
      </c>
      <c r="AA26" s="8"/>
      <c r="AB26" s="7">
        <v>1372.88</v>
      </c>
      <c r="AC26" s="8"/>
      <c r="AD26" s="7">
        <f t="shared" si="2"/>
        <v>8351.7800000000007</v>
      </c>
      <c r="AE26" s="9">
        <f t="shared" si="3"/>
        <v>1.6158206661435247E-3</v>
      </c>
      <c r="AF26" s="9">
        <f t="shared" si="4"/>
        <v>2.7421163391887641E-3</v>
      </c>
    </row>
    <row r="27" spans="1:38" x14ac:dyDescent="0.35">
      <c r="A27" s="6"/>
      <c r="B27" s="6"/>
      <c r="C27" s="6"/>
      <c r="D27" s="6"/>
      <c r="E27" s="6" t="s">
        <v>38</v>
      </c>
      <c r="F27" s="7">
        <v>0</v>
      </c>
      <c r="G27" s="8"/>
      <c r="H27" s="7">
        <v>0</v>
      </c>
      <c r="I27" s="8"/>
      <c r="J27" s="7">
        <v>0</v>
      </c>
      <c r="K27" s="8"/>
      <c r="L27" s="7">
        <v>0</v>
      </c>
      <c r="M27" s="8"/>
      <c r="N27" s="7">
        <v>25</v>
      </c>
      <c r="O27" s="8"/>
      <c r="P27" s="7">
        <v>0</v>
      </c>
      <c r="Q27" s="8"/>
      <c r="R27" s="7">
        <v>0</v>
      </c>
      <c r="S27" s="8"/>
      <c r="T27" s="7">
        <v>0</v>
      </c>
      <c r="U27" s="8"/>
      <c r="V27" s="7">
        <v>0</v>
      </c>
      <c r="W27" s="8"/>
      <c r="X27" s="7">
        <v>0</v>
      </c>
      <c r="Y27" s="8"/>
      <c r="Z27" s="7">
        <v>0</v>
      </c>
      <c r="AA27" s="8"/>
      <c r="AB27" s="7">
        <v>0</v>
      </c>
      <c r="AC27" s="8"/>
      <c r="AD27" s="7">
        <f t="shared" si="2"/>
        <v>25</v>
      </c>
      <c r="AE27" s="9">
        <f t="shared" si="3"/>
        <v>4.8367553567728213E-6</v>
      </c>
      <c r="AF27" s="9">
        <f t="shared" si="4"/>
        <v>8.2081793916649021E-6</v>
      </c>
      <c r="AK27" s="10" t="s">
        <v>86</v>
      </c>
    </row>
    <row r="28" spans="1:38" x14ac:dyDescent="0.35">
      <c r="A28" s="6"/>
      <c r="B28" s="6"/>
      <c r="C28" s="6"/>
      <c r="D28" s="6"/>
      <c r="E28" s="6" t="s">
        <v>39</v>
      </c>
      <c r="F28" s="7">
        <v>0</v>
      </c>
      <c r="G28" s="8"/>
      <c r="H28" s="7">
        <v>0</v>
      </c>
      <c r="I28" s="8"/>
      <c r="J28" s="7">
        <v>0</v>
      </c>
      <c r="K28" s="8"/>
      <c r="L28" s="7">
        <v>0</v>
      </c>
      <c r="M28" s="8"/>
      <c r="N28" s="7">
        <v>1751.45</v>
      </c>
      <c r="O28" s="8"/>
      <c r="P28" s="7">
        <v>0</v>
      </c>
      <c r="Q28" s="8"/>
      <c r="R28" s="7">
        <v>0</v>
      </c>
      <c r="S28" s="8"/>
      <c r="T28" s="7">
        <v>0</v>
      </c>
      <c r="U28" s="8"/>
      <c r="V28" s="7">
        <v>0</v>
      </c>
      <c r="W28" s="8"/>
      <c r="X28" s="7">
        <v>0</v>
      </c>
      <c r="Y28" s="8"/>
      <c r="Z28" s="7">
        <v>0</v>
      </c>
      <c r="AA28" s="8"/>
      <c r="AB28" s="7">
        <v>0</v>
      </c>
      <c r="AC28" s="8"/>
      <c r="AD28" s="7">
        <f t="shared" si="2"/>
        <v>1751.45</v>
      </c>
      <c r="AE28" s="9">
        <f t="shared" si="3"/>
        <v>3.3885340678479033E-4</v>
      </c>
      <c r="AF28" s="9">
        <f t="shared" si="4"/>
        <v>5.7504863182125979E-4</v>
      </c>
      <c r="AK28" s="18">
        <f>AD13</f>
        <v>5168754.29</v>
      </c>
      <c r="AL28" s="10" t="s">
        <v>81</v>
      </c>
    </row>
    <row r="29" spans="1:38" x14ac:dyDescent="0.35">
      <c r="A29" s="6"/>
      <c r="B29" s="6"/>
      <c r="C29" s="6"/>
      <c r="D29" s="6"/>
      <c r="E29" s="6" t="s">
        <v>40</v>
      </c>
      <c r="F29" s="7">
        <v>0</v>
      </c>
      <c r="G29" s="8"/>
      <c r="H29" s="7">
        <v>0</v>
      </c>
      <c r="I29" s="8"/>
      <c r="J29" s="7">
        <v>0</v>
      </c>
      <c r="K29" s="8"/>
      <c r="L29" s="7">
        <v>0</v>
      </c>
      <c r="M29" s="8"/>
      <c r="N29" s="7">
        <v>0</v>
      </c>
      <c r="O29" s="8"/>
      <c r="P29" s="7">
        <v>0</v>
      </c>
      <c r="Q29" s="8"/>
      <c r="R29" s="7">
        <v>0</v>
      </c>
      <c r="S29" s="8"/>
      <c r="T29" s="7">
        <v>0</v>
      </c>
      <c r="U29" s="8"/>
      <c r="V29" s="7">
        <v>0</v>
      </c>
      <c r="W29" s="8"/>
      <c r="X29" s="7">
        <v>112.62</v>
      </c>
      <c r="Y29" s="8"/>
      <c r="Z29" s="7">
        <v>0</v>
      </c>
      <c r="AA29" s="8"/>
      <c r="AB29" s="7">
        <v>0</v>
      </c>
      <c r="AC29" s="8"/>
      <c r="AD29" s="7">
        <f t="shared" si="2"/>
        <v>112.62</v>
      </c>
      <c r="AE29" s="9">
        <f t="shared" si="3"/>
        <v>2.1788615531190205E-5</v>
      </c>
      <c r="AF29" s="9">
        <f t="shared" si="4"/>
        <v>3.6976206523572054E-5</v>
      </c>
      <c r="AJ29" s="21" t="s">
        <v>75</v>
      </c>
      <c r="AK29" s="18">
        <f>AD7</f>
        <v>1799686.25</v>
      </c>
      <c r="AL29" s="10" t="s">
        <v>82</v>
      </c>
    </row>
    <row r="30" spans="1:38" x14ac:dyDescent="0.35">
      <c r="A30" s="6"/>
      <c r="B30" s="6"/>
      <c r="C30" s="6"/>
      <c r="D30" s="6"/>
      <c r="E30" s="6" t="s">
        <v>41</v>
      </c>
      <c r="F30" s="7">
        <v>20280.57</v>
      </c>
      <c r="G30" s="8"/>
      <c r="H30" s="7">
        <v>24417.23</v>
      </c>
      <c r="I30" s="8"/>
      <c r="J30" s="7">
        <v>26912.17</v>
      </c>
      <c r="K30" s="8"/>
      <c r="L30" s="7">
        <v>26269.81</v>
      </c>
      <c r="M30" s="8"/>
      <c r="N30" s="7">
        <v>19332.349999999999</v>
      </c>
      <c r="O30" s="8"/>
      <c r="P30" s="7">
        <v>18977.04</v>
      </c>
      <c r="Q30" s="8"/>
      <c r="R30" s="7">
        <v>19067.77</v>
      </c>
      <c r="S30" s="8"/>
      <c r="T30" s="7">
        <v>23013.02</v>
      </c>
      <c r="U30" s="8"/>
      <c r="V30" s="7">
        <v>23741.95</v>
      </c>
      <c r="W30" s="8"/>
      <c r="X30" s="7">
        <v>21660.42</v>
      </c>
      <c r="Y30" s="8"/>
      <c r="Z30" s="7">
        <v>19490.939999999999</v>
      </c>
      <c r="AA30" s="8"/>
      <c r="AB30" s="7">
        <v>20789.97</v>
      </c>
      <c r="AC30" s="8"/>
      <c r="AD30" s="7">
        <f t="shared" si="2"/>
        <v>263953.24</v>
      </c>
      <c r="AE30" s="9">
        <f t="shared" si="3"/>
        <v>5.1067089900301683E-2</v>
      </c>
      <c r="AF30" s="12">
        <f t="shared" si="4"/>
        <v>8.6663021797247206E-2</v>
      </c>
      <c r="AH30" s="10" t="s">
        <v>85</v>
      </c>
      <c r="AJ30" s="21"/>
      <c r="AK30" s="19">
        <f>AK28-AK29</f>
        <v>3369068.04</v>
      </c>
      <c r="AL30" s="10" t="s">
        <v>76</v>
      </c>
    </row>
    <row r="31" spans="1:38" x14ac:dyDescent="0.35">
      <c r="A31" s="6"/>
      <c r="B31" s="6"/>
      <c r="C31" s="6"/>
      <c r="D31" s="6"/>
      <c r="E31" s="6" t="s">
        <v>42</v>
      </c>
      <c r="F31" s="7">
        <v>0</v>
      </c>
      <c r="G31" s="8"/>
      <c r="H31" s="7">
        <v>0</v>
      </c>
      <c r="I31" s="8"/>
      <c r="J31" s="7">
        <v>0</v>
      </c>
      <c r="K31" s="8"/>
      <c r="L31" s="7">
        <v>0</v>
      </c>
      <c r="M31" s="8"/>
      <c r="N31" s="7">
        <v>0</v>
      </c>
      <c r="O31" s="8"/>
      <c r="P31" s="7">
        <v>-738.14</v>
      </c>
      <c r="Q31" s="8"/>
      <c r="R31" s="7">
        <v>0</v>
      </c>
      <c r="S31" s="8"/>
      <c r="T31" s="7">
        <v>0</v>
      </c>
      <c r="U31" s="8"/>
      <c r="V31" s="7">
        <v>0</v>
      </c>
      <c r="W31" s="8"/>
      <c r="X31" s="7">
        <v>0</v>
      </c>
      <c r="Y31" s="8"/>
      <c r="Z31" s="7">
        <v>0</v>
      </c>
      <c r="AA31" s="8"/>
      <c r="AB31" s="7">
        <v>0</v>
      </c>
      <c r="AC31" s="8"/>
      <c r="AD31" s="7">
        <f t="shared" si="2"/>
        <v>-738.14</v>
      </c>
      <c r="AE31" s="9">
        <f t="shared" si="3"/>
        <v>-1.4280810396193161E-4</v>
      </c>
      <c r="AF31" s="9">
        <f t="shared" si="4"/>
        <v>-2.4235142144654124E-4</v>
      </c>
      <c r="AJ31" s="21" t="s">
        <v>77</v>
      </c>
      <c r="AK31" s="18">
        <f>AD21</f>
        <v>2123011.89</v>
      </c>
      <c r="AL31" s="10" t="s">
        <v>78</v>
      </c>
    </row>
    <row r="32" spans="1:38" x14ac:dyDescent="0.35">
      <c r="A32" s="6"/>
      <c r="B32" s="6"/>
      <c r="C32" s="6"/>
      <c r="D32" s="6"/>
      <c r="E32" s="6" t="s">
        <v>43</v>
      </c>
      <c r="F32" s="7">
        <v>23</v>
      </c>
      <c r="G32" s="8"/>
      <c r="H32" s="7">
        <v>23</v>
      </c>
      <c r="I32" s="8"/>
      <c r="J32" s="7">
        <v>174.16</v>
      </c>
      <c r="K32" s="8"/>
      <c r="L32" s="7">
        <v>23</v>
      </c>
      <c r="M32" s="8"/>
      <c r="N32" s="7">
        <v>53.99</v>
      </c>
      <c r="O32" s="8"/>
      <c r="P32" s="7">
        <v>75.989999999999995</v>
      </c>
      <c r="Q32" s="8"/>
      <c r="R32" s="7">
        <v>30.99</v>
      </c>
      <c r="S32" s="8"/>
      <c r="T32" s="7">
        <v>30.99</v>
      </c>
      <c r="U32" s="8"/>
      <c r="V32" s="7">
        <v>30.99</v>
      </c>
      <c r="W32" s="8"/>
      <c r="X32" s="7">
        <v>65.989999999999995</v>
      </c>
      <c r="Y32" s="8"/>
      <c r="Z32" s="7">
        <v>35.99</v>
      </c>
      <c r="AA32" s="8"/>
      <c r="AB32" s="7">
        <v>105.99</v>
      </c>
      <c r="AC32" s="8"/>
      <c r="AD32" s="7">
        <f t="shared" si="2"/>
        <v>674.08</v>
      </c>
      <c r="AE32" s="9">
        <f t="shared" si="3"/>
        <v>1.3041440203573695E-4</v>
      </c>
      <c r="AF32" s="9">
        <f t="shared" si="4"/>
        <v>2.2131878257333911E-4</v>
      </c>
      <c r="AK32" s="20">
        <f>AK31/AK30</f>
        <v>0.63014811953753247</v>
      </c>
      <c r="AL32" s="10" t="s">
        <v>79</v>
      </c>
    </row>
    <row r="33" spans="1:39" x14ac:dyDescent="0.35">
      <c r="A33" s="6"/>
      <c r="B33" s="6"/>
      <c r="C33" s="6"/>
      <c r="D33" s="6"/>
      <c r="E33" s="6" t="s">
        <v>44</v>
      </c>
      <c r="F33" s="7">
        <v>13532.12</v>
      </c>
      <c r="G33" s="8"/>
      <c r="H33" s="7">
        <v>10556.27</v>
      </c>
      <c r="I33" s="8"/>
      <c r="J33" s="7">
        <v>10396.69</v>
      </c>
      <c r="K33" s="8"/>
      <c r="L33" s="7">
        <v>10395.879999999999</v>
      </c>
      <c r="M33" s="8"/>
      <c r="N33" s="7">
        <v>10237.51</v>
      </c>
      <c r="O33" s="8"/>
      <c r="P33" s="7">
        <v>12724.35</v>
      </c>
      <c r="Q33" s="8"/>
      <c r="R33" s="7">
        <v>10478.16</v>
      </c>
      <c r="S33" s="8"/>
      <c r="T33" s="7">
        <v>12526.05</v>
      </c>
      <c r="U33" s="8"/>
      <c r="V33" s="7">
        <v>7009.07</v>
      </c>
      <c r="W33" s="8"/>
      <c r="X33" s="7">
        <v>11585.03</v>
      </c>
      <c r="Y33" s="8"/>
      <c r="Z33" s="7">
        <v>10334.83</v>
      </c>
      <c r="AA33" s="8"/>
      <c r="AB33" s="7">
        <v>9472.09</v>
      </c>
      <c r="AC33" s="8"/>
      <c r="AD33" s="7">
        <f t="shared" si="2"/>
        <v>129248.05</v>
      </c>
      <c r="AE33" s="9">
        <f t="shared" si="3"/>
        <v>2.5005647927597657E-2</v>
      </c>
      <c r="AF33" s="9">
        <f t="shared" si="4"/>
        <v>4.2435647216915E-2</v>
      </c>
      <c r="AK33" s="22">
        <f>1-AK32</f>
        <v>0.36985188046246753</v>
      </c>
      <c r="AL33" s="10" t="s">
        <v>80</v>
      </c>
    </row>
    <row r="34" spans="1:39" x14ac:dyDescent="0.35">
      <c r="A34" s="6"/>
      <c r="B34" s="6"/>
      <c r="C34" s="6"/>
      <c r="D34" s="6"/>
      <c r="E34" s="6" t="s">
        <v>45</v>
      </c>
      <c r="F34" s="7">
        <v>1361.28</v>
      </c>
      <c r="G34" s="8"/>
      <c r="H34" s="7">
        <v>1301.6400000000001</v>
      </c>
      <c r="I34" s="8"/>
      <c r="J34" s="7">
        <v>1461.12</v>
      </c>
      <c r="K34" s="8"/>
      <c r="L34" s="7">
        <v>1438.37</v>
      </c>
      <c r="M34" s="8"/>
      <c r="N34" s="7">
        <v>731</v>
      </c>
      <c r="O34" s="8"/>
      <c r="P34" s="7">
        <v>731</v>
      </c>
      <c r="Q34" s="8"/>
      <c r="R34" s="7">
        <v>731</v>
      </c>
      <c r="S34" s="8"/>
      <c r="T34" s="7">
        <v>731</v>
      </c>
      <c r="U34" s="8"/>
      <c r="V34" s="7">
        <v>731</v>
      </c>
      <c r="W34" s="8"/>
      <c r="X34" s="7">
        <v>731</v>
      </c>
      <c r="Y34" s="8"/>
      <c r="Z34" s="7">
        <v>731</v>
      </c>
      <c r="AA34" s="8"/>
      <c r="AB34" s="7">
        <v>731</v>
      </c>
      <c r="AC34" s="8"/>
      <c r="AD34" s="7">
        <f t="shared" si="2"/>
        <v>11410.41</v>
      </c>
      <c r="AE34" s="9">
        <f t="shared" si="3"/>
        <v>2.2075744676189665E-3</v>
      </c>
      <c r="AF34" s="9">
        <f t="shared" si="4"/>
        <v>3.7463476884978847E-3</v>
      </c>
      <c r="AL34" s="23" t="s">
        <v>83</v>
      </c>
    </row>
    <row r="35" spans="1:39" x14ac:dyDescent="0.35">
      <c r="A35" s="6"/>
      <c r="B35" s="6"/>
      <c r="C35" s="6"/>
      <c r="D35" s="6"/>
      <c r="E35" s="6" t="s">
        <v>46</v>
      </c>
      <c r="F35" s="7">
        <v>177</v>
      </c>
      <c r="G35" s="8"/>
      <c r="H35" s="7">
        <v>177</v>
      </c>
      <c r="I35" s="8"/>
      <c r="J35" s="7">
        <v>0</v>
      </c>
      <c r="K35" s="8"/>
      <c r="L35" s="7">
        <v>177</v>
      </c>
      <c r="M35" s="8"/>
      <c r="N35" s="7">
        <v>177</v>
      </c>
      <c r="O35" s="8"/>
      <c r="P35" s="7">
        <v>177</v>
      </c>
      <c r="Q35" s="8"/>
      <c r="R35" s="7">
        <v>177</v>
      </c>
      <c r="S35" s="8"/>
      <c r="T35" s="7">
        <v>177</v>
      </c>
      <c r="U35" s="8"/>
      <c r="V35" s="7">
        <v>177</v>
      </c>
      <c r="W35" s="8"/>
      <c r="X35" s="7">
        <v>177</v>
      </c>
      <c r="Y35" s="8"/>
      <c r="Z35" s="7">
        <v>177</v>
      </c>
      <c r="AA35" s="8"/>
      <c r="AB35" s="7">
        <v>177</v>
      </c>
      <c r="AC35" s="8"/>
      <c r="AD35" s="7">
        <f t="shared" si="2"/>
        <v>1947</v>
      </c>
      <c r="AE35" s="9">
        <f t="shared" si="3"/>
        <v>3.7668650718546734E-4</v>
      </c>
      <c r="AF35" s="9">
        <f t="shared" si="4"/>
        <v>6.3925301102286264E-4</v>
      </c>
    </row>
    <row r="36" spans="1:39" x14ac:dyDescent="0.35">
      <c r="A36" s="6"/>
      <c r="B36" s="6"/>
      <c r="C36" s="6"/>
      <c r="D36" s="6"/>
      <c r="E36" s="6" t="s">
        <v>47</v>
      </c>
      <c r="F36" s="7">
        <v>186.67</v>
      </c>
      <c r="G36" s="8"/>
      <c r="H36" s="7">
        <v>95.44</v>
      </c>
      <c r="I36" s="8"/>
      <c r="J36" s="7">
        <v>160.77000000000001</v>
      </c>
      <c r="K36" s="8"/>
      <c r="L36" s="7">
        <v>200.68</v>
      </c>
      <c r="M36" s="8"/>
      <c r="N36" s="7">
        <v>51.45</v>
      </c>
      <c r="O36" s="8"/>
      <c r="P36" s="7">
        <v>116.32</v>
      </c>
      <c r="Q36" s="8"/>
      <c r="R36" s="7">
        <v>0</v>
      </c>
      <c r="S36" s="8"/>
      <c r="T36" s="7">
        <v>123.31</v>
      </c>
      <c r="U36" s="8"/>
      <c r="V36" s="7">
        <v>107.59</v>
      </c>
      <c r="W36" s="8"/>
      <c r="X36" s="7">
        <v>203.73</v>
      </c>
      <c r="Y36" s="8"/>
      <c r="Z36" s="7">
        <v>156.44999999999999</v>
      </c>
      <c r="AA36" s="8"/>
      <c r="AB36" s="7">
        <v>139.19999999999999</v>
      </c>
      <c r="AC36" s="8"/>
      <c r="AD36" s="7">
        <f t="shared" si="2"/>
        <v>1541.61</v>
      </c>
      <c r="AE36" s="9">
        <f t="shared" si="3"/>
        <v>2.9825561702218192E-4</v>
      </c>
      <c r="AF36" s="9">
        <f t="shared" si="4"/>
        <v>5.0615245727938119E-4</v>
      </c>
    </row>
    <row r="37" spans="1:39" x14ac:dyDescent="0.35">
      <c r="A37" s="6"/>
      <c r="B37" s="6"/>
      <c r="C37" s="6"/>
      <c r="D37" s="6"/>
      <c r="E37" s="6" t="s">
        <v>48</v>
      </c>
      <c r="F37" s="7">
        <v>914.98</v>
      </c>
      <c r="G37" s="8"/>
      <c r="H37" s="7">
        <v>416.29</v>
      </c>
      <c r="I37" s="8"/>
      <c r="J37" s="7">
        <v>1208.81</v>
      </c>
      <c r="K37" s="8"/>
      <c r="L37" s="7">
        <v>495.37</v>
      </c>
      <c r="M37" s="8"/>
      <c r="N37" s="7">
        <v>1027.48</v>
      </c>
      <c r="O37" s="8"/>
      <c r="P37" s="7">
        <v>986.96</v>
      </c>
      <c r="Q37" s="8"/>
      <c r="R37" s="7">
        <v>619.53</v>
      </c>
      <c r="S37" s="8"/>
      <c r="T37" s="7">
        <v>1166.02</v>
      </c>
      <c r="U37" s="8"/>
      <c r="V37" s="7">
        <v>2192.4299999999998</v>
      </c>
      <c r="W37" s="8"/>
      <c r="X37" s="7">
        <v>988.54</v>
      </c>
      <c r="Y37" s="8"/>
      <c r="Z37" s="7">
        <v>603.09</v>
      </c>
      <c r="AA37" s="8"/>
      <c r="AB37" s="7">
        <v>0</v>
      </c>
      <c r="AC37" s="8"/>
      <c r="AD37" s="7">
        <f t="shared" si="2"/>
        <v>10619.5</v>
      </c>
      <c r="AE37" s="9">
        <f t="shared" si="3"/>
        <v>2.0545569404499591E-3</v>
      </c>
      <c r="AF37" s="9">
        <f t="shared" si="4"/>
        <v>3.4866704419914173E-3</v>
      </c>
    </row>
    <row r="38" spans="1:39" x14ac:dyDescent="0.35">
      <c r="A38" s="6"/>
      <c r="B38" s="6"/>
      <c r="C38" s="6"/>
      <c r="D38" s="6"/>
      <c r="E38" s="6" t="s">
        <v>49</v>
      </c>
      <c r="F38" s="7">
        <v>35250</v>
      </c>
      <c r="G38" s="8"/>
      <c r="H38" s="7">
        <v>35250</v>
      </c>
      <c r="I38" s="8"/>
      <c r="J38" s="7">
        <v>35250</v>
      </c>
      <c r="K38" s="8"/>
      <c r="L38" s="7">
        <v>35250</v>
      </c>
      <c r="M38" s="8"/>
      <c r="N38" s="7">
        <v>35250</v>
      </c>
      <c r="O38" s="8"/>
      <c r="P38" s="7">
        <v>35250</v>
      </c>
      <c r="Q38" s="8"/>
      <c r="R38" s="7">
        <v>35250</v>
      </c>
      <c r="S38" s="8"/>
      <c r="T38" s="7">
        <v>35250</v>
      </c>
      <c r="U38" s="8"/>
      <c r="V38" s="7">
        <v>35250</v>
      </c>
      <c r="W38" s="8"/>
      <c r="X38" s="7">
        <v>35250</v>
      </c>
      <c r="Y38" s="8"/>
      <c r="Z38" s="7">
        <v>35250</v>
      </c>
      <c r="AA38" s="8"/>
      <c r="AB38" s="7">
        <v>35250</v>
      </c>
      <c r="AC38" s="8"/>
      <c r="AD38" s="7">
        <f t="shared" si="2"/>
        <v>423000</v>
      </c>
      <c r="AE38" s="9">
        <f t="shared" si="3"/>
        <v>8.1837900636596128E-2</v>
      </c>
      <c r="AF38" s="9">
        <f t="shared" si="4"/>
        <v>0.13888239530697016</v>
      </c>
      <c r="AJ38" s="24" t="s">
        <v>87</v>
      </c>
      <c r="AK38" s="24"/>
      <c r="AL38" s="24"/>
      <c r="AM38" s="24"/>
    </row>
    <row r="39" spans="1:39" x14ac:dyDescent="0.35">
      <c r="A39" s="6"/>
      <c r="B39" s="6"/>
      <c r="C39" s="6"/>
      <c r="D39" s="6"/>
      <c r="E39" s="6" t="s">
        <v>50</v>
      </c>
      <c r="F39" s="7">
        <v>1687.84</v>
      </c>
      <c r="G39" s="8"/>
      <c r="H39" s="7">
        <v>1589.36</v>
      </c>
      <c r="I39" s="8"/>
      <c r="J39" s="7">
        <v>2203.19</v>
      </c>
      <c r="K39" s="8"/>
      <c r="L39" s="7">
        <v>1154.76</v>
      </c>
      <c r="M39" s="8"/>
      <c r="N39" s="7">
        <v>1355.25</v>
      </c>
      <c r="O39" s="8"/>
      <c r="P39" s="7">
        <v>894.24</v>
      </c>
      <c r="Q39" s="8"/>
      <c r="R39" s="7">
        <v>808.21</v>
      </c>
      <c r="S39" s="8"/>
      <c r="T39" s="7">
        <v>1230.9000000000001</v>
      </c>
      <c r="U39" s="8"/>
      <c r="V39" s="7">
        <v>1314.09</v>
      </c>
      <c r="W39" s="8"/>
      <c r="X39" s="7">
        <v>865.86</v>
      </c>
      <c r="Y39" s="8"/>
      <c r="Z39" s="7">
        <v>576.38</v>
      </c>
      <c r="AA39" s="8"/>
      <c r="AB39" s="7">
        <v>939.93</v>
      </c>
      <c r="AC39" s="8"/>
      <c r="AD39" s="7">
        <f t="shared" si="2"/>
        <v>14620.01</v>
      </c>
      <c r="AE39" s="9">
        <f t="shared" si="3"/>
        <v>2.8285364673428888E-3</v>
      </c>
      <c r="AF39" s="9">
        <f t="shared" si="4"/>
        <v>4.8001465915173914E-3</v>
      </c>
      <c r="AJ39" s="24"/>
      <c r="AK39" s="24"/>
      <c r="AL39" s="24"/>
      <c r="AM39" s="24"/>
    </row>
    <row r="40" spans="1:39" ht="25.75" x14ac:dyDescent="0.35">
      <c r="A40" s="6"/>
      <c r="B40" s="6"/>
      <c r="C40" s="6"/>
      <c r="D40" s="6"/>
      <c r="E40" s="6" t="s">
        <v>51</v>
      </c>
      <c r="F40" s="7">
        <v>29674.04</v>
      </c>
      <c r="G40" s="8"/>
      <c r="H40" s="7">
        <v>29025.02</v>
      </c>
      <c r="I40" s="8"/>
      <c r="J40" s="7">
        <v>22252.43</v>
      </c>
      <c r="K40" s="8"/>
      <c r="L40" s="7">
        <v>22018.240000000002</v>
      </c>
      <c r="M40" s="8"/>
      <c r="N40" s="7">
        <v>32483.279999999999</v>
      </c>
      <c r="O40" s="8"/>
      <c r="P40" s="7">
        <v>21987.06</v>
      </c>
      <c r="Q40" s="8"/>
      <c r="R40" s="7">
        <v>21852.240000000002</v>
      </c>
      <c r="S40" s="8"/>
      <c r="T40" s="7">
        <v>21552.76</v>
      </c>
      <c r="U40" s="8"/>
      <c r="V40" s="7">
        <v>21000.81</v>
      </c>
      <c r="W40" s="8"/>
      <c r="X40" s="7">
        <v>31524.35</v>
      </c>
      <c r="Y40" s="8"/>
      <c r="Z40" s="7">
        <v>21211.8</v>
      </c>
      <c r="AA40" s="8"/>
      <c r="AB40" s="7">
        <v>21674.28</v>
      </c>
      <c r="AC40" s="8"/>
      <c r="AD40" s="7">
        <f t="shared" si="2"/>
        <v>296256.31</v>
      </c>
      <c r="AE40" s="9">
        <f t="shared" si="3"/>
        <v>5.7316771774809983E-2</v>
      </c>
      <c r="AF40" s="9">
        <f t="shared" si="4"/>
        <v>9.7268997535707558E-2</v>
      </c>
      <c r="AJ40" s="25" t="s">
        <v>88</v>
      </c>
      <c r="AK40" s="25" t="s">
        <v>89</v>
      </c>
      <c r="AL40" s="25" t="s">
        <v>90</v>
      </c>
      <c r="AM40" s="24"/>
    </row>
    <row r="41" spans="1:39" x14ac:dyDescent="0.35">
      <c r="A41" s="6"/>
      <c r="B41" s="6"/>
      <c r="C41" s="6"/>
      <c r="D41" s="6"/>
      <c r="E41" s="6" t="s">
        <v>52</v>
      </c>
      <c r="F41" s="7">
        <v>375.98</v>
      </c>
      <c r="G41" s="8"/>
      <c r="H41" s="7">
        <v>611.51</v>
      </c>
      <c r="I41" s="8"/>
      <c r="J41" s="7">
        <v>373.97</v>
      </c>
      <c r="K41" s="8"/>
      <c r="L41" s="7">
        <v>350.63</v>
      </c>
      <c r="M41" s="8"/>
      <c r="N41" s="7">
        <v>1581.96</v>
      </c>
      <c r="O41" s="8"/>
      <c r="P41" s="7">
        <v>523.67999999999995</v>
      </c>
      <c r="Q41" s="8"/>
      <c r="R41" s="7">
        <v>1891.45</v>
      </c>
      <c r="S41" s="8"/>
      <c r="T41" s="7">
        <v>851.63</v>
      </c>
      <c r="U41" s="8"/>
      <c r="V41" s="7">
        <v>4040.56</v>
      </c>
      <c r="W41" s="8"/>
      <c r="X41" s="7">
        <v>1520.95</v>
      </c>
      <c r="Y41" s="8"/>
      <c r="Z41" s="7">
        <v>2151.66</v>
      </c>
      <c r="AA41" s="8"/>
      <c r="AB41" s="7">
        <v>411.85</v>
      </c>
      <c r="AC41" s="8"/>
      <c r="AD41" s="7">
        <f t="shared" si="2"/>
        <v>14685.83</v>
      </c>
      <c r="AE41" s="9">
        <f t="shared" si="3"/>
        <v>2.8412706768462001E-3</v>
      </c>
      <c r="AF41" s="9">
        <f t="shared" si="4"/>
        <v>4.8217570862197669E-3</v>
      </c>
      <c r="AJ41" s="25" t="s">
        <v>91</v>
      </c>
      <c r="AK41" s="26">
        <v>5168754.29</v>
      </c>
      <c r="AL41" s="27">
        <v>1</v>
      </c>
      <c r="AM41" s="24"/>
    </row>
    <row r="42" spans="1:39" ht="38.6" x14ac:dyDescent="0.35">
      <c r="A42" s="6"/>
      <c r="B42" s="6"/>
      <c r="C42" s="6"/>
      <c r="D42" s="6"/>
      <c r="E42" s="6" t="s">
        <v>53</v>
      </c>
      <c r="F42" s="7">
        <v>0</v>
      </c>
      <c r="G42" s="8"/>
      <c r="H42" s="7">
        <v>0</v>
      </c>
      <c r="I42" s="8"/>
      <c r="J42" s="7">
        <v>0.1</v>
      </c>
      <c r="K42" s="8"/>
      <c r="L42" s="7">
        <v>0.1</v>
      </c>
      <c r="M42" s="8"/>
      <c r="N42" s="7">
        <v>2.3199999999999998</v>
      </c>
      <c r="O42" s="8"/>
      <c r="P42" s="7">
        <v>0.01</v>
      </c>
      <c r="Q42" s="8"/>
      <c r="R42" s="7">
        <v>6.5</v>
      </c>
      <c r="S42" s="8"/>
      <c r="T42" s="7">
        <v>0</v>
      </c>
      <c r="U42" s="8"/>
      <c r="V42" s="7">
        <v>0</v>
      </c>
      <c r="W42" s="8"/>
      <c r="X42" s="7">
        <v>0.4</v>
      </c>
      <c r="Y42" s="8"/>
      <c r="Z42" s="7">
        <v>0</v>
      </c>
      <c r="AA42" s="8"/>
      <c r="AB42" s="7">
        <v>0</v>
      </c>
      <c r="AC42" s="8"/>
      <c r="AD42" s="7">
        <f t="shared" si="2"/>
        <v>9.43</v>
      </c>
      <c r="AE42" s="9">
        <f t="shared" si="3"/>
        <v>1.8244241205747081E-6</v>
      </c>
      <c r="AF42" s="9">
        <f t="shared" si="4"/>
        <v>3.096125266536001E-6</v>
      </c>
      <c r="AJ42" s="25" t="s">
        <v>92</v>
      </c>
      <c r="AK42" s="26">
        <v>2123011.89</v>
      </c>
      <c r="AL42" s="27">
        <v>0.41099999999999998</v>
      </c>
      <c r="AM42" s="24"/>
    </row>
    <row r="43" spans="1:39" ht="38.6" x14ac:dyDescent="0.35">
      <c r="A43" s="6"/>
      <c r="B43" s="6"/>
      <c r="C43" s="6"/>
      <c r="D43" s="6"/>
      <c r="E43" s="6" t="s">
        <v>54</v>
      </c>
      <c r="F43" s="7">
        <v>3499.6</v>
      </c>
      <c r="G43" s="8"/>
      <c r="H43" s="7">
        <v>3249.6</v>
      </c>
      <c r="I43" s="8"/>
      <c r="J43" s="7">
        <v>3248.65</v>
      </c>
      <c r="K43" s="8"/>
      <c r="L43" s="7">
        <v>3248.65</v>
      </c>
      <c r="M43" s="8"/>
      <c r="N43" s="7">
        <v>3248.65</v>
      </c>
      <c r="O43" s="8"/>
      <c r="P43" s="7">
        <v>3248.65</v>
      </c>
      <c r="Q43" s="8"/>
      <c r="R43" s="7">
        <v>3248.65</v>
      </c>
      <c r="S43" s="8"/>
      <c r="T43" s="7">
        <v>3473.52</v>
      </c>
      <c r="U43" s="8"/>
      <c r="V43" s="7">
        <v>3248.65</v>
      </c>
      <c r="W43" s="8"/>
      <c r="X43" s="7">
        <v>3248.65</v>
      </c>
      <c r="Y43" s="8"/>
      <c r="Z43" s="7">
        <v>3338.59</v>
      </c>
      <c r="AA43" s="8"/>
      <c r="AB43" s="7">
        <v>3338.59</v>
      </c>
      <c r="AC43" s="8"/>
      <c r="AD43" s="7">
        <f t="shared" si="2"/>
        <v>39640.449999999997</v>
      </c>
      <c r="AE43" s="9">
        <f t="shared" si="3"/>
        <v>7.6692463552954062E-3</v>
      </c>
      <c r="AF43" s="9">
        <f t="shared" si="4"/>
        <v>1.3015036990652918E-2</v>
      </c>
      <c r="AJ43" s="25" t="s">
        <v>93</v>
      </c>
      <c r="AK43" s="26">
        <v>1411266.3</v>
      </c>
      <c r="AL43" s="27">
        <v>0.27300000000000002</v>
      </c>
      <c r="AM43" s="24"/>
    </row>
    <row r="44" spans="1:39" ht="38.6" x14ac:dyDescent="0.35">
      <c r="A44" s="6"/>
      <c r="B44" s="6"/>
      <c r="C44" s="6"/>
      <c r="D44" s="6"/>
      <c r="E44" s="6" t="s">
        <v>55</v>
      </c>
      <c r="F44" s="7">
        <v>0</v>
      </c>
      <c r="G44" s="8"/>
      <c r="H44" s="7">
        <v>0</v>
      </c>
      <c r="I44" s="8"/>
      <c r="J44" s="7">
        <v>0</v>
      </c>
      <c r="K44" s="8"/>
      <c r="L44" s="7">
        <v>0</v>
      </c>
      <c r="M44" s="8"/>
      <c r="N44" s="7">
        <v>205</v>
      </c>
      <c r="O44" s="8"/>
      <c r="P44" s="7">
        <v>0</v>
      </c>
      <c r="Q44" s="8"/>
      <c r="R44" s="7">
        <v>0</v>
      </c>
      <c r="S44" s="8"/>
      <c r="T44" s="7">
        <v>0</v>
      </c>
      <c r="U44" s="8"/>
      <c r="V44" s="7">
        <v>0</v>
      </c>
      <c r="W44" s="8"/>
      <c r="X44" s="7">
        <v>0</v>
      </c>
      <c r="Y44" s="8"/>
      <c r="Z44" s="7">
        <v>0</v>
      </c>
      <c r="AA44" s="8"/>
      <c r="AB44" s="7">
        <v>0</v>
      </c>
      <c r="AC44" s="8"/>
      <c r="AD44" s="7">
        <f t="shared" si="2"/>
        <v>205</v>
      </c>
      <c r="AE44" s="9">
        <f t="shared" si="3"/>
        <v>3.9661393925537133E-5</v>
      </c>
      <c r="AF44" s="9">
        <f t="shared" si="4"/>
        <v>6.7307071011652204E-5</v>
      </c>
      <c r="AJ44" s="25" t="s">
        <v>94</v>
      </c>
      <c r="AK44" s="26">
        <v>3534278.19</v>
      </c>
      <c r="AL44" s="27">
        <v>0.68400000000000005</v>
      </c>
      <c r="AM44" s="28"/>
    </row>
    <row r="45" spans="1:39" ht="25.75" x14ac:dyDescent="0.35">
      <c r="A45" s="6"/>
      <c r="B45" s="6"/>
      <c r="C45" s="6"/>
      <c r="D45" s="6"/>
      <c r="E45" s="6" t="s">
        <v>56</v>
      </c>
      <c r="F45" s="7">
        <v>7603.32</v>
      </c>
      <c r="G45" s="8"/>
      <c r="H45" s="7">
        <v>5555.13</v>
      </c>
      <c r="I45" s="8"/>
      <c r="J45" s="7">
        <v>2722.65</v>
      </c>
      <c r="K45" s="8"/>
      <c r="L45" s="7">
        <v>2348.9</v>
      </c>
      <c r="M45" s="8"/>
      <c r="N45" s="7">
        <v>1676.54</v>
      </c>
      <c r="O45" s="8"/>
      <c r="P45" s="7">
        <v>3027.94</v>
      </c>
      <c r="Q45" s="8"/>
      <c r="R45" s="7">
        <v>2400.2199999999998</v>
      </c>
      <c r="S45" s="8"/>
      <c r="T45" s="7">
        <v>2428.04</v>
      </c>
      <c r="U45" s="8"/>
      <c r="V45" s="7">
        <v>2428.39</v>
      </c>
      <c r="W45" s="8"/>
      <c r="X45" s="7">
        <v>3011.3</v>
      </c>
      <c r="Y45" s="8"/>
      <c r="Z45" s="7">
        <v>3043.47</v>
      </c>
      <c r="AA45" s="8"/>
      <c r="AB45" s="7">
        <v>3314.43</v>
      </c>
      <c r="AC45" s="8"/>
      <c r="AD45" s="7">
        <f t="shared" si="2"/>
        <v>39560.33</v>
      </c>
      <c r="AE45" s="9">
        <f t="shared" si="3"/>
        <v>7.6537455217280219E-3</v>
      </c>
      <c r="AF45" s="9">
        <f t="shared" si="4"/>
        <v>1.2988731417338513E-2</v>
      </c>
      <c r="AJ45" s="25" t="s">
        <v>95</v>
      </c>
      <c r="AK45" s="26">
        <v>1634476.1</v>
      </c>
      <c r="AL45" s="29">
        <v>0.316</v>
      </c>
      <c r="AM45" s="24" t="s">
        <v>96</v>
      </c>
    </row>
    <row r="46" spans="1:39" x14ac:dyDescent="0.35">
      <c r="A46" s="6"/>
      <c r="B46" s="6"/>
      <c r="C46" s="6"/>
      <c r="D46" s="6"/>
      <c r="E46" s="6" t="s">
        <v>57</v>
      </c>
      <c r="F46" s="7">
        <v>122150.02</v>
      </c>
      <c r="G46" s="8"/>
      <c r="H46" s="7">
        <v>119136.28</v>
      </c>
      <c r="I46" s="8"/>
      <c r="J46" s="7">
        <v>107053.83</v>
      </c>
      <c r="K46" s="8"/>
      <c r="L46" s="7">
        <v>103831.74</v>
      </c>
      <c r="M46" s="8"/>
      <c r="N46" s="7">
        <v>133685.57</v>
      </c>
      <c r="O46" s="8"/>
      <c r="P46" s="7">
        <v>115280.27</v>
      </c>
      <c r="Q46" s="8"/>
      <c r="R46" s="7">
        <v>116536.01</v>
      </c>
      <c r="S46" s="8"/>
      <c r="T46" s="7">
        <v>112148.83</v>
      </c>
      <c r="U46" s="8"/>
      <c r="V46" s="7">
        <v>109999.63</v>
      </c>
      <c r="W46" s="8"/>
      <c r="X46" s="7">
        <v>148642.93</v>
      </c>
      <c r="Y46" s="8"/>
      <c r="Z46" s="7">
        <v>108721.08</v>
      </c>
      <c r="AA46" s="8"/>
      <c r="AB46" s="7">
        <v>143823.79999999999</v>
      </c>
      <c r="AC46" s="8"/>
      <c r="AD46" s="7">
        <f t="shared" si="2"/>
        <v>1441009.99</v>
      </c>
      <c r="AE46" s="9">
        <f t="shared" si="3"/>
        <v>0.27879251153182599</v>
      </c>
      <c r="AF46" s="9">
        <f t="shared" si="4"/>
        <v>0.47312274012404992</v>
      </c>
    </row>
    <row r="47" spans="1:39" x14ac:dyDescent="0.35">
      <c r="A47" s="6"/>
      <c r="B47" s="6"/>
      <c r="C47" s="6"/>
      <c r="D47" s="6"/>
      <c r="E47" s="6" t="s">
        <v>58</v>
      </c>
      <c r="F47" s="7">
        <v>131.19</v>
      </c>
      <c r="G47" s="8"/>
      <c r="H47" s="7">
        <v>-142.4</v>
      </c>
      <c r="I47" s="8"/>
      <c r="J47" s="7">
        <v>-14.51</v>
      </c>
      <c r="K47" s="8"/>
      <c r="L47" s="7">
        <v>-0.68</v>
      </c>
      <c r="M47" s="8"/>
      <c r="N47" s="7">
        <v>27.76</v>
      </c>
      <c r="O47" s="8"/>
      <c r="P47" s="7">
        <v>147.05000000000001</v>
      </c>
      <c r="Q47" s="8"/>
      <c r="R47" s="7">
        <v>1.08</v>
      </c>
      <c r="S47" s="8"/>
      <c r="T47" s="7">
        <v>335.96</v>
      </c>
      <c r="U47" s="8"/>
      <c r="V47" s="7">
        <v>103.2</v>
      </c>
      <c r="W47" s="8"/>
      <c r="X47" s="7">
        <v>10.199999999999999</v>
      </c>
      <c r="Y47" s="8"/>
      <c r="Z47" s="7">
        <v>143.76</v>
      </c>
      <c r="AA47" s="8"/>
      <c r="AB47" s="7">
        <v>-24.93</v>
      </c>
      <c r="AC47" s="8"/>
      <c r="AD47" s="7">
        <f t="shared" si="2"/>
        <v>717.68</v>
      </c>
      <c r="AE47" s="9">
        <f t="shared" si="3"/>
        <v>1.3884970337794871E-4</v>
      </c>
      <c r="AF47" s="9">
        <f t="shared" si="4"/>
        <v>2.3563384743240269E-4</v>
      </c>
    </row>
    <row r="48" spans="1:39" x14ac:dyDescent="0.35">
      <c r="A48" s="6"/>
      <c r="B48" s="6"/>
      <c r="C48" s="6"/>
      <c r="D48" s="6"/>
      <c r="E48" s="6" t="s">
        <v>59</v>
      </c>
      <c r="F48" s="7">
        <v>1974.22</v>
      </c>
      <c r="G48" s="8"/>
      <c r="H48" s="7">
        <v>119.15</v>
      </c>
      <c r="I48" s="8"/>
      <c r="J48" s="7">
        <v>330.52</v>
      </c>
      <c r="K48" s="8"/>
      <c r="L48" s="7">
        <v>291</v>
      </c>
      <c r="M48" s="8"/>
      <c r="N48" s="7">
        <v>530.54</v>
      </c>
      <c r="O48" s="8"/>
      <c r="P48" s="7">
        <v>904.75</v>
      </c>
      <c r="Q48" s="8"/>
      <c r="R48" s="7">
        <v>332.63</v>
      </c>
      <c r="S48" s="8"/>
      <c r="T48" s="7">
        <v>0</v>
      </c>
      <c r="U48" s="8"/>
      <c r="V48" s="7">
        <v>603.82000000000005</v>
      </c>
      <c r="W48" s="8"/>
      <c r="X48" s="7">
        <v>322.39999999999998</v>
      </c>
      <c r="Y48" s="8"/>
      <c r="Z48" s="7">
        <v>147.11000000000001</v>
      </c>
      <c r="AA48" s="8"/>
      <c r="AB48" s="7">
        <v>214.42</v>
      </c>
      <c r="AC48" s="8"/>
      <c r="AD48" s="7">
        <f t="shared" si="2"/>
        <v>5770.56</v>
      </c>
      <c r="AE48" s="9">
        <f t="shared" si="3"/>
        <v>1.116431479663159E-3</v>
      </c>
      <c r="AF48" s="9">
        <f t="shared" si="4"/>
        <v>1.8946316668146329E-3</v>
      </c>
    </row>
    <row r="49" spans="1:32" x14ac:dyDescent="0.35">
      <c r="A49" s="6"/>
      <c r="B49" s="6"/>
      <c r="C49" s="6"/>
      <c r="D49" s="6"/>
      <c r="E49" s="6" t="s">
        <v>60</v>
      </c>
      <c r="F49" s="7">
        <v>215.17</v>
      </c>
      <c r="G49" s="8"/>
      <c r="H49" s="7">
        <v>0</v>
      </c>
      <c r="I49" s="8"/>
      <c r="J49" s="7">
        <v>0</v>
      </c>
      <c r="K49" s="8"/>
      <c r="L49" s="7">
        <v>0</v>
      </c>
      <c r="M49" s="8"/>
      <c r="N49" s="7">
        <v>0</v>
      </c>
      <c r="O49" s="8"/>
      <c r="P49" s="7">
        <v>31700</v>
      </c>
      <c r="Q49" s="8"/>
      <c r="R49" s="7">
        <v>0</v>
      </c>
      <c r="S49" s="8"/>
      <c r="T49" s="7">
        <v>0</v>
      </c>
      <c r="U49" s="8"/>
      <c r="V49" s="7">
        <v>-7052.32</v>
      </c>
      <c r="W49" s="8"/>
      <c r="X49" s="7">
        <v>-7052.32</v>
      </c>
      <c r="Y49" s="8"/>
      <c r="Z49" s="7">
        <v>0</v>
      </c>
      <c r="AA49" s="8"/>
      <c r="AB49" s="7">
        <v>0</v>
      </c>
      <c r="AC49" s="8"/>
      <c r="AD49" s="7">
        <f t="shared" si="2"/>
        <v>17810.53</v>
      </c>
      <c r="AE49" s="9">
        <f t="shared" si="3"/>
        <v>3.4458070553785212E-3</v>
      </c>
      <c r="AF49" s="9">
        <f t="shared" si="4"/>
        <v>5.8476810120251799E-3</v>
      </c>
    </row>
    <row r="50" spans="1:32" x14ac:dyDescent="0.35">
      <c r="A50" s="6"/>
      <c r="B50" s="6"/>
      <c r="C50" s="6"/>
      <c r="D50" s="6"/>
      <c r="E50" s="6" t="s">
        <v>61</v>
      </c>
      <c r="F50" s="7">
        <v>1842.8</v>
      </c>
      <c r="G50" s="8"/>
      <c r="H50" s="7">
        <v>1814.77</v>
      </c>
      <c r="I50" s="8"/>
      <c r="J50" s="7">
        <v>2715.13</v>
      </c>
      <c r="K50" s="8"/>
      <c r="L50" s="7">
        <v>2021.12</v>
      </c>
      <c r="M50" s="8"/>
      <c r="N50" s="7">
        <v>1950.61</v>
      </c>
      <c r="O50" s="8"/>
      <c r="P50" s="7">
        <v>1945.76</v>
      </c>
      <c r="Q50" s="8"/>
      <c r="R50" s="7">
        <v>1916.46</v>
      </c>
      <c r="S50" s="8"/>
      <c r="T50" s="7">
        <v>1828.49</v>
      </c>
      <c r="U50" s="8"/>
      <c r="V50" s="7">
        <v>1887.99</v>
      </c>
      <c r="W50" s="8"/>
      <c r="X50" s="7">
        <v>826.66</v>
      </c>
      <c r="Y50" s="8"/>
      <c r="Z50" s="7">
        <v>725.86</v>
      </c>
      <c r="AA50" s="8"/>
      <c r="AB50" s="7">
        <v>723.07</v>
      </c>
      <c r="AC50" s="8"/>
      <c r="AD50" s="7">
        <f t="shared" si="2"/>
        <v>20198.72</v>
      </c>
      <c r="AE50" s="9">
        <f t="shared" si="3"/>
        <v>3.9078506863981727E-3</v>
      </c>
      <c r="AF50" s="9">
        <f t="shared" si="4"/>
        <v>6.6317886896803888E-3</v>
      </c>
    </row>
    <row r="51" spans="1:32" x14ac:dyDescent="0.35">
      <c r="A51" s="6"/>
      <c r="B51" s="6"/>
      <c r="C51" s="6"/>
      <c r="D51" s="6"/>
      <c r="E51" s="6" t="s">
        <v>62</v>
      </c>
      <c r="F51" s="7">
        <v>16788.34</v>
      </c>
      <c r="G51" s="8"/>
      <c r="H51" s="7">
        <v>3372.63</v>
      </c>
      <c r="I51" s="8"/>
      <c r="J51" s="7">
        <v>300</v>
      </c>
      <c r="K51" s="8"/>
      <c r="L51" s="7">
        <v>572.66</v>
      </c>
      <c r="M51" s="8"/>
      <c r="N51" s="7">
        <v>0</v>
      </c>
      <c r="O51" s="8"/>
      <c r="P51" s="7">
        <v>0</v>
      </c>
      <c r="Q51" s="8"/>
      <c r="R51" s="7">
        <v>929.79</v>
      </c>
      <c r="S51" s="8"/>
      <c r="T51" s="7">
        <v>0</v>
      </c>
      <c r="U51" s="8"/>
      <c r="V51" s="7">
        <v>1471.12</v>
      </c>
      <c r="W51" s="8"/>
      <c r="X51" s="7">
        <v>82.1</v>
      </c>
      <c r="Y51" s="8"/>
      <c r="Z51" s="7">
        <v>0</v>
      </c>
      <c r="AA51" s="8"/>
      <c r="AB51" s="7">
        <v>0</v>
      </c>
      <c r="AC51" s="8"/>
      <c r="AD51" s="7">
        <f t="shared" si="2"/>
        <v>23516.639999999999</v>
      </c>
      <c r="AE51" s="9">
        <f t="shared" si="3"/>
        <v>4.5497693797319199E-3</v>
      </c>
      <c r="AF51" s="9">
        <f t="shared" si="4"/>
        <v>7.7211519923681008E-3</v>
      </c>
    </row>
    <row r="52" spans="1:32" x14ac:dyDescent="0.35">
      <c r="A52" s="6"/>
      <c r="B52" s="6"/>
      <c r="C52" s="6"/>
      <c r="D52" s="6"/>
      <c r="E52" s="6" t="s">
        <v>63</v>
      </c>
      <c r="F52" s="7">
        <v>0</v>
      </c>
      <c r="G52" s="8"/>
      <c r="H52" s="7">
        <v>0</v>
      </c>
      <c r="I52" s="8"/>
      <c r="J52" s="7">
        <v>0</v>
      </c>
      <c r="K52" s="8"/>
      <c r="L52" s="7">
        <v>0</v>
      </c>
      <c r="M52" s="8"/>
      <c r="N52" s="7">
        <v>0</v>
      </c>
      <c r="O52" s="8"/>
      <c r="P52" s="7">
        <v>0</v>
      </c>
      <c r="Q52" s="8"/>
      <c r="R52" s="7">
        <v>0</v>
      </c>
      <c r="S52" s="8"/>
      <c r="T52" s="7">
        <v>531.29999999999995</v>
      </c>
      <c r="U52" s="8"/>
      <c r="V52" s="7">
        <v>0</v>
      </c>
      <c r="W52" s="8"/>
      <c r="X52" s="7">
        <v>0</v>
      </c>
      <c r="Y52" s="8"/>
      <c r="Z52" s="7">
        <v>0</v>
      </c>
      <c r="AA52" s="8"/>
      <c r="AB52" s="7">
        <v>0</v>
      </c>
      <c r="AC52" s="8"/>
      <c r="AD52" s="7">
        <f t="shared" si="2"/>
        <v>531.29999999999995</v>
      </c>
      <c r="AE52" s="9">
        <f t="shared" si="3"/>
        <v>1.0279072484213599E-4</v>
      </c>
      <c r="AF52" s="9">
        <f t="shared" si="4"/>
        <v>1.7444022843166249E-4</v>
      </c>
    </row>
    <row r="53" spans="1:32" ht="13.3" thickBot="1" x14ac:dyDescent="0.4">
      <c r="A53" s="6"/>
      <c r="B53" s="6"/>
      <c r="C53" s="6"/>
      <c r="D53" s="6"/>
      <c r="E53" s="6" t="s">
        <v>64</v>
      </c>
      <c r="F53" s="7">
        <v>742.18</v>
      </c>
      <c r="G53" s="8"/>
      <c r="H53" s="7">
        <v>505.22</v>
      </c>
      <c r="I53" s="8"/>
      <c r="J53" s="7">
        <v>508.9</v>
      </c>
      <c r="K53" s="8"/>
      <c r="L53" s="7">
        <v>754.54</v>
      </c>
      <c r="M53" s="8"/>
      <c r="N53" s="7">
        <v>322.5</v>
      </c>
      <c r="O53" s="8"/>
      <c r="P53" s="7">
        <v>551.91999999999996</v>
      </c>
      <c r="Q53" s="8"/>
      <c r="R53" s="7">
        <v>672.25</v>
      </c>
      <c r="S53" s="8"/>
      <c r="T53" s="7">
        <v>961.56</v>
      </c>
      <c r="U53" s="8"/>
      <c r="V53" s="7">
        <v>718.32</v>
      </c>
      <c r="W53" s="8"/>
      <c r="X53" s="7">
        <v>1181.0999999999999</v>
      </c>
      <c r="Y53" s="8"/>
      <c r="Z53" s="7">
        <v>671.77</v>
      </c>
      <c r="AA53" s="8"/>
      <c r="AB53" s="7">
        <v>902.8</v>
      </c>
      <c r="AC53" s="8"/>
      <c r="AD53" s="7">
        <f t="shared" si="2"/>
        <v>8493.06</v>
      </c>
      <c r="AE53" s="9">
        <f t="shared" si="3"/>
        <v>1.643154138015719E-3</v>
      </c>
      <c r="AF53" s="9">
        <f t="shared" si="4"/>
        <v>2.7885024025669407E-3</v>
      </c>
    </row>
    <row r="54" spans="1:32" ht="13.3" thickBot="1" x14ac:dyDescent="0.4">
      <c r="A54" s="6"/>
      <c r="B54" s="6"/>
      <c r="C54" s="6"/>
      <c r="D54" s="6" t="s">
        <v>65</v>
      </c>
      <c r="E54" s="6"/>
      <c r="F54" s="14">
        <f>ROUND(SUM(F23:F53),5)</f>
        <v>262824.71999999997</v>
      </c>
      <c r="G54" s="8"/>
      <c r="H54" s="14">
        <f>ROUND(SUM(H23:H53),5)</f>
        <v>241857.94</v>
      </c>
      <c r="I54" s="8"/>
      <c r="J54" s="14">
        <f>ROUND(SUM(J23:J53),5)</f>
        <v>221468.91</v>
      </c>
      <c r="K54" s="8"/>
      <c r="L54" s="14">
        <f>ROUND(SUM(L23:L53),5)</f>
        <v>216209.38</v>
      </c>
      <c r="M54" s="8"/>
      <c r="N54" s="14">
        <f>ROUND(SUM(N23:N53),5)</f>
        <v>250734.47</v>
      </c>
      <c r="O54" s="8"/>
      <c r="P54" s="14">
        <f>ROUND(SUM(P23:P53),5)</f>
        <v>254302.99</v>
      </c>
      <c r="Q54" s="8"/>
      <c r="R54" s="14">
        <f>ROUND(SUM(R23:R53),5)</f>
        <v>221771.85</v>
      </c>
      <c r="S54" s="8"/>
      <c r="T54" s="14">
        <f>ROUND(SUM(T23:T53),5)</f>
        <v>222722.63</v>
      </c>
      <c r="U54" s="8"/>
      <c r="V54" s="14">
        <f>ROUND(SUM(V23:V53),5)</f>
        <v>214596.39</v>
      </c>
      <c r="W54" s="8"/>
      <c r="X54" s="14">
        <f>ROUND(SUM(X23:X53),5)</f>
        <v>260100.89</v>
      </c>
      <c r="Y54" s="8"/>
      <c r="Z54" s="14">
        <f>ROUND(SUM(Z23:Z53),5)</f>
        <v>213805.45</v>
      </c>
      <c r="AA54" s="8"/>
      <c r="AB54" s="14">
        <f>ROUND(SUM(AB23:AB53),5)</f>
        <v>247571.87</v>
      </c>
      <c r="AC54" s="8"/>
      <c r="AD54" s="14">
        <f t="shared" si="2"/>
        <v>2827967.49</v>
      </c>
      <c r="AE54" s="9">
        <f>SUM(AE24:AE53)</f>
        <v>0.54712747624147562</v>
      </c>
      <c r="AF54" s="9">
        <f>SUM(AF24:AF53)</f>
        <v>0.92849857886865295</v>
      </c>
    </row>
    <row r="55" spans="1:32" ht="13.3" thickBot="1" x14ac:dyDescent="0.4">
      <c r="A55" s="6"/>
      <c r="B55" s="6" t="s">
        <v>66</v>
      </c>
      <c r="C55" s="6"/>
      <c r="D55" s="6"/>
      <c r="E55" s="6"/>
      <c r="F55" s="14">
        <f>ROUND(F2+F22-F54,5)</f>
        <v>-41932.370000000003</v>
      </c>
      <c r="G55" s="8"/>
      <c r="H55" s="14">
        <f>ROUND(H2+H22-H54,5)</f>
        <v>18762.66</v>
      </c>
      <c r="I55" s="8"/>
      <c r="J55" s="14">
        <f>ROUND(J2+J22-J54,5)</f>
        <v>-2579.02</v>
      </c>
      <c r="K55" s="8"/>
      <c r="L55" s="14">
        <f>ROUND(L2+L22-L54,5)</f>
        <v>145725.14000000001</v>
      </c>
      <c r="M55" s="8"/>
      <c r="N55" s="14">
        <f>ROUND(N2+N22-N54,5)</f>
        <v>64716.24</v>
      </c>
      <c r="O55" s="8"/>
      <c r="P55" s="14">
        <f>ROUND(P2+P22-P54,5)</f>
        <v>-10072.86</v>
      </c>
      <c r="Q55" s="8"/>
      <c r="R55" s="14">
        <f>ROUND(R2+R22-R54,5)</f>
        <v>-22987.18</v>
      </c>
      <c r="S55" s="8"/>
      <c r="T55" s="14">
        <f>ROUND(T2+T22-T54,5)</f>
        <v>48414.92</v>
      </c>
      <c r="U55" s="8"/>
      <c r="V55" s="14">
        <f>ROUND(V2+V22-V54,5)</f>
        <v>-10001.86</v>
      </c>
      <c r="W55" s="8"/>
      <c r="X55" s="14">
        <f>ROUND(X2+X22-X54,5)</f>
        <v>-32862.46</v>
      </c>
      <c r="Y55" s="8"/>
      <c r="Z55" s="14">
        <f>ROUND(Z2+Z22-Z54,5)</f>
        <v>25478.17</v>
      </c>
      <c r="AA55" s="8"/>
      <c r="AB55" s="14">
        <f>ROUND(AB2+AB22-AB54,5)</f>
        <v>35113.53</v>
      </c>
      <c r="AC55" s="8"/>
      <c r="AD55" s="14">
        <f t="shared" si="2"/>
        <v>217774.91</v>
      </c>
      <c r="AE55" s="9">
        <f>AD55/AD13</f>
        <v>4.2132958500528762E-2</v>
      </c>
      <c r="AF55" s="9">
        <f>AD55/AD22</f>
        <v>7.1501421131347165E-2</v>
      </c>
    </row>
    <row r="56" spans="1:32" s="17" customFormat="1" ht="13.3" thickBot="1" x14ac:dyDescent="0.4">
      <c r="A56" s="6" t="s">
        <v>67</v>
      </c>
      <c r="B56" s="6"/>
      <c r="C56" s="6"/>
      <c r="D56" s="6"/>
      <c r="E56" s="6"/>
      <c r="F56" s="15">
        <f>F55</f>
        <v>-41932.370000000003</v>
      </c>
      <c r="G56" s="6"/>
      <c r="H56" s="15">
        <f>H55</f>
        <v>18762.66</v>
      </c>
      <c r="I56" s="6"/>
      <c r="J56" s="15">
        <f>J55</f>
        <v>-2579.02</v>
      </c>
      <c r="K56" s="6"/>
      <c r="L56" s="15">
        <f>L55</f>
        <v>145725.14000000001</v>
      </c>
      <c r="M56" s="6"/>
      <c r="N56" s="15">
        <f>N55</f>
        <v>64716.24</v>
      </c>
      <c r="O56" s="6"/>
      <c r="P56" s="15">
        <f>P55</f>
        <v>-10072.86</v>
      </c>
      <c r="Q56" s="6"/>
      <c r="R56" s="15">
        <f>R55</f>
        <v>-22987.18</v>
      </c>
      <c r="S56" s="6"/>
      <c r="T56" s="15">
        <f>T55</f>
        <v>48414.92</v>
      </c>
      <c r="U56" s="6"/>
      <c r="V56" s="15">
        <f>V55</f>
        <v>-10001.86</v>
      </c>
      <c r="W56" s="6"/>
      <c r="X56" s="15">
        <f>X55</f>
        <v>-32862.46</v>
      </c>
      <c r="Y56" s="6"/>
      <c r="Z56" s="15">
        <f>Z55</f>
        <v>25478.17</v>
      </c>
      <c r="AA56" s="6"/>
      <c r="AB56" s="15">
        <f>AB55</f>
        <v>35113.53</v>
      </c>
      <c r="AC56" s="6"/>
      <c r="AD56" s="15">
        <f t="shared" si="2"/>
        <v>217774.91</v>
      </c>
      <c r="AE56" s="16"/>
      <c r="AF56" s="16"/>
    </row>
    <row r="57" spans="1:32" ht="13.3" thickTop="1" x14ac:dyDescent="0.35"/>
  </sheetData>
  <pageMargins left="0.7" right="0.7" top="0.75" bottom="0.75" header="0.1" footer="0.3"/>
  <pageSetup orientation="portrait" r:id="rId1"/>
  <headerFooter>
    <oddHeader>&amp;L&amp;"Arial,Bold"&amp;8 12:29 PM
&amp;"Arial,Bold"&amp;8 03/12/26
&amp;"Arial,Bold"&amp;8 Accrual Basis&amp;C&amp;"Arial,Bold"&amp;12 PulseOne Group, LLC
&amp;"Arial,Bold"&amp;14 Profit &amp;&amp; Loss
&amp;"Arial,Bold"&amp;10 January through December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Hare</dc:creator>
  <cp:lastModifiedBy>Paul Freeman</cp:lastModifiedBy>
  <dcterms:created xsi:type="dcterms:W3CDTF">2026-03-12T17:29:17Z</dcterms:created>
  <dcterms:modified xsi:type="dcterms:W3CDTF">2026-03-20T00:52:00Z</dcterms:modified>
</cp:coreProperties>
</file>