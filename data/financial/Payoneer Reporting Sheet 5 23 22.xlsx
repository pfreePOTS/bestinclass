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lseone.sharepoint.com/operations/Shared Documents/Payoneer Reporting/"/>
    </mc:Choice>
  </mc:AlternateContent>
  <xr:revisionPtr revIDLastSave="0" documentId="8_{85EA5641-E846-4981-A37E-F7D1E90F8399}" xr6:coauthVersionLast="47" xr6:coauthVersionMax="47" xr10:uidLastSave="{00000000-0000-0000-0000-000000000000}"/>
  <bookViews>
    <workbookView xWindow="28680" yWindow="-120" windowWidth="29040" windowHeight="15720" firstSheet="1" activeTab="1" xr2:uid="{9300AB4E-6DC4-4016-910A-DB717E76C558}"/>
  </bookViews>
  <sheets>
    <sheet name="Payoneer " sheetId="1" r:id="rId1"/>
    <sheet name="2026" sheetId="3" r:id="rId2"/>
    <sheet name="rates by resource" sheetId="2" r:id="rId3"/>
  </sheets>
  <definedNames>
    <definedName name="_xlnm._FilterDatabase" localSheetId="0" hidden="1">'Payoneer '!$A$1:$M$18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3" l="1"/>
  <c r="H58" i="3"/>
  <c r="H57" i="3"/>
  <c r="H50" i="3"/>
  <c r="H53" i="3" s="1"/>
  <c r="H49" i="3"/>
  <c r="H45" i="3" l="1"/>
  <c r="H41" i="3"/>
  <c r="H40" i="3"/>
  <c r="H36" i="3"/>
  <c r="H33" i="3"/>
  <c r="H32" i="3"/>
  <c r="L28" i="3"/>
  <c r="H25" i="3"/>
  <c r="H24" i="3"/>
  <c r="H19" i="3"/>
  <c r="H17" i="3"/>
  <c r="H21" i="3" s="1"/>
  <c r="H12" i="3"/>
  <c r="H10" i="3"/>
  <c r="H5" i="3"/>
  <c r="H3" i="3"/>
  <c r="H487" i="1"/>
  <c r="H490" i="1"/>
  <c r="H482" i="1"/>
  <c r="H480" i="1"/>
  <c r="H475" i="1"/>
  <c r="H474" i="1"/>
  <c r="H469" i="1"/>
  <c r="H467" i="1"/>
  <c r="H462" i="1"/>
  <c r="H460" i="1"/>
  <c r="H464" i="1" s="1"/>
  <c r="H454" i="1"/>
  <c r="H457" i="1" s="1"/>
  <c r="H455" i="1"/>
  <c r="H449" i="1"/>
  <c r="H447" i="1"/>
  <c r="H442" i="1"/>
  <c r="H440" i="1"/>
  <c r="H435" i="1"/>
  <c r="H434" i="1"/>
  <c r="H437" i="1" s="1"/>
  <c r="H7" i="3" l="1"/>
  <c r="H14" i="3"/>
  <c r="H28" i="3"/>
  <c r="H484" i="1"/>
  <c r="H477" i="1"/>
  <c r="H492" i="1"/>
  <c r="H444" i="1"/>
  <c r="H471" i="1"/>
  <c r="H451" i="1"/>
  <c r="H429" i="1"/>
  <c r="H427" i="1"/>
  <c r="H423" i="1"/>
  <c r="H421" i="1"/>
  <c r="H417" i="1"/>
  <c r="H416" i="1"/>
  <c r="H412" i="1"/>
  <c r="H410" i="1"/>
  <c r="H413" i="1" s="1"/>
  <c r="H406" i="1"/>
  <c r="H404" i="1"/>
  <c r="H400" i="1"/>
  <c r="H399" i="1"/>
  <c r="H394" i="1"/>
  <c r="H395" i="1"/>
  <c r="H389" i="1"/>
  <c r="H388" i="1"/>
  <c r="H383" i="1"/>
  <c r="H384" i="1"/>
  <c r="H379" i="1"/>
  <c r="H378" i="1"/>
  <c r="H374" i="1"/>
  <c r="H373" i="1"/>
  <c r="H367" i="1"/>
  <c r="H366" i="1"/>
  <c r="H363" i="1"/>
  <c r="H362" i="1"/>
  <c r="H361" i="1"/>
  <c r="H360" i="1"/>
  <c r="H358" i="1"/>
  <c r="H356" i="1"/>
  <c r="H355" i="1"/>
  <c r="H354" i="1"/>
  <c r="H431" i="1" l="1"/>
  <c r="H407" i="1"/>
  <c r="H375" i="1"/>
  <c r="H380" i="1"/>
  <c r="H418" i="1"/>
  <c r="H424" i="1"/>
  <c r="H385" i="1"/>
  <c r="H391" i="1"/>
  <c r="H396" i="1"/>
  <c r="H402" i="1"/>
  <c r="H359" i="1"/>
  <c r="H368" i="1"/>
  <c r="H352" i="1"/>
  <c r="H351" i="1"/>
  <c r="H350" i="1"/>
  <c r="H349" i="1"/>
  <c r="H347" i="1"/>
  <c r="H345" i="1"/>
  <c r="H344" i="1"/>
  <c r="H343" i="1"/>
  <c r="H341" i="1"/>
  <c r="H340" i="1"/>
  <c r="H339" i="1"/>
  <c r="H338" i="1"/>
  <c r="H335" i="1"/>
  <c r="H333" i="1"/>
  <c r="H332" i="1"/>
  <c r="H331" i="1"/>
  <c r="H329" i="1"/>
  <c r="H328" i="1"/>
  <c r="H327" i="1"/>
  <c r="H326" i="1"/>
  <c r="H324" i="1"/>
  <c r="H323" i="1"/>
  <c r="H322" i="1"/>
  <c r="H321" i="1"/>
  <c r="H353" i="1" l="1"/>
  <c r="H325" i="1"/>
  <c r="H336" i="1"/>
  <c r="H348" i="1"/>
  <c r="H330" i="1"/>
  <c r="H319" i="1"/>
  <c r="H318" i="1"/>
  <c r="H317" i="1"/>
  <c r="H316" i="1"/>
  <c r="H314" i="1"/>
  <c r="H312" i="1"/>
  <c r="H311" i="1"/>
  <c r="H310" i="1"/>
  <c r="H308" i="1"/>
  <c r="H307" i="1"/>
  <c r="H306" i="1"/>
  <c r="H305" i="1"/>
  <c r="H303" i="1"/>
  <c r="H301" i="1"/>
  <c r="H300" i="1"/>
  <c r="H299" i="1"/>
  <c r="H297" i="1"/>
  <c r="H296" i="1"/>
  <c r="H295" i="1"/>
  <c r="H294" i="1"/>
  <c r="H292" i="1"/>
  <c r="H290" i="1"/>
  <c r="H289" i="1"/>
  <c r="N288" i="1"/>
  <c r="M288" i="1"/>
  <c r="H288" i="1"/>
  <c r="H286" i="1"/>
  <c r="H285" i="1"/>
  <c r="H284" i="1"/>
  <c r="H283" i="1"/>
  <c r="H278" i="1"/>
  <c r="H279" i="1"/>
  <c r="H281" i="1"/>
  <c r="H277" i="1"/>
  <c r="N277" i="1"/>
  <c r="M277" i="1"/>
  <c r="H275" i="1"/>
  <c r="H274" i="1"/>
  <c r="H273" i="1"/>
  <c r="H272" i="1"/>
  <c r="H293" i="1" l="1"/>
  <c r="H276" i="1"/>
  <c r="H298" i="1"/>
  <c r="H287" i="1"/>
  <c r="H304" i="1"/>
  <c r="H309" i="1"/>
  <c r="H315" i="1"/>
  <c r="H282" i="1"/>
  <c r="H267" i="1"/>
  <c r="H270" i="1"/>
  <c r="H268" i="1"/>
  <c r="N266" i="1"/>
  <c r="M266" i="1"/>
  <c r="H266" i="1"/>
  <c r="H264" i="1"/>
  <c r="H263" i="1"/>
  <c r="H262" i="1"/>
  <c r="H261" i="1"/>
  <c r="H260" i="1"/>
  <c r="H265" i="1" l="1"/>
  <c r="H271" i="1"/>
  <c r="H258" i="1"/>
  <c r="H256" i="1"/>
  <c r="N254" i="1"/>
  <c r="M254" i="1"/>
  <c r="H254" i="1"/>
  <c r="H259" i="1" l="1"/>
  <c r="H251" i="1"/>
  <c r="H250" i="1"/>
  <c r="H249" i="1"/>
  <c r="H248" i="1"/>
  <c r="H242" i="1"/>
  <c r="H246" i="1"/>
  <c r="H244" i="1"/>
  <c r="H243" i="1"/>
  <c r="N242" i="1"/>
  <c r="M242" i="1"/>
  <c r="H247" i="1" l="1"/>
  <c r="H253" i="1"/>
  <c r="H240" i="1"/>
  <c r="H239" i="1"/>
  <c r="H238" i="1"/>
  <c r="H237" i="1"/>
  <c r="H241" i="1" l="1"/>
  <c r="N231" i="1"/>
  <c r="M231" i="1"/>
  <c r="H235" i="1"/>
  <c r="H233" i="1"/>
  <c r="H232" i="1"/>
  <c r="H231" i="1" l="1"/>
  <c r="H236" i="1" s="1"/>
  <c r="H229" i="1"/>
  <c r="H228" i="1"/>
  <c r="H227" i="1"/>
  <c r="H226" i="1"/>
  <c r="H224" i="1"/>
  <c r="H230" i="1" l="1"/>
  <c r="H222" i="1"/>
  <c r="H221" i="1"/>
  <c r="H220" i="1"/>
  <c r="H218" i="1"/>
  <c r="M213" i="1"/>
  <c r="H225" i="1" l="1"/>
  <c r="H217" i="1"/>
  <c r="H216" i="1"/>
  <c r="H215" i="1"/>
  <c r="H212" i="1"/>
  <c r="H211" i="1"/>
  <c r="H210" i="1"/>
  <c r="H208" i="1"/>
  <c r="H207" i="1"/>
  <c r="H206" i="1"/>
  <c r="H203" i="1"/>
  <c r="H202" i="1"/>
  <c r="H201" i="1"/>
  <c r="H199" i="1"/>
  <c r="H198" i="1"/>
  <c r="H197" i="1"/>
  <c r="H194" i="1"/>
  <c r="H193" i="1"/>
  <c r="H192" i="1"/>
  <c r="H205" i="1" l="1"/>
  <c r="H200" i="1"/>
  <c r="H219" i="1"/>
  <c r="H196" i="1"/>
  <c r="H209" i="1"/>
  <c r="H214" i="1"/>
  <c r="H190" i="1"/>
  <c r="H189" i="1"/>
  <c r="H188" i="1"/>
  <c r="H185" i="1"/>
  <c r="H184" i="1"/>
  <c r="H183" i="1"/>
  <c r="H191" i="1" l="1"/>
  <c r="H187" i="1"/>
  <c r="H181" i="1"/>
  <c r="H180" i="1"/>
  <c r="H179" i="1"/>
  <c r="H182" i="1" l="1"/>
  <c r="H176" i="1"/>
  <c r="H175" i="1"/>
  <c r="H174" i="1"/>
  <c r="H172" i="1"/>
  <c r="H171" i="1"/>
  <c r="H170" i="1"/>
  <c r="H173" i="1" s="1"/>
  <c r="H178" i="1" l="1"/>
  <c r="H167" i="1"/>
  <c r="H166" i="1"/>
  <c r="H165" i="1"/>
  <c r="H163" i="1"/>
  <c r="H162" i="1"/>
  <c r="H161" i="1"/>
  <c r="H157" i="1"/>
  <c r="H156" i="1"/>
  <c r="H155" i="1"/>
  <c r="H153" i="1"/>
  <c r="H152" i="1"/>
  <c r="H151" i="1"/>
  <c r="H164" i="1" l="1"/>
  <c r="H169" i="1"/>
  <c r="H148" i="1"/>
  <c r="H147" i="1"/>
  <c r="H146" i="1"/>
  <c r="H144" i="1" l="1"/>
  <c r="H143" i="1"/>
  <c r="H142" i="1"/>
  <c r="H139" i="1"/>
  <c r="H138" i="1"/>
  <c r="H137" i="1"/>
  <c r="H135" i="1"/>
  <c r="H134" i="1"/>
  <c r="H133" i="1"/>
  <c r="H131" i="1"/>
  <c r="H130" i="1"/>
  <c r="H129" i="1"/>
  <c r="H124" i="1" l="1"/>
  <c r="H123" i="1"/>
  <c r="H122" i="1"/>
  <c r="H120" i="1"/>
  <c r="H119" i="1"/>
  <c r="H117" i="1"/>
  <c r="H121" i="1" s="1"/>
  <c r="H114" i="1" l="1"/>
  <c r="H112" i="1"/>
  <c r="H111" i="1"/>
  <c r="H107" i="1"/>
  <c r="H106" i="1"/>
  <c r="H105" i="1"/>
  <c r="H103" i="1"/>
  <c r="H102" i="1"/>
  <c r="H100" i="1"/>
  <c r="H98" i="1"/>
  <c r="H97" i="1"/>
  <c r="H96" i="1"/>
  <c r="H94" i="1"/>
  <c r="H92" i="1"/>
  <c r="H91" i="1"/>
  <c r="H89" i="1"/>
  <c r="H88" i="1"/>
  <c r="H87" i="1"/>
  <c r="H116" i="1" l="1"/>
  <c r="H83" i="1"/>
  <c r="H82" i="1"/>
  <c r="H80" i="1"/>
  <c r="H78" i="1" l="1"/>
  <c r="H77" i="1"/>
  <c r="H76" i="1"/>
  <c r="H74" i="1"/>
  <c r="H72" i="1"/>
  <c r="H73" i="1"/>
  <c r="H70" i="1"/>
  <c r="H69" i="1"/>
  <c r="H67" i="1"/>
  <c r="H65" i="1"/>
  <c r="H64" i="1"/>
  <c r="J59" i="1"/>
  <c r="H61" i="1"/>
  <c r="H60" i="1"/>
  <c r="H56" i="1"/>
  <c r="H55" i="1"/>
  <c r="H53" i="1"/>
  <c r="H52" i="1"/>
  <c r="H51" i="1"/>
  <c r="H49" i="1"/>
  <c r="H48" i="1"/>
  <c r="H46" i="1"/>
  <c r="H45" i="1"/>
  <c r="H42" i="1"/>
  <c r="H41" i="1"/>
  <c r="H38" i="1"/>
  <c r="H37" i="1"/>
  <c r="H36" i="1"/>
  <c r="H33" i="1"/>
  <c r="H32" i="1"/>
  <c r="H29" i="1"/>
  <c r="H30" i="1"/>
  <c r="H27" i="1"/>
  <c r="H26" i="1"/>
  <c r="H25" i="1"/>
  <c r="H23" i="1"/>
  <c r="H22" i="1"/>
  <c r="H20" i="1"/>
  <c r="H62" i="1" l="1"/>
  <c r="H54" i="1"/>
</calcChain>
</file>

<file path=xl/sharedStrings.xml><?xml version="1.0" encoding="utf-8"?>
<sst xmlns="http://schemas.openxmlformats.org/spreadsheetml/2006/main" count="1802" uniqueCount="125">
  <si>
    <t>Date</t>
  </si>
  <si>
    <t>Contract</t>
  </si>
  <si>
    <t>Department</t>
  </si>
  <si>
    <t>Talent</t>
  </si>
  <si>
    <t>Notes</t>
  </si>
  <si>
    <t>Month Billed to Client</t>
  </si>
  <si>
    <t>Hours</t>
  </si>
  <si>
    <t>Amount</t>
  </si>
  <si>
    <t>Rate</t>
  </si>
  <si>
    <t>Payment Type</t>
  </si>
  <si>
    <t>HD</t>
  </si>
  <si>
    <t>Service</t>
  </si>
  <si>
    <t>dareolusanjo@outlook.com</t>
  </si>
  <si>
    <t>HD Majestic Glove</t>
  </si>
  <si>
    <t>April</t>
  </si>
  <si>
    <t>ACH</t>
  </si>
  <si>
    <t xml:space="preserve">Internal </t>
  </si>
  <si>
    <t>daniyalarif3@gmail.com</t>
  </si>
  <si>
    <t xml:space="preserve">Password Boss Internal </t>
  </si>
  <si>
    <t>fixed price</t>
  </si>
  <si>
    <t>May</t>
  </si>
  <si>
    <t xml:space="preserve">HD/Dispatch </t>
  </si>
  <si>
    <t>PM/Marketing/Projects</t>
  </si>
  <si>
    <t>Santa Barbara Arts project</t>
  </si>
  <si>
    <t>Funk Zone App Dev</t>
  </si>
  <si>
    <t>June</t>
  </si>
  <si>
    <t>41 hours (@25 per)</t>
  </si>
  <si>
    <t>65 hours (@20 per)</t>
  </si>
  <si>
    <t>PM/Projects</t>
  </si>
  <si>
    <t>80 Hours (@23 per)</t>
  </si>
  <si>
    <t>paid</t>
  </si>
  <si>
    <t>July</t>
  </si>
  <si>
    <t xml:space="preserve">July 4 was a holiday </t>
  </si>
  <si>
    <t>Aug</t>
  </si>
  <si>
    <t>Ad Words for Paul/Marketing</t>
  </si>
  <si>
    <t>Marketing</t>
  </si>
  <si>
    <t>roland.s@outlook.com</t>
  </si>
  <si>
    <t>Ad Words (July and Aug)</t>
  </si>
  <si>
    <t>flat fee</t>
  </si>
  <si>
    <t>*rate is changing, client is aware and has approved</t>
  </si>
  <si>
    <t>Ad Words</t>
  </si>
  <si>
    <t>fixed fee for Aug and for Sept</t>
  </si>
  <si>
    <t>6 hours left over from last pay run for ReMax migration</t>
  </si>
  <si>
    <t>Fixed fee for Oct</t>
  </si>
  <si>
    <t>USI hours for the full design and front end development. Also includes hours for the backend development</t>
  </si>
  <si>
    <t>USI Project</t>
  </si>
  <si>
    <t xml:space="preserve">Funk Zone App wed dev </t>
  </si>
  <si>
    <t>FunkZone</t>
  </si>
  <si>
    <t xml:space="preserve">HD </t>
  </si>
  <si>
    <t>Marketing/projects</t>
  </si>
  <si>
    <t>George.Oracion@gmail.com</t>
  </si>
  <si>
    <t>George just starting on Payoneer moving over from Upwork, sent activation email to George</t>
  </si>
  <si>
    <t>December Payment</t>
  </si>
  <si>
    <t>HD/Dispatch</t>
  </si>
  <si>
    <t>5 Year Bonus</t>
  </si>
  <si>
    <t>Bonus Payment</t>
  </si>
  <si>
    <t>I mistyped the amount - Laura and I decided to give the $200 as a bonus</t>
  </si>
  <si>
    <t xml:space="preserve">January Payment </t>
  </si>
  <si>
    <t>Internal Marketing: Web Development</t>
  </si>
  <si>
    <t xml:space="preserve">George working extra hours to cover for Joel and Matt at ARC and Shabir is out for a family emergency </t>
  </si>
  <si>
    <t>Dare now working the extra 2 hours in the AM to cover our new extended hours</t>
  </si>
  <si>
    <t>Approved by Paul</t>
  </si>
  <si>
    <t>5 hours for additional time</t>
  </si>
  <si>
    <t xml:space="preserve">Marketing </t>
  </si>
  <si>
    <t>Badar's April hours</t>
  </si>
  <si>
    <t>April Payment</t>
  </si>
  <si>
    <t>Salary</t>
  </si>
  <si>
    <t>HD Additional Hours</t>
  </si>
  <si>
    <t>George</t>
  </si>
  <si>
    <t>Marketing/Paul</t>
  </si>
  <si>
    <t>Paul</t>
  </si>
  <si>
    <t xml:space="preserve">May Payment </t>
  </si>
  <si>
    <t>Ad Words/Paul</t>
  </si>
  <si>
    <t>June Payment</t>
  </si>
  <si>
    <t>July Payment</t>
  </si>
  <si>
    <t>August Payment, stop date 8/25</t>
  </si>
  <si>
    <t>Badar August Salary</t>
  </si>
  <si>
    <t>August Payment</t>
  </si>
  <si>
    <t>Badar September Salary</t>
  </si>
  <si>
    <t>September Payment</t>
  </si>
  <si>
    <t>working 1 extra hour a day until Nov 1</t>
  </si>
  <si>
    <t>Badar October Salary</t>
  </si>
  <si>
    <t>October Payment</t>
  </si>
  <si>
    <t>AMEX</t>
  </si>
  <si>
    <t>worked 2 extra hours</t>
  </si>
  <si>
    <t>Badar November Salary</t>
  </si>
  <si>
    <t>November Payment</t>
  </si>
  <si>
    <t>January Payment</t>
  </si>
  <si>
    <t>February Payment</t>
  </si>
  <si>
    <t>$5 RAISE</t>
  </si>
  <si>
    <t>Amiri Onsite</t>
  </si>
  <si>
    <t>peal_95@yahoo.it</t>
  </si>
  <si>
    <t>will be 80 going forward</t>
  </si>
  <si>
    <t>March Payment</t>
  </si>
  <si>
    <t>increase to $18/hr 4/15</t>
  </si>
  <si>
    <t>40 hrs at $16, 40hrs at $18</t>
  </si>
  <si>
    <t>Badar Salary</t>
  </si>
  <si>
    <t>May Payment</t>
  </si>
  <si>
    <t>overpaid 1300 on 5/31</t>
  </si>
  <si>
    <t>Marketing AI Project</t>
  </si>
  <si>
    <t>reduced by  $1300</t>
  </si>
  <si>
    <t>houssain.hamidoun@gmail.com</t>
  </si>
  <si>
    <t xml:space="preserve">hourly </t>
  </si>
  <si>
    <t>onsite at amiri</t>
  </si>
  <si>
    <t>20.5 hrs + 40 hrs</t>
  </si>
  <si>
    <t>out one day last pay cycle</t>
  </si>
  <si>
    <t>out 5 hours last pay cycle</t>
  </si>
  <si>
    <t>short 2 hours last pay period plus thanksgiving</t>
  </si>
  <si>
    <t>added $160 from pay raise for last cycle</t>
  </si>
  <si>
    <t>LAST PAYMENT - last week of Feb</t>
  </si>
  <si>
    <t>Marketing/ArtZone</t>
  </si>
  <si>
    <t>Web Development Expense</t>
  </si>
  <si>
    <t xml:space="preserve">HD/On-Call </t>
  </si>
  <si>
    <t>Biz Dev</t>
  </si>
  <si>
    <t>marcellorm99@gmail.com</t>
  </si>
  <si>
    <t>HD Bonus</t>
  </si>
  <si>
    <t>Server</t>
  </si>
  <si>
    <t>BizDev</t>
  </si>
  <si>
    <t>igianpaolo97@gmail.com</t>
  </si>
  <si>
    <t>Reimbursement</t>
  </si>
  <si>
    <t>Resource</t>
  </si>
  <si>
    <t>Hourly Rate</t>
  </si>
  <si>
    <t>Dare</t>
  </si>
  <si>
    <t>Daniyal</t>
  </si>
  <si>
    <t>Daniyal's Web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</si>
</sst>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4" fontId="0" fillId="0" borderId="0" xfId="0" applyNumberFormat="1"/>
    <xf numFmtId="14" fontId="0" fillId="0" borderId="0" xfId="0" applyNumberFormat="1"/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8" fontId="0" fillId="0" borderId="0" xfId="0" applyNumberFormat="1"/>
    <xf numFmtId="6" fontId="0" fillId="0" borderId="0" xfId="0" applyNumberFormat="1"/>
    <xf numFmtId="165" fontId="1" fillId="2" borderId="1" xfId="0" applyNumberFormat="1" applyFont="1" applyFill="1" applyBorder="1" applyAlignment="1">
      <alignment horizontal="center" wrapText="1"/>
    </xf>
    <xf numFmtId="165" fontId="0" fillId="0" borderId="0" xfId="0" applyNumberFormat="1"/>
    <xf numFmtId="165" fontId="0" fillId="0" borderId="0" xfId="0" applyNumberFormat="1" applyAlignment="1">
      <alignment horizontal="right"/>
    </xf>
    <xf numFmtId="3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/>
    <xf numFmtId="3" fontId="0" fillId="0" borderId="0" xfId="0" applyNumberFormat="1" applyAlignment="1">
      <alignment horizontal="right" indent="1"/>
    </xf>
    <xf numFmtId="165" fontId="0" fillId="0" borderId="0" xfId="0" applyNumberFormat="1" applyAlignment="1">
      <alignment wrapText="1"/>
    </xf>
    <xf numFmtId="14" fontId="0" fillId="0" borderId="2" xfId="0" applyNumberFormat="1" applyBorder="1"/>
    <xf numFmtId="0" fontId="0" fillId="0" borderId="3" xfId="0" applyBorder="1" applyAlignment="1">
      <alignment wrapText="1"/>
    </xf>
    <xf numFmtId="0" fontId="0" fillId="0" borderId="3" xfId="0" applyBorder="1"/>
    <xf numFmtId="0" fontId="2" fillId="0" borderId="3" xfId="1" applyBorder="1"/>
    <xf numFmtId="165" fontId="0" fillId="0" borderId="3" xfId="0" applyNumberFormat="1" applyBorder="1"/>
    <xf numFmtId="3" fontId="0" fillId="0" borderId="3" xfId="0" applyNumberFormat="1" applyBorder="1"/>
    <xf numFmtId="0" fontId="0" fillId="0" borderId="4" xfId="0" applyBorder="1" applyAlignment="1">
      <alignment wrapText="1"/>
    </xf>
    <xf numFmtId="14" fontId="0" fillId="0" borderId="5" xfId="0" applyNumberFormat="1" applyBorder="1"/>
    <xf numFmtId="0" fontId="0" fillId="0" borderId="6" xfId="0" applyBorder="1" applyAlignment="1">
      <alignment wrapText="1"/>
    </xf>
    <xf numFmtId="0" fontId="2" fillId="0" borderId="0" xfId="1" applyBorder="1"/>
    <xf numFmtId="14" fontId="0" fillId="0" borderId="7" xfId="0" applyNumberFormat="1" applyBorder="1"/>
    <xf numFmtId="0" fontId="0" fillId="0" borderId="1" xfId="0" applyBorder="1" applyAlignment="1">
      <alignment wrapText="1"/>
    </xf>
    <xf numFmtId="0" fontId="0" fillId="0" borderId="1" xfId="0" applyBorder="1"/>
    <xf numFmtId="165" fontId="0" fillId="0" borderId="1" xfId="0" applyNumberFormat="1" applyBorder="1"/>
    <xf numFmtId="3" fontId="0" fillId="0" borderId="1" xfId="0" applyNumberFormat="1" applyBorder="1"/>
    <xf numFmtId="0" fontId="0" fillId="0" borderId="8" xfId="0" applyBorder="1" applyAlignment="1">
      <alignment wrapText="1"/>
    </xf>
    <xf numFmtId="6" fontId="0" fillId="0" borderId="1" xfId="0" applyNumberFormat="1" applyBorder="1"/>
    <xf numFmtId="165" fontId="1" fillId="0" borderId="0" xfId="0" applyNumberFormat="1" applyFont="1"/>
    <xf numFmtId="0" fontId="2" fillId="0" borderId="1" xfId="1" applyFill="1" applyBorder="1"/>
    <xf numFmtId="14" fontId="0" fillId="0" borderId="9" xfId="0" applyNumberFormat="1" applyBorder="1"/>
    <xf numFmtId="0" fontId="2" fillId="0" borderId="1" xfId="1" applyBorder="1"/>
    <xf numFmtId="0" fontId="2" fillId="0" borderId="0" xfId="1" applyFill="1" applyBorder="1"/>
    <xf numFmtId="0" fontId="0" fillId="3" borderId="4" xfId="0" applyFill="1" applyBorder="1" applyAlignment="1">
      <alignment wrapText="1"/>
    </xf>
    <xf numFmtId="164" fontId="0" fillId="0" borderId="3" xfId="0" applyNumberFormat="1" applyBorder="1"/>
    <xf numFmtId="164" fontId="0" fillId="0" borderId="1" xfId="0" applyNumberFormat="1" applyBorder="1"/>
    <xf numFmtId="44" fontId="0" fillId="0" borderId="3" xfId="2" applyFont="1" applyBorder="1"/>
    <xf numFmtId="44" fontId="0" fillId="0" borderId="1" xfId="2" applyFont="1" applyBorder="1"/>
    <xf numFmtId="44" fontId="0" fillId="0" borderId="0" xfId="2" applyFont="1" applyBorder="1"/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14" fontId="0" fillId="0" borderId="10" xfId="0" applyNumberFormat="1" applyBorder="1"/>
    <xf numFmtId="0" fontId="0" fillId="0" borderId="10" xfId="0" applyBorder="1" applyAlignment="1">
      <alignment wrapText="1"/>
    </xf>
    <xf numFmtId="0" fontId="0" fillId="0" borderId="10" xfId="0" applyBorder="1"/>
    <xf numFmtId="0" fontId="2" fillId="0" borderId="10" xfId="1" applyBorder="1"/>
    <xf numFmtId="164" fontId="0" fillId="0" borderId="10" xfId="0" applyNumberFormat="1" applyBorder="1"/>
    <xf numFmtId="165" fontId="0" fillId="0" borderId="10" xfId="0" applyNumberFormat="1" applyBorder="1"/>
    <xf numFmtId="3" fontId="0" fillId="0" borderId="10" xfId="0" applyNumberFormat="1" applyBorder="1"/>
    <xf numFmtId="44" fontId="0" fillId="0" borderId="10" xfId="2" applyFont="1" applyBorder="1"/>
    <xf numFmtId="164" fontId="1" fillId="0" borderId="0" xfId="0" applyNumberFormat="1" applyFont="1"/>
    <xf numFmtId="14" fontId="0" fillId="0" borderId="11" xfId="0" applyNumberFormat="1" applyBorder="1"/>
    <xf numFmtId="14" fontId="0" fillId="0" borderId="12" xfId="0" applyNumberFormat="1" applyBorder="1"/>
    <xf numFmtId="6" fontId="0" fillId="0" borderId="10" xfId="0" applyNumberFormat="1" applyBorder="1"/>
    <xf numFmtId="164" fontId="0" fillId="4" borderId="10" xfId="0" applyNumberFormat="1" applyFill="1" applyBorder="1"/>
    <xf numFmtId="8" fontId="0" fillId="0" borderId="0" xfId="0" applyNumberFormat="1" applyAlignment="1">
      <alignment wrapText="1"/>
    </xf>
    <xf numFmtId="6" fontId="0" fillId="0" borderId="0" xfId="0" applyNumberFormat="1" applyAlignment="1">
      <alignment wrapText="1"/>
    </xf>
    <xf numFmtId="6" fontId="1" fillId="0" borderId="0" xfId="0" applyNumberFormat="1" applyFont="1" applyAlignment="1">
      <alignment wrapText="1"/>
    </xf>
    <xf numFmtId="6" fontId="0" fillId="4" borderId="10" xfId="0" applyNumberFormat="1" applyFill="1" applyBorder="1"/>
    <xf numFmtId="0" fontId="1" fillId="0" borderId="10" xfId="0" applyFont="1" applyBorder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peal_95@yahoo.it" TargetMode="External"/><Relationship Id="rId21" Type="http://schemas.openxmlformats.org/officeDocument/2006/relationships/hyperlink" Target="mailto:George.Oracion@gmail.com" TargetMode="External"/><Relationship Id="rId42" Type="http://schemas.openxmlformats.org/officeDocument/2006/relationships/hyperlink" Target="mailto:daniyalarif3@gmail.com" TargetMode="External"/><Relationship Id="rId63" Type="http://schemas.openxmlformats.org/officeDocument/2006/relationships/hyperlink" Target="mailto:daniyalarif3@gmail.com" TargetMode="External"/><Relationship Id="rId84" Type="http://schemas.openxmlformats.org/officeDocument/2006/relationships/hyperlink" Target="mailto:George.Oracion@gmail.com" TargetMode="External"/><Relationship Id="rId138" Type="http://schemas.openxmlformats.org/officeDocument/2006/relationships/hyperlink" Target="mailto:peal_95@yahoo.it" TargetMode="External"/><Relationship Id="rId159" Type="http://schemas.openxmlformats.org/officeDocument/2006/relationships/hyperlink" Target="mailto:George.Oracion@gmail.com" TargetMode="External"/><Relationship Id="rId170" Type="http://schemas.openxmlformats.org/officeDocument/2006/relationships/hyperlink" Target="mailto:daniyalarif3@gmail.com" TargetMode="External"/><Relationship Id="rId191" Type="http://schemas.openxmlformats.org/officeDocument/2006/relationships/hyperlink" Target="mailto:George.Oracion@gmail.com" TargetMode="External"/><Relationship Id="rId205" Type="http://schemas.openxmlformats.org/officeDocument/2006/relationships/hyperlink" Target="mailto:George.Oracion@gmail.com" TargetMode="External"/><Relationship Id="rId226" Type="http://schemas.openxmlformats.org/officeDocument/2006/relationships/hyperlink" Target="mailto:marcellorm99@gmail.com" TargetMode="External"/><Relationship Id="rId107" Type="http://schemas.openxmlformats.org/officeDocument/2006/relationships/hyperlink" Target="mailto:George.Oracion@gmail.com" TargetMode="External"/><Relationship Id="rId11" Type="http://schemas.openxmlformats.org/officeDocument/2006/relationships/hyperlink" Target="mailto:dareolusanjo@outlook.com" TargetMode="External"/><Relationship Id="rId32" Type="http://schemas.openxmlformats.org/officeDocument/2006/relationships/hyperlink" Target="mailto:daniyalarif3@gmail.com" TargetMode="External"/><Relationship Id="rId53" Type="http://schemas.openxmlformats.org/officeDocument/2006/relationships/hyperlink" Target="mailto:daniyalarif3@gmail.com" TargetMode="External"/><Relationship Id="rId74" Type="http://schemas.openxmlformats.org/officeDocument/2006/relationships/hyperlink" Target="mailto:George.Oracion@gmail.com" TargetMode="External"/><Relationship Id="rId128" Type="http://schemas.openxmlformats.org/officeDocument/2006/relationships/hyperlink" Target="mailto:George.Oracion@gmail.com" TargetMode="External"/><Relationship Id="rId149" Type="http://schemas.openxmlformats.org/officeDocument/2006/relationships/hyperlink" Target="mailto:daniyalarif3@gmail.com" TargetMode="External"/><Relationship Id="rId5" Type="http://schemas.openxmlformats.org/officeDocument/2006/relationships/hyperlink" Target="mailto:daniyalarif3@gmail.com" TargetMode="External"/><Relationship Id="rId95" Type="http://schemas.openxmlformats.org/officeDocument/2006/relationships/hyperlink" Target="mailto:George.Oracion@gmail.com" TargetMode="External"/><Relationship Id="rId160" Type="http://schemas.openxmlformats.org/officeDocument/2006/relationships/hyperlink" Target="mailto:daniyalarif3@gmail.com" TargetMode="External"/><Relationship Id="rId181" Type="http://schemas.openxmlformats.org/officeDocument/2006/relationships/hyperlink" Target="mailto:daniyalarif3@gmail.com" TargetMode="External"/><Relationship Id="rId216" Type="http://schemas.openxmlformats.org/officeDocument/2006/relationships/hyperlink" Target="mailto:George.Oracion@gmail.com" TargetMode="External"/><Relationship Id="rId22" Type="http://schemas.openxmlformats.org/officeDocument/2006/relationships/hyperlink" Target="mailto:George.Oracion@gmail.com" TargetMode="External"/><Relationship Id="rId43" Type="http://schemas.openxmlformats.org/officeDocument/2006/relationships/hyperlink" Target="mailto:daniyalarif3@gmail.com" TargetMode="External"/><Relationship Id="rId64" Type="http://schemas.openxmlformats.org/officeDocument/2006/relationships/hyperlink" Target="mailto:George.Oracion@gmail.com" TargetMode="External"/><Relationship Id="rId118" Type="http://schemas.openxmlformats.org/officeDocument/2006/relationships/hyperlink" Target="mailto:George.Oracion@gmail.com" TargetMode="External"/><Relationship Id="rId139" Type="http://schemas.openxmlformats.org/officeDocument/2006/relationships/hyperlink" Target="mailto:George.Oracion@gmail.com" TargetMode="External"/><Relationship Id="rId85" Type="http://schemas.openxmlformats.org/officeDocument/2006/relationships/hyperlink" Target="mailto:daniyalarif3@gmail.com" TargetMode="External"/><Relationship Id="rId150" Type="http://schemas.openxmlformats.org/officeDocument/2006/relationships/hyperlink" Target="mailto:peal_95@yahoo.it" TargetMode="External"/><Relationship Id="rId171" Type="http://schemas.openxmlformats.org/officeDocument/2006/relationships/hyperlink" Target="mailto:George.Oracion@gmail.com" TargetMode="External"/><Relationship Id="rId192" Type="http://schemas.openxmlformats.org/officeDocument/2006/relationships/hyperlink" Target="mailto:daniyalarif3@gmail.com" TargetMode="External"/><Relationship Id="rId206" Type="http://schemas.openxmlformats.org/officeDocument/2006/relationships/hyperlink" Target="mailto:daniyalarif3@gmail.com" TargetMode="External"/><Relationship Id="rId227" Type="http://schemas.openxmlformats.org/officeDocument/2006/relationships/hyperlink" Target="mailto:dareolusanjo@outlook.com" TargetMode="External"/><Relationship Id="rId12" Type="http://schemas.openxmlformats.org/officeDocument/2006/relationships/hyperlink" Target="mailto:George.Oracion@gmail.com" TargetMode="External"/><Relationship Id="rId33" Type="http://schemas.openxmlformats.org/officeDocument/2006/relationships/hyperlink" Target="mailto:George.Oracion@gmail.com" TargetMode="External"/><Relationship Id="rId108" Type="http://schemas.openxmlformats.org/officeDocument/2006/relationships/hyperlink" Target="mailto:daniyalarif3@gmail.com" TargetMode="External"/><Relationship Id="rId129" Type="http://schemas.openxmlformats.org/officeDocument/2006/relationships/hyperlink" Target="mailto:daniyalarif3@gmail.com" TargetMode="External"/><Relationship Id="rId54" Type="http://schemas.openxmlformats.org/officeDocument/2006/relationships/hyperlink" Target="mailto:George.Oracion@gmail.com" TargetMode="External"/><Relationship Id="rId75" Type="http://schemas.openxmlformats.org/officeDocument/2006/relationships/hyperlink" Target="mailto:daniyalarif3@gmail.com" TargetMode="External"/><Relationship Id="rId96" Type="http://schemas.openxmlformats.org/officeDocument/2006/relationships/hyperlink" Target="mailto:daniyalarif3@gmail.com" TargetMode="External"/><Relationship Id="rId140" Type="http://schemas.openxmlformats.org/officeDocument/2006/relationships/hyperlink" Target="mailto:daniyalarif3@gmail.com" TargetMode="External"/><Relationship Id="rId161" Type="http://schemas.openxmlformats.org/officeDocument/2006/relationships/hyperlink" Target="mailto:peal_95@yahoo.it" TargetMode="External"/><Relationship Id="rId182" Type="http://schemas.openxmlformats.org/officeDocument/2006/relationships/hyperlink" Target="mailto:George.Oracion@gmail.com" TargetMode="External"/><Relationship Id="rId217" Type="http://schemas.openxmlformats.org/officeDocument/2006/relationships/hyperlink" Target="mailto:daniyalarif3@gmail.com" TargetMode="External"/><Relationship Id="rId6" Type="http://schemas.openxmlformats.org/officeDocument/2006/relationships/hyperlink" Target="mailto:George.Oracion@gmail.com" TargetMode="External"/><Relationship Id="rId23" Type="http://schemas.openxmlformats.org/officeDocument/2006/relationships/hyperlink" Target="mailto:daniyalarif3@gmail.com" TargetMode="External"/><Relationship Id="rId119" Type="http://schemas.openxmlformats.org/officeDocument/2006/relationships/hyperlink" Target="mailto:daniyalarif3@gmail.com" TargetMode="External"/><Relationship Id="rId44" Type="http://schemas.openxmlformats.org/officeDocument/2006/relationships/hyperlink" Target="mailto:George.Oracion@gmail.com" TargetMode="External"/><Relationship Id="rId65" Type="http://schemas.openxmlformats.org/officeDocument/2006/relationships/hyperlink" Target="mailto:daniyalarif3@gmail.com" TargetMode="External"/><Relationship Id="rId86" Type="http://schemas.openxmlformats.org/officeDocument/2006/relationships/hyperlink" Target="mailto:daniyalarif3@gmail.com" TargetMode="External"/><Relationship Id="rId130" Type="http://schemas.openxmlformats.org/officeDocument/2006/relationships/hyperlink" Target="mailto:daniyalarif3@gmail.com" TargetMode="External"/><Relationship Id="rId151" Type="http://schemas.openxmlformats.org/officeDocument/2006/relationships/hyperlink" Target="mailto:daniyalarif3@gmail.com" TargetMode="External"/><Relationship Id="rId172" Type="http://schemas.openxmlformats.org/officeDocument/2006/relationships/hyperlink" Target="mailto:daniyalarif3@gmail.com" TargetMode="External"/><Relationship Id="rId193" Type="http://schemas.openxmlformats.org/officeDocument/2006/relationships/hyperlink" Target="mailto:George.Oracion@gmail.com" TargetMode="External"/><Relationship Id="rId207" Type="http://schemas.openxmlformats.org/officeDocument/2006/relationships/hyperlink" Target="mailto:marcellorm99@gmail.com" TargetMode="External"/><Relationship Id="rId228" Type="http://schemas.openxmlformats.org/officeDocument/2006/relationships/hyperlink" Target="mailto:George.Oracion@gmail.com" TargetMode="External"/><Relationship Id="rId13" Type="http://schemas.openxmlformats.org/officeDocument/2006/relationships/hyperlink" Target="mailto:daniyalarif3@gmail.com" TargetMode="External"/><Relationship Id="rId109" Type="http://schemas.openxmlformats.org/officeDocument/2006/relationships/hyperlink" Target="mailto:daniyalarif3@gmail.com" TargetMode="External"/><Relationship Id="rId34" Type="http://schemas.openxmlformats.org/officeDocument/2006/relationships/hyperlink" Target="mailto:daniyalarif3@gmail.com" TargetMode="External"/><Relationship Id="rId55" Type="http://schemas.openxmlformats.org/officeDocument/2006/relationships/hyperlink" Target="mailto:daniyalarif3@gmail.com" TargetMode="External"/><Relationship Id="rId76" Type="http://schemas.openxmlformats.org/officeDocument/2006/relationships/hyperlink" Target="mailto:peal_95@yahoo.it" TargetMode="External"/><Relationship Id="rId97" Type="http://schemas.openxmlformats.org/officeDocument/2006/relationships/hyperlink" Target="mailto:peal_95@yahoo.it" TargetMode="External"/><Relationship Id="rId120" Type="http://schemas.openxmlformats.org/officeDocument/2006/relationships/hyperlink" Target="mailto:peal_95@yahoo.it" TargetMode="External"/><Relationship Id="rId141" Type="http://schemas.openxmlformats.org/officeDocument/2006/relationships/hyperlink" Target="mailto:peal_95@yahoo.it" TargetMode="External"/><Relationship Id="rId7" Type="http://schemas.openxmlformats.org/officeDocument/2006/relationships/hyperlink" Target="mailto:daniyalarif3@gmail.com" TargetMode="External"/><Relationship Id="rId162" Type="http://schemas.openxmlformats.org/officeDocument/2006/relationships/hyperlink" Target="mailto:George.Oracion@gmail.com" TargetMode="External"/><Relationship Id="rId183" Type="http://schemas.openxmlformats.org/officeDocument/2006/relationships/hyperlink" Target="mailto:daniyalarif3@gmail.com" TargetMode="External"/><Relationship Id="rId218" Type="http://schemas.openxmlformats.org/officeDocument/2006/relationships/hyperlink" Target="mailto:marcellorm99@gmail.com" TargetMode="External"/><Relationship Id="rId24" Type="http://schemas.openxmlformats.org/officeDocument/2006/relationships/hyperlink" Target="mailto:daniyalarif3@gmail.com" TargetMode="External"/><Relationship Id="rId45" Type="http://schemas.openxmlformats.org/officeDocument/2006/relationships/hyperlink" Target="mailto:daniyalarif3@gmail.com" TargetMode="External"/><Relationship Id="rId66" Type="http://schemas.openxmlformats.org/officeDocument/2006/relationships/hyperlink" Target="mailto:George.Oracion@gmail.com" TargetMode="External"/><Relationship Id="rId87" Type="http://schemas.openxmlformats.org/officeDocument/2006/relationships/hyperlink" Target="mailto:peal_95@yahoo.it" TargetMode="External"/><Relationship Id="rId110" Type="http://schemas.openxmlformats.org/officeDocument/2006/relationships/hyperlink" Target="mailto:peal_95@yahoo.it" TargetMode="External"/><Relationship Id="rId131" Type="http://schemas.openxmlformats.org/officeDocument/2006/relationships/hyperlink" Target="mailto:peal_95@yahoo.it" TargetMode="External"/><Relationship Id="rId152" Type="http://schemas.openxmlformats.org/officeDocument/2006/relationships/hyperlink" Target="mailto:George.Oracion@gmail.com" TargetMode="External"/><Relationship Id="rId173" Type="http://schemas.openxmlformats.org/officeDocument/2006/relationships/hyperlink" Target="mailto:daniyalarif3@gmail.com" TargetMode="External"/><Relationship Id="rId194" Type="http://schemas.openxmlformats.org/officeDocument/2006/relationships/hyperlink" Target="mailto:daniyalarif3@gmail.com" TargetMode="External"/><Relationship Id="rId208" Type="http://schemas.openxmlformats.org/officeDocument/2006/relationships/hyperlink" Target="mailto:dareolusanjo@outlook.com" TargetMode="External"/><Relationship Id="rId229" Type="http://schemas.openxmlformats.org/officeDocument/2006/relationships/printerSettings" Target="../printerSettings/printerSettings1.bin"/><Relationship Id="rId14" Type="http://schemas.openxmlformats.org/officeDocument/2006/relationships/hyperlink" Target="mailto:George.Oracion@gmail.com" TargetMode="External"/><Relationship Id="rId35" Type="http://schemas.openxmlformats.org/officeDocument/2006/relationships/hyperlink" Target="mailto:George.Oracion@gmail.com" TargetMode="External"/><Relationship Id="rId56" Type="http://schemas.openxmlformats.org/officeDocument/2006/relationships/hyperlink" Target="mailto:George.Oracion@gmail.com" TargetMode="External"/><Relationship Id="rId77" Type="http://schemas.openxmlformats.org/officeDocument/2006/relationships/hyperlink" Target="mailto:George.Oracion@gmail.com" TargetMode="External"/><Relationship Id="rId100" Type="http://schemas.openxmlformats.org/officeDocument/2006/relationships/hyperlink" Target="mailto:daniyalarif3@gmail.com" TargetMode="External"/><Relationship Id="rId8" Type="http://schemas.openxmlformats.org/officeDocument/2006/relationships/hyperlink" Target="mailto:George.Oracion@gmail.com" TargetMode="External"/><Relationship Id="rId98" Type="http://schemas.openxmlformats.org/officeDocument/2006/relationships/hyperlink" Target="mailto:daniyalarif3@gmail.com" TargetMode="External"/><Relationship Id="rId121" Type="http://schemas.openxmlformats.org/officeDocument/2006/relationships/hyperlink" Target="mailto:George.Oracion@gmail.com" TargetMode="External"/><Relationship Id="rId142" Type="http://schemas.openxmlformats.org/officeDocument/2006/relationships/hyperlink" Target="mailto:George.Oracion@gmail.com" TargetMode="External"/><Relationship Id="rId163" Type="http://schemas.openxmlformats.org/officeDocument/2006/relationships/hyperlink" Target="mailto:daniyalarif3@gmail.com" TargetMode="External"/><Relationship Id="rId184" Type="http://schemas.openxmlformats.org/officeDocument/2006/relationships/hyperlink" Target="mailto:George.Oracion@gmail.com" TargetMode="External"/><Relationship Id="rId219" Type="http://schemas.openxmlformats.org/officeDocument/2006/relationships/hyperlink" Target="mailto:dareolusanjo@outlook.com" TargetMode="External"/><Relationship Id="rId25" Type="http://schemas.openxmlformats.org/officeDocument/2006/relationships/hyperlink" Target="mailto:George.Oracion@gmail.com" TargetMode="External"/><Relationship Id="rId46" Type="http://schemas.openxmlformats.org/officeDocument/2006/relationships/hyperlink" Target="mailto:George.Oracion@gmail.com" TargetMode="External"/><Relationship Id="rId67" Type="http://schemas.openxmlformats.org/officeDocument/2006/relationships/hyperlink" Target="mailto:daniyalarif3@gmail.com" TargetMode="External"/><Relationship Id="rId116" Type="http://schemas.openxmlformats.org/officeDocument/2006/relationships/hyperlink" Target="mailto:daniyalarif3@gmail.com" TargetMode="External"/><Relationship Id="rId137" Type="http://schemas.openxmlformats.org/officeDocument/2006/relationships/hyperlink" Target="mailto:daniyalarif3@gmail.com" TargetMode="External"/><Relationship Id="rId158" Type="http://schemas.openxmlformats.org/officeDocument/2006/relationships/hyperlink" Target="mailto:daniyalarif3@gmail.com" TargetMode="External"/><Relationship Id="rId20" Type="http://schemas.openxmlformats.org/officeDocument/2006/relationships/hyperlink" Target="mailto:daniyalarif3@gmail.com" TargetMode="External"/><Relationship Id="rId41" Type="http://schemas.openxmlformats.org/officeDocument/2006/relationships/hyperlink" Target="mailto:George.Oracion@gmail.com" TargetMode="External"/><Relationship Id="rId62" Type="http://schemas.openxmlformats.org/officeDocument/2006/relationships/hyperlink" Target="mailto:daniyalarif3@gmail.com" TargetMode="External"/><Relationship Id="rId83" Type="http://schemas.openxmlformats.org/officeDocument/2006/relationships/hyperlink" Target="mailto:peal_95@yahoo.it" TargetMode="External"/><Relationship Id="rId88" Type="http://schemas.openxmlformats.org/officeDocument/2006/relationships/hyperlink" Target="mailto:George.Oracion@gmail.com" TargetMode="External"/><Relationship Id="rId111" Type="http://schemas.openxmlformats.org/officeDocument/2006/relationships/hyperlink" Target="mailto:George.Oracion@gmail.com" TargetMode="External"/><Relationship Id="rId132" Type="http://schemas.openxmlformats.org/officeDocument/2006/relationships/hyperlink" Target="mailto:George.Oracion@gmail.com" TargetMode="External"/><Relationship Id="rId153" Type="http://schemas.openxmlformats.org/officeDocument/2006/relationships/hyperlink" Target="mailto:daniyalarif3@gmail.com" TargetMode="External"/><Relationship Id="rId174" Type="http://schemas.openxmlformats.org/officeDocument/2006/relationships/hyperlink" Target="mailto:George.Oracion@gmail.com" TargetMode="External"/><Relationship Id="rId179" Type="http://schemas.openxmlformats.org/officeDocument/2006/relationships/hyperlink" Target="mailto:daniyalarif3@gmail.com" TargetMode="External"/><Relationship Id="rId195" Type="http://schemas.openxmlformats.org/officeDocument/2006/relationships/hyperlink" Target="mailto:marcellorm99@gmail.com" TargetMode="External"/><Relationship Id="rId209" Type="http://schemas.openxmlformats.org/officeDocument/2006/relationships/hyperlink" Target="mailto:George.Oracion@gmail.com" TargetMode="External"/><Relationship Id="rId190" Type="http://schemas.openxmlformats.org/officeDocument/2006/relationships/hyperlink" Target="mailto:daniyalarif3@gmail.com" TargetMode="External"/><Relationship Id="rId204" Type="http://schemas.openxmlformats.org/officeDocument/2006/relationships/hyperlink" Target="mailto:marcellorm99@gmail.com" TargetMode="External"/><Relationship Id="rId220" Type="http://schemas.openxmlformats.org/officeDocument/2006/relationships/hyperlink" Target="mailto:George.Oracion@gmail.com" TargetMode="External"/><Relationship Id="rId225" Type="http://schemas.openxmlformats.org/officeDocument/2006/relationships/hyperlink" Target="mailto:daniyalarif3@gmail.com" TargetMode="External"/><Relationship Id="rId15" Type="http://schemas.openxmlformats.org/officeDocument/2006/relationships/hyperlink" Target="mailto:daniyalarif3@gmail.com" TargetMode="External"/><Relationship Id="rId36" Type="http://schemas.openxmlformats.org/officeDocument/2006/relationships/hyperlink" Target="mailto:daniyalarif3@gmail.com" TargetMode="External"/><Relationship Id="rId57" Type="http://schemas.openxmlformats.org/officeDocument/2006/relationships/hyperlink" Target="mailto:daniyalarif3@gmail.com" TargetMode="External"/><Relationship Id="rId106" Type="http://schemas.openxmlformats.org/officeDocument/2006/relationships/hyperlink" Target="mailto:houssain.hamidoun@gmail.com" TargetMode="External"/><Relationship Id="rId127" Type="http://schemas.openxmlformats.org/officeDocument/2006/relationships/hyperlink" Target="mailto:peal_95@yahoo.it" TargetMode="External"/><Relationship Id="rId10" Type="http://schemas.openxmlformats.org/officeDocument/2006/relationships/hyperlink" Target="mailto:George.Oracion@gmail.com" TargetMode="External"/><Relationship Id="rId31" Type="http://schemas.openxmlformats.org/officeDocument/2006/relationships/hyperlink" Target="mailto:George.Oracion@gmail.com" TargetMode="External"/><Relationship Id="rId52" Type="http://schemas.openxmlformats.org/officeDocument/2006/relationships/hyperlink" Target="mailto:daniyalarif3@gmail.com" TargetMode="External"/><Relationship Id="rId73" Type="http://schemas.openxmlformats.org/officeDocument/2006/relationships/hyperlink" Target="mailto:daniyalarif3@gmail.com" TargetMode="External"/><Relationship Id="rId78" Type="http://schemas.openxmlformats.org/officeDocument/2006/relationships/hyperlink" Target="mailto:daniyalarif3@gmail.com" TargetMode="External"/><Relationship Id="rId94" Type="http://schemas.openxmlformats.org/officeDocument/2006/relationships/hyperlink" Target="mailto:peal_95@yahoo.it" TargetMode="External"/><Relationship Id="rId99" Type="http://schemas.openxmlformats.org/officeDocument/2006/relationships/hyperlink" Target="mailto:George.Oracion@gmail.com" TargetMode="External"/><Relationship Id="rId101" Type="http://schemas.openxmlformats.org/officeDocument/2006/relationships/hyperlink" Target="mailto:daniyalarif3@gmail.com" TargetMode="External"/><Relationship Id="rId122" Type="http://schemas.openxmlformats.org/officeDocument/2006/relationships/hyperlink" Target="mailto:daniyalarif3@gmail.com" TargetMode="External"/><Relationship Id="rId143" Type="http://schemas.openxmlformats.org/officeDocument/2006/relationships/hyperlink" Target="mailto:daniyalarif3@gmail.com" TargetMode="External"/><Relationship Id="rId148" Type="http://schemas.openxmlformats.org/officeDocument/2006/relationships/hyperlink" Target="mailto:George.Oracion@gmail.com" TargetMode="External"/><Relationship Id="rId164" Type="http://schemas.openxmlformats.org/officeDocument/2006/relationships/hyperlink" Target="mailto:peal_95@yahoo.it" TargetMode="External"/><Relationship Id="rId169" Type="http://schemas.openxmlformats.org/officeDocument/2006/relationships/hyperlink" Target="mailto:George.Oracion@gmail.com" TargetMode="External"/><Relationship Id="rId185" Type="http://schemas.openxmlformats.org/officeDocument/2006/relationships/hyperlink" Target="mailto:daniyalarif3@gmail.com" TargetMode="External"/><Relationship Id="rId4" Type="http://schemas.openxmlformats.org/officeDocument/2006/relationships/hyperlink" Target="mailto:George.Oracion@gmail.com" TargetMode="External"/><Relationship Id="rId9" Type="http://schemas.openxmlformats.org/officeDocument/2006/relationships/hyperlink" Target="mailto:daniyalarif3@gmail.com" TargetMode="External"/><Relationship Id="rId180" Type="http://schemas.openxmlformats.org/officeDocument/2006/relationships/hyperlink" Target="mailto:George.Oracion@gmail.com" TargetMode="External"/><Relationship Id="rId210" Type="http://schemas.openxmlformats.org/officeDocument/2006/relationships/hyperlink" Target="mailto:daniyalarif3@gmail.com" TargetMode="External"/><Relationship Id="rId215" Type="http://schemas.openxmlformats.org/officeDocument/2006/relationships/hyperlink" Target="mailto:dareolusanjo@outlook.com" TargetMode="External"/><Relationship Id="rId26" Type="http://schemas.openxmlformats.org/officeDocument/2006/relationships/hyperlink" Target="mailto:daniyalarif3@gmail.com" TargetMode="External"/><Relationship Id="rId47" Type="http://schemas.openxmlformats.org/officeDocument/2006/relationships/hyperlink" Target="mailto:daniyalarif3@gmail.com" TargetMode="External"/><Relationship Id="rId68" Type="http://schemas.openxmlformats.org/officeDocument/2006/relationships/hyperlink" Target="mailto:daniyalarif3@gmail.com" TargetMode="External"/><Relationship Id="rId89" Type="http://schemas.openxmlformats.org/officeDocument/2006/relationships/hyperlink" Target="mailto:daniyalarif3@gmail.com" TargetMode="External"/><Relationship Id="rId112" Type="http://schemas.openxmlformats.org/officeDocument/2006/relationships/hyperlink" Target="mailto:daniyalarif3@gmail.com" TargetMode="External"/><Relationship Id="rId133" Type="http://schemas.openxmlformats.org/officeDocument/2006/relationships/hyperlink" Target="mailto:daniyalarif3@gmail.com" TargetMode="External"/><Relationship Id="rId154" Type="http://schemas.openxmlformats.org/officeDocument/2006/relationships/hyperlink" Target="mailto:peal_95@yahoo.it" TargetMode="External"/><Relationship Id="rId175" Type="http://schemas.openxmlformats.org/officeDocument/2006/relationships/hyperlink" Target="mailto:daniyalarif3@gmail.com" TargetMode="External"/><Relationship Id="rId196" Type="http://schemas.openxmlformats.org/officeDocument/2006/relationships/hyperlink" Target="mailto:George.Oracion@gmail.com" TargetMode="External"/><Relationship Id="rId200" Type="http://schemas.openxmlformats.org/officeDocument/2006/relationships/hyperlink" Target="mailto:daniyalarif3@gmail.com" TargetMode="External"/><Relationship Id="rId16" Type="http://schemas.openxmlformats.org/officeDocument/2006/relationships/hyperlink" Target="mailto:George.Oracion@gmail.com" TargetMode="External"/><Relationship Id="rId221" Type="http://schemas.openxmlformats.org/officeDocument/2006/relationships/hyperlink" Target="mailto:daniyalarif3@gmail.com" TargetMode="External"/><Relationship Id="rId37" Type="http://schemas.openxmlformats.org/officeDocument/2006/relationships/hyperlink" Target="mailto:George.Oracion@gmail.com" TargetMode="External"/><Relationship Id="rId58" Type="http://schemas.openxmlformats.org/officeDocument/2006/relationships/hyperlink" Target="mailto:daniyalarif3@gmail.com" TargetMode="External"/><Relationship Id="rId79" Type="http://schemas.openxmlformats.org/officeDocument/2006/relationships/hyperlink" Target="mailto:daniyalarif3@gmail.com" TargetMode="External"/><Relationship Id="rId102" Type="http://schemas.openxmlformats.org/officeDocument/2006/relationships/hyperlink" Target="mailto:peal_95@yahoo.it" TargetMode="External"/><Relationship Id="rId123" Type="http://schemas.openxmlformats.org/officeDocument/2006/relationships/hyperlink" Target="mailto:daniyalarif3@gmail.com" TargetMode="External"/><Relationship Id="rId144" Type="http://schemas.openxmlformats.org/officeDocument/2006/relationships/hyperlink" Target="mailto:peal_95@yahoo.it" TargetMode="External"/><Relationship Id="rId90" Type="http://schemas.openxmlformats.org/officeDocument/2006/relationships/hyperlink" Target="mailto:peal_95@yahoo.it" TargetMode="External"/><Relationship Id="rId165" Type="http://schemas.openxmlformats.org/officeDocument/2006/relationships/hyperlink" Target="mailto:daniyalarif3@gmail.com" TargetMode="External"/><Relationship Id="rId186" Type="http://schemas.openxmlformats.org/officeDocument/2006/relationships/hyperlink" Target="mailto:daniyalarif3@gmail.com" TargetMode="External"/><Relationship Id="rId211" Type="http://schemas.openxmlformats.org/officeDocument/2006/relationships/hyperlink" Target="mailto:marcellorm99@gmail.com" TargetMode="External"/><Relationship Id="rId27" Type="http://schemas.openxmlformats.org/officeDocument/2006/relationships/hyperlink" Target="mailto:George.Oracion@gmail.com" TargetMode="External"/><Relationship Id="rId48" Type="http://schemas.openxmlformats.org/officeDocument/2006/relationships/hyperlink" Target="mailto:daniyalarif3@gmail.com" TargetMode="External"/><Relationship Id="rId69" Type="http://schemas.openxmlformats.org/officeDocument/2006/relationships/hyperlink" Target="mailto:George.Oracion@gmail.com" TargetMode="External"/><Relationship Id="rId113" Type="http://schemas.openxmlformats.org/officeDocument/2006/relationships/hyperlink" Target="mailto:peal_95@yahoo.it" TargetMode="External"/><Relationship Id="rId134" Type="http://schemas.openxmlformats.org/officeDocument/2006/relationships/hyperlink" Target="mailto:peal_95@yahoo.it" TargetMode="External"/><Relationship Id="rId80" Type="http://schemas.openxmlformats.org/officeDocument/2006/relationships/hyperlink" Target="mailto:peal_95@yahoo.it" TargetMode="External"/><Relationship Id="rId155" Type="http://schemas.openxmlformats.org/officeDocument/2006/relationships/hyperlink" Target="mailto:George.Oracion@gmail.com" TargetMode="External"/><Relationship Id="rId176" Type="http://schemas.openxmlformats.org/officeDocument/2006/relationships/hyperlink" Target="mailto:George.Oracion@gmail.com" TargetMode="External"/><Relationship Id="rId197" Type="http://schemas.openxmlformats.org/officeDocument/2006/relationships/hyperlink" Target="mailto:daniyalarif3@gmail.com" TargetMode="External"/><Relationship Id="rId201" Type="http://schemas.openxmlformats.org/officeDocument/2006/relationships/hyperlink" Target="mailto:marcellorm99@gmail.com" TargetMode="External"/><Relationship Id="rId222" Type="http://schemas.openxmlformats.org/officeDocument/2006/relationships/hyperlink" Target="mailto:marcellorm99@gmail.com" TargetMode="External"/><Relationship Id="rId17" Type="http://schemas.openxmlformats.org/officeDocument/2006/relationships/hyperlink" Target="mailto:daniyalarif3@gmail.com" TargetMode="External"/><Relationship Id="rId38" Type="http://schemas.openxmlformats.org/officeDocument/2006/relationships/hyperlink" Target="mailto:daniyalarif3@gmail.com" TargetMode="External"/><Relationship Id="rId59" Type="http://schemas.openxmlformats.org/officeDocument/2006/relationships/hyperlink" Target="mailto:George.Oracion@gmail.com" TargetMode="External"/><Relationship Id="rId103" Type="http://schemas.openxmlformats.org/officeDocument/2006/relationships/hyperlink" Target="mailto:George.Oracion@gmail.com" TargetMode="External"/><Relationship Id="rId124" Type="http://schemas.openxmlformats.org/officeDocument/2006/relationships/hyperlink" Target="mailto:peal_95@yahoo.it" TargetMode="External"/><Relationship Id="rId70" Type="http://schemas.openxmlformats.org/officeDocument/2006/relationships/hyperlink" Target="mailto:daniyalarif3@gmail.com" TargetMode="External"/><Relationship Id="rId91" Type="http://schemas.openxmlformats.org/officeDocument/2006/relationships/hyperlink" Target="mailto:George.Oracion@gmail.com" TargetMode="External"/><Relationship Id="rId145" Type="http://schemas.openxmlformats.org/officeDocument/2006/relationships/hyperlink" Target="mailto:George.Oracion@gmail.com" TargetMode="External"/><Relationship Id="rId166" Type="http://schemas.openxmlformats.org/officeDocument/2006/relationships/hyperlink" Target="mailto:George.Oracion@gmail.com" TargetMode="External"/><Relationship Id="rId187" Type="http://schemas.openxmlformats.org/officeDocument/2006/relationships/hyperlink" Target="mailto:George.Oracion@gmail.com" TargetMode="External"/><Relationship Id="rId1" Type="http://schemas.openxmlformats.org/officeDocument/2006/relationships/hyperlink" Target="mailto:dareolusanjo@outlook.com" TargetMode="External"/><Relationship Id="rId212" Type="http://schemas.openxmlformats.org/officeDocument/2006/relationships/hyperlink" Target="mailto:George.Oracion@gmail.com" TargetMode="External"/><Relationship Id="rId28" Type="http://schemas.openxmlformats.org/officeDocument/2006/relationships/hyperlink" Target="mailto:daniyalarif3@gmail.com" TargetMode="External"/><Relationship Id="rId49" Type="http://schemas.openxmlformats.org/officeDocument/2006/relationships/hyperlink" Target="mailto:George.Oracion@gmail.com" TargetMode="External"/><Relationship Id="rId114" Type="http://schemas.openxmlformats.org/officeDocument/2006/relationships/hyperlink" Target="mailto:George.Oracion@gmail.com" TargetMode="External"/><Relationship Id="rId60" Type="http://schemas.openxmlformats.org/officeDocument/2006/relationships/hyperlink" Target="mailto:daniyalarif3@gmail.com" TargetMode="External"/><Relationship Id="rId81" Type="http://schemas.openxmlformats.org/officeDocument/2006/relationships/hyperlink" Target="mailto:George.Oracion@gmail.com" TargetMode="External"/><Relationship Id="rId135" Type="http://schemas.openxmlformats.org/officeDocument/2006/relationships/hyperlink" Target="mailto:George.Oracion@gmail.com" TargetMode="External"/><Relationship Id="rId156" Type="http://schemas.openxmlformats.org/officeDocument/2006/relationships/hyperlink" Target="mailto:daniyalarif3@gmail.com" TargetMode="External"/><Relationship Id="rId177" Type="http://schemas.openxmlformats.org/officeDocument/2006/relationships/hyperlink" Target="mailto:daniyalarif3@gmail.com" TargetMode="External"/><Relationship Id="rId198" Type="http://schemas.openxmlformats.org/officeDocument/2006/relationships/hyperlink" Target="mailto:marcellorm99@gmail.com" TargetMode="External"/><Relationship Id="rId202" Type="http://schemas.openxmlformats.org/officeDocument/2006/relationships/hyperlink" Target="mailto:George.Oracion@gmail.com" TargetMode="External"/><Relationship Id="rId223" Type="http://schemas.openxmlformats.org/officeDocument/2006/relationships/hyperlink" Target="mailto:dareolusanjo@outlook.com" TargetMode="External"/><Relationship Id="rId18" Type="http://schemas.openxmlformats.org/officeDocument/2006/relationships/hyperlink" Target="mailto:daniyalarif3@gmail.com" TargetMode="External"/><Relationship Id="rId39" Type="http://schemas.openxmlformats.org/officeDocument/2006/relationships/hyperlink" Target="mailto:George.Oracion@gmail.com" TargetMode="External"/><Relationship Id="rId50" Type="http://schemas.openxmlformats.org/officeDocument/2006/relationships/hyperlink" Target="mailto:daniyalarif3@gmail.com" TargetMode="External"/><Relationship Id="rId104" Type="http://schemas.openxmlformats.org/officeDocument/2006/relationships/hyperlink" Target="mailto:daniyalarif3@gmail.com" TargetMode="External"/><Relationship Id="rId125" Type="http://schemas.openxmlformats.org/officeDocument/2006/relationships/hyperlink" Target="mailto:George.Oracion@gmail.com" TargetMode="External"/><Relationship Id="rId146" Type="http://schemas.openxmlformats.org/officeDocument/2006/relationships/hyperlink" Target="mailto:daniyalarif3@gmail.com" TargetMode="External"/><Relationship Id="rId167" Type="http://schemas.openxmlformats.org/officeDocument/2006/relationships/hyperlink" Target="mailto:daniyalarif3@gmail.com" TargetMode="External"/><Relationship Id="rId188" Type="http://schemas.openxmlformats.org/officeDocument/2006/relationships/hyperlink" Target="mailto:daniyalarif3@gmail.com" TargetMode="External"/><Relationship Id="rId71" Type="http://schemas.openxmlformats.org/officeDocument/2006/relationships/hyperlink" Target="mailto:George.Oracion@gmail.com" TargetMode="External"/><Relationship Id="rId92" Type="http://schemas.openxmlformats.org/officeDocument/2006/relationships/hyperlink" Target="mailto:daniyalarif3@gmail.com" TargetMode="External"/><Relationship Id="rId213" Type="http://schemas.openxmlformats.org/officeDocument/2006/relationships/hyperlink" Target="mailto:daniyalarif3@gmail.com" TargetMode="External"/><Relationship Id="rId2" Type="http://schemas.openxmlformats.org/officeDocument/2006/relationships/hyperlink" Target="mailto:daniyalarif3@gmail.com" TargetMode="External"/><Relationship Id="rId29" Type="http://schemas.openxmlformats.org/officeDocument/2006/relationships/hyperlink" Target="mailto:George.Oracion@gmail.com" TargetMode="External"/><Relationship Id="rId40" Type="http://schemas.openxmlformats.org/officeDocument/2006/relationships/hyperlink" Target="mailto:daniyalarif3@gmail.com" TargetMode="External"/><Relationship Id="rId115" Type="http://schemas.openxmlformats.org/officeDocument/2006/relationships/hyperlink" Target="mailto:daniyalarif3@gmail.com" TargetMode="External"/><Relationship Id="rId136" Type="http://schemas.openxmlformats.org/officeDocument/2006/relationships/hyperlink" Target="mailto:daniyalarif3@gmail.com" TargetMode="External"/><Relationship Id="rId157" Type="http://schemas.openxmlformats.org/officeDocument/2006/relationships/hyperlink" Target="mailto:peal_95@yahoo.it" TargetMode="External"/><Relationship Id="rId178" Type="http://schemas.openxmlformats.org/officeDocument/2006/relationships/hyperlink" Target="mailto:George.Oracion@gmail.com" TargetMode="External"/><Relationship Id="rId61" Type="http://schemas.openxmlformats.org/officeDocument/2006/relationships/hyperlink" Target="mailto:George.Oracion@gmail.com" TargetMode="External"/><Relationship Id="rId82" Type="http://schemas.openxmlformats.org/officeDocument/2006/relationships/hyperlink" Target="mailto:daniyalarif3@gmail.com" TargetMode="External"/><Relationship Id="rId199" Type="http://schemas.openxmlformats.org/officeDocument/2006/relationships/hyperlink" Target="mailto:George.Oracion@gmail.com" TargetMode="External"/><Relationship Id="rId203" Type="http://schemas.openxmlformats.org/officeDocument/2006/relationships/hyperlink" Target="mailto:daniyalarif3@gmail.com" TargetMode="External"/><Relationship Id="rId19" Type="http://schemas.openxmlformats.org/officeDocument/2006/relationships/hyperlink" Target="mailto:George.Oracion@gmail.com" TargetMode="External"/><Relationship Id="rId224" Type="http://schemas.openxmlformats.org/officeDocument/2006/relationships/hyperlink" Target="mailto:George.Oracion@gmail.com" TargetMode="External"/><Relationship Id="rId30" Type="http://schemas.openxmlformats.org/officeDocument/2006/relationships/hyperlink" Target="mailto:daniyalarif3@gmail.com" TargetMode="External"/><Relationship Id="rId105" Type="http://schemas.openxmlformats.org/officeDocument/2006/relationships/hyperlink" Target="mailto:peal_95@yahoo.it" TargetMode="External"/><Relationship Id="rId126" Type="http://schemas.openxmlformats.org/officeDocument/2006/relationships/hyperlink" Target="mailto:daniyalarif3@gmail.com" TargetMode="External"/><Relationship Id="rId147" Type="http://schemas.openxmlformats.org/officeDocument/2006/relationships/hyperlink" Target="mailto:peal_95@yahoo.it" TargetMode="External"/><Relationship Id="rId168" Type="http://schemas.openxmlformats.org/officeDocument/2006/relationships/hyperlink" Target="mailto:peal_95@yahoo.it" TargetMode="External"/><Relationship Id="rId51" Type="http://schemas.openxmlformats.org/officeDocument/2006/relationships/hyperlink" Target="mailto:George.Oracion@gmail.com" TargetMode="External"/><Relationship Id="rId72" Type="http://schemas.openxmlformats.org/officeDocument/2006/relationships/hyperlink" Target="mailto:daniyalarif3@gmail.com" TargetMode="External"/><Relationship Id="rId93" Type="http://schemas.openxmlformats.org/officeDocument/2006/relationships/hyperlink" Target="mailto:daniyalarif3@gmail.com" TargetMode="External"/><Relationship Id="rId189" Type="http://schemas.openxmlformats.org/officeDocument/2006/relationships/hyperlink" Target="mailto:George.Oracion@gmail.com" TargetMode="External"/><Relationship Id="rId3" Type="http://schemas.openxmlformats.org/officeDocument/2006/relationships/hyperlink" Target="mailto:George.Oracion@gmail.com" TargetMode="External"/><Relationship Id="rId214" Type="http://schemas.openxmlformats.org/officeDocument/2006/relationships/hyperlink" Target="mailto:marcellorm99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George.Oracion@gmail.com" TargetMode="External"/><Relationship Id="rId18" Type="http://schemas.openxmlformats.org/officeDocument/2006/relationships/hyperlink" Target="mailto:George.Oracion@gmail.com" TargetMode="External"/><Relationship Id="rId26" Type="http://schemas.openxmlformats.org/officeDocument/2006/relationships/hyperlink" Target="mailto:dareolusanjo@outlook.com" TargetMode="External"/><Relationship Id="rId21" Type="http://schemas.openxmlformats.org/officeDocument/2006/relationships/hyperlink" Target="mailto:dareolusanjo@outlook.com" TargetMode="External"/><Relationship Id="rId34" Type="http://schemas.openxmlformats.org/officeDocument/2006/relationships/hyperlink" Target="mailto:marcellorm99@gmail.com" TargetMode="External"/><Relationship Id="rId7" Type="http://schemas.openxmlformats.org/officeDocument/2006/relationships/hyperlink" Target="mailto:marcellorm99@gmail.com" TargetMode="External"/><Relationship Id="rId12" Type="http://schemas.openxmlformats.org/officeDocument/2006/relationships/hyperlink" Target="mailto:dareolusanjo@outlook.com" TargetMode="External"/><Relationship Id="rId17" Type="http://schemas.openxmlformats.org/officeDocument/2006/relationships/hyperlink" Target="mailto:igianpaolo97@gmail.com" TargetMode="External"/><Relationship Id="rId25" Type="http://schemas.openxmlformats.org/officeDocument/2006/relationships/hyperlink" Target="mailto:marcellorm99@gmail.com" TargetMode="External"/><Relationship Id="rId33" Type="http://schemas.openxmlformats.org/officeDocument/2006/relationships/hyperlink" Target="mailto:George.Oracion@gmail.com" TargetMode="External"/><Relationship Id="rId2" Type="http://schemas.openxmlformats.org/officeDocument/2006/relationships/hyperlink" Target="mailto:daniyalarif3@gmail.com" TargetMode="External"/><Relationship Id="rId16" Type="http://schemas.openxmlformats.org/officeDocument/2006/relationships/hyperlink" Target="mailto:dareolusanjo@outlook.com" TargetMode="External"/><Relationship Id="rId20" Type="http://schemas.openxmlformats.org/officeDocument/2006/relationships/hyperlink" Target="mailto:marcellorm99@gmail.com" TargetMode="External"/><Relationship Id="rId29" Type="http://schemas.openxmlformats.org/officeDocument/2006/relationships/hyperlink" Target="mailto:marcellorm99@gmail.com" TargetMode="External"/><Relationship Id="rId1" Type="http://schemas.openxmlformats.org/officeDocument/2006/relationships/hyperlink" Target="mailto:George.Oracion@gmail.com" TargetMode="External"/><Relationship Id="rId6" Type="http://schemas.openxmlformats.org/officeDocument/2006/relationships/hyperlink" Target="mailto:daniyalarif3@gmail.com" TargetMode="External"/><Relationship Id="rId11" Type="http://schemas.openxmlformats.org/officeDocument/2006/relationships/hyperlink" Target="mailto:marcellorm99@gmail.com" TargetMode="External"/><Relationship Id="rId24" Type="http://schemas.openxmlformats.org/officeDocument/2006/relationships/hyperlink" Target="mailto:daniyalarif3@gmail.com" TargetMode="External"/><Relationship Id="rId32" Type="http://schemas.openxmlformats.org/officeDocument/2006/relationships/hyperlink" Target="mailto:daniyalarif3@gmail.com" TargetMode="External"/><Relationship Id="rId37" Type="http://schemas.openxmlformats.org/officeDocument/2006/relationships/hyperlink" Target="mailto:daniyalarif3@gmail.com" TargetMode="External"/><Relationship Id="rId5" Type="http://schemas.openxmlformats.org/officeDocument/2006/relationships/hyperlink" Target="mailto:George.Oracion@gmail.com" TargetMode="External"/><Relationship Id="rId15" Type="http://schemas.openxmlformats.org/officeDocument/2006/relationships/hyperlink" Target="mailto:marcellorm99@gmail.com" TargetMode="External"/><Relationship Id="rId23" Type="http://schemas.openxmlformats.org/officeDocument/2006/relationships/hyperlink" Target="mailto:George.Oracion@gmail.com" TargetMode="External"/><Relationship Id="rId28" Type="http://schemas.openxmlformats.org/officeDocument/2006/relationships/hyperlink" Target="mailto:George.Oracion@gmail.com" TargetMode="External"/><Relationship Id="rId36" Type="http://schemas.openxmlformats.org/officeDocument/2006/relationships/hyperlink" Target="mailto:dareolusanjo@outlook.com" TargetMode="External"/><Relationship Id="rId10" Type="http://schemas.openxmlformats.org/officeDocument/2006/relationships/hyperlink" Target="mailto:daniyalarif3@gmail.com" TargetMode="External"/><Relationship Id="rId19" Type="http://schemas.openxmlformats.org/officeDocument/2006/relationships/hyperlink" Target="mailto:daniyalarif3@gmail.com" TargetMode="External"/><Relationship Id="rId31" Type="http://schemas.openxmlformats.org/officeDocument/2006/relationships/hyperlink" Target="mailto:dareolusanjo@outlook.com" TargetMode="External"/><Relationship Id="rId4" Type="http://schemas.openxmlformats.org/officeDocument/2006/relationships/hyperlink" Target="mailto:dareolusanjo@outlook.com" TargetMode="External"/><Relationship Id="rId9" Type="http://schemas.openxmlformats.org/officeDocument/2006/relationships/hyperlink" Target="mailto:George.Oracion@gmail.com" TargetMode="External"/><Relationship Id="rId14" Type="http://schemas.openxmlformats.org/officeDocument/2006/relationships/hyperlink" Target="mailto:daniyalarif3@gmail.com" TargetMode="External"/><Relationship Id="rId22" Type="http://schemas.openxmlformats.org/officeDocument/2006/relationships/hyperlink" Target="mailto:igianpaolo97@gmail.com" TargetMode="External"/><Relationship Id="rId27" Type="http://schemas.openxmlformats.org/officeDocument/2006/relationships/hyperlink" Target="mailto:igianpaolo97@gmail.com" TargetMode="External"/><Relationship Id="rId30" Type="http://schemas.openxmlformats.org/officeDocument/2006/relationships/hyperlink" Target="mailto:igianpaolo97@gmail.com" TargetMode="External"/><Relationship Id="rId35" Type="http://schemas.openxmlformats.org/officeDocument/2006/relationships/hyperlink" Target="mailto:igianpaolo97@gmail.com" TargetMode="External"/><Relationship Id="rId8" Type="http://schemas.openxmlformats.org/officeDocument/2006/relationships/hyperlink" Target="mailto:dareolusanjo@outlook.com" TargetMode="External"/><Relationship Id="rId3" Type="http://schemas.openxmlformats.org/officeDocument/2006/relationships/hyperlink" Target="mailto:marcellorm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88202-A6FE-4247-92D5-60CFD95A499E}">
  <dimension ref="A1:N492"/>
  <sheetViews>
    <sheetView zoomScale="93" zoomScaleNormal="90" workbookViewId="0">
      <pane ySplit="1" topLeftCell="A482" activePane="bottomLeft" state="frozen"/>
      <selection pane="bottomLeft" activeCell="A486" sqref="A486:XFD486"/>
    </sheetView>
  </sheetViews>
  <sheetFormatPr defaultRowHeight="14.45"/>
  <cols>
    <col min="1" max="1" width="13.85546875" customWidth="1"/>
    <col min="2" max="2" width="34.7109375" style="5" customWidth="1"/>
    <col min="3" max="3" width="15.28515625" customWidth="1"/>
    <col min="4" max="4" width="28.85546875" customWidth="1"/>
    <col min="5" max="5" width="20.85546875" customWidth="1"/>
    <col min="6" max="6" width="0" hidden="1" customWidth="1"/>
    <col min="7" max="7" width="19" hidden="1" customWidth="1"/>
    <col min="8" max="8" width="14.5703125" customWidth="1"/>
    <col min="9" max="9" width="9.28515625" style="10" customWidth="1"/>
    <col min="10" max="11" width="9.140625" style="13" customWidth="1"/>
    <col min="12" max="12" width="37.140625" style="5" customWidth="1"/>
  </cols>
  <sheetData>
    <row r="1" spans="1:14" s="1" customFormat="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2" t="s">
        <v>6</v>
      </c>
      <c r="K1" s="12"/>
      <c r="L1" s="1" t="s">
        <v>4</v>
      </c>
      <c r="M1" s="1" t="s">
        <v>9</v>
      </c>
    </row>
    <row r="2" spans="1:14">
      <c r="A2" s="3">
        <v>44652</v>
      </c>
      <c r="B2" s="5" t="s">
        <v>10</v>
      </c>
      <c r="C2" t="s">
        <v>11</v>
      </c>
      <c r="D2" t="s">
        <v>12</v>
      </c>
      <c r="E2" t="s">
        <v>13</v>
      </c>
      <c r="F2" t="s">
        <v>14</v>
      </c>
      <c r="G2">
        <v>90</v>
      </c>
      <c r="H2" s="2">
        <v>1818</v>
      </c>
      <c r="M2" t="s">
        <v>15</v>
      </c>
    </row>
    <row r="3" spans="1:14">
      <c r="A3" s="3">
        <v>44659</v>
      </c>
      <c r="B3" s="5" t="s">
        <v>10</v>
      </c>
      <c r="C3" t="s">
        <v>11</v>
      </c>
      <c r="D3" t="s">
        <v>12</v>
      </c>
      <c r="E3" t="s">
        <v>13</v>
      </c>
      <c r="F3" t="s">
        <v>14</v>
      </c>
      <c r="G3">
        <v>62</v>
      </c>
      <c r="H3" s="2">
        <v>1252.4000000000001</v>
      </c>
      <c r="M3" t="s">
        <v>15</v>
      </c>
    </row>
    <row r="4" spans="1:14">
      <c r="A4" s="3">
        <v>44678</v>
      </c>
      <c r="B4" s="5" t="s">
        <v>10</v>
      </c>
      <c r="C4" t="s">
        <v>11</v>
      </c>
      <c r="D4" t="s">
        <v>12</v>
      </c>
      <c r="E4" t="s">
        <v>13</v>
      </c>
      <c r="F4" t="s">
        <v>14</v>
      </c>
      <c r="G4">
        <v>73</v>
      </c>
      <c r="H4" s="2">
        <v>1474.6</v>
      </c>
      <c r="M4" t="s">
        <v>15</v>
      </c>
    </row>
    <row r="5" spans="1:14">
      <c r="A5" s="3">
        <v>44680</v>
      </c>
      <c r="B5" s="5" t="s">
        <v>16</v>
      </c>
      <c r="C5" t="s">
        <v>11</v>
      </c>
      <c r="D5" t="s">
        <v>17</v>
      </c>
      <c r="E5" t="s">
        <v>18</v>
      </c>
      <c r="F5" t="s">
        <v>14</v>
      </c>
      <c r="G5" t="s">
        <v>19</v>
      </c>
      <c r="H5" s="2">
        <v>2525</v>
      </c>
      <c r="M5" t="s">
        <v>15</v>
      </c>
    </row>
    <row r="6" spans="1:14">
      <c r="A6" s="3">
        <v>44697</v>
      </c>
      <c r="B6" s="5" t="s">
        <v>10</v>
      </c>
      <c r="C6" t="s">
        <v>11</v>
      </c>
      <c r="D6" t="s">
        <v>12</v>
      </c>
      <c r="E6" t="s">
        <v>13</v>
      </c>
      <c r="F6" t="s">
        <v>20</v>
      </c>
      <c r="G6">
        <v>62</v>
      </c>
      <c r="H6" s="2">
        <v>1272.5999999999999</v>
      </c>
      <c r="M6" t="s">
        <v>15</v>
      </c>
    </row>
    <row r="7" spans="1:14">
      <c r="A7" s="3">
        <v>44701</v>
      </c>
      <c r="B7" s="5" t="s">
        <v>10</v>
      </c>
      <c r="C7" t="s">
        <v>11</v>
      </c>
      <c r="D7" s="4" t="s">
        <v>12</v>
      </c>
      <c r="E7" t="s">
        <v>13</v>
      </c>
      <c r="F7" t="s">
        <v>20</v>
      </c>
      <c r="G7">
        <v>62</v>
      </c>
      <c r="H7" s="2">
        <v>252.4</v>
      </c>
      <c r="M7" t="s">
        <v>15</v>
      </c>
    </row>
    <row r="8" spans="1:14">
      <c r="A8" s="3">
        <v>44715</v>
      </c>
      <c r="B8" s="5" t="s">
        <v>21</v>
      </c>
      <c r="C8" t="s">
        <v>11</v>
      </c>
      <c r="D8" t="s">
        <v>12</v>
      </c>
      <c r="E8" t="s">
        <v>13</v>
      </c>
      <c r="F8" t="s">
        <v>20</v>
      </c>
    </row>
    <row r="9" spans="1:14">
      <c r="A9" s="3">
        <v>44715</v>
      </c>
      <c r="B9" s="5" t="s">
        <v>22</v>
      </c>
      <c r="C9" t="s">
        <v>11</v>
      </c>
      <c r="D9" t="s">
        <v>17</v>
      </c>
    </row>
    <row r="11" spans="1:14">
      <c r="A11" s="3">
        <v>44729</v>
      </c>
      <c r="B11" s="5" t="s">
        <v>23</v>
      </c>
      <c r="C11" t="s">
        <v>11</v>
      </c>
      <c r="D11" t="s">
        <v>17</v>
      </c>
      <c r="E11" t="s">
        <v>24</v>
      </c>
      <c r="F11" t="s">
        <v>25</v>
      </c>
      <c r="G11" t="s">
        <v>26</v>
      </c>
      <c r="H11" s="7">
        <v>1025</v>
      </c>
      <c r="M11" t="s">
        <v>15</v>
      </c>
    </row>
    <row r="12" spans="1:14">
      <c r="A12" s="3">
        <v>44729</v>
      </c>
      <c r="B12" s="5" t="s">
        <v>21</v>
      </c>
      <c r="C12" t="s">
        <v>11</v>
      </c>
      <c r="D12" t="s">
        <v>12</v>
      </c>
      <c r="E12" t="s">
        <v>13</v>
      </c>
      <c r="F12" t="s">
        <v>25</v>
      </c>
      <c r="G12" t="s">
        <v>27</v>
      </c>
      <c r="H12" s="6">
        <v>1300</v>
      </c>
      <c r="M12" t="s">
        <v>15</v>
      </c>
    </row>
    <row r="13" spans="1:14">
      <c r="A13" s="3">
        <v>44729</v>
      </c>
      <c r="B13" s="5" t="s">
        <v>22</v>
      </c>
      <c r="C13" t="s">
        <v>11</v>
      </c>
      <c r="D13" t="s">
        <v>17</v>
      </c>
      <c r="E13" s="2" t="s">
        <v>28</v>
      </c>
      <c r="F13" t="s">
        <v>25</v>
      </c>
      <c r="G13" t="s">
        <v>29</v>
      </c>
      <c r="H13" s="6">
        <v>1840</v>
      </c>
      <c r="M13" t="s">
        <v>15</v>
      </c>
    </row>
    <row r="14" spans="1:14">
      <c r="E14" s="2"/>
    </row>
    <row r="15" spans="1:14">
      <c r="A15" s="3">
        <v>44743</v>
      </c>
      <c r="B15" s="5" t="s">
        <v>23</v>
      </c>
      <c r="C15" t="s">
        <v>11</v>
      </c>
      <c r="D15" t="s">
        <v>17</v>
      </c>
      <c r="E15" t="s">
        <v>24</v>
      </c>
      <c r="F15" t="s">
        <v>25</v>
      </c>
      <c r="G15" t="s">
        <v>26</v>
      </c>
      <c r="H15" s="7">
        <v>500</v>
      </c>
      <c r="I15" s="11">
        <v>23</v>
      </c>
      <c r="J15" s="14">
        <v>20</v>
      </c>
      <c r="K15" s="14"/>
      <c r="M15" t="s">
        <v>15</v>
      </c>
      <c r="N15" t="s">
        <v>30</v>
      </c>
    </row>
    <row r="16" spans="1:14">
      <c r="A16" s="3">
        <v>44743</v>
      </c>
      <c r="B16" s="5" t="s">
        <v>21</v>
      </c>
      <c r="C16" t="s">
        <v>11</v>
      </c>
      <c r="D16" t="s">
        <v>12</v>
      </c>
      <c r="E16" t="s">
        <v>13</v>
      </c>
      <c r="F16" t="s">
        <v>25</v>
      </c>
      <c r="G16" t="s">
        <v>27</v>
      </c>
      <c r="H16" s="6">
        <v>1260</v>
      </c>
      <c r="I16" s="11">
        <v>20</v>
      </c>
      <c r="J16" s="14">
        <v>63</v>
      </c>
      <c r="K16" s="14"/>
      <c r="M16" t="s">
        <v>15</v>
      </c>
    </row>
    <row r="17" spans="1:13">
      <c r="A17" s="3">
        <v>44743</v>
      </c>
      <c r="B17" s="5" t="s">
        <v>22</v>
      </c>
      <c r="C17" t="s">
        <v>11</v>
      </c>
      <c r="D17" t="s">
        <v>17</v>
      </c>
      <c r="E17" s="2" t="s">
        <v>28</v>
      </c>
      <c r="F17" t="s">
        <v>25</v>
      </c>
      <c r="G17" t="s">
        <v>29</v>
      </c>
      <c r="H17" s="6">
        <v>1840</v>
      </c>
      <c r="I17" s="11">
        <v>23</v>
      </c>
      <c r="J17" s="14">
        <v>80</v>
      </c>
      <c r="K17" s="14"/>
      <c r="M17" t="s">
        <v>15</v>
      </c>
    </row>
    <row r="18" spans="1:13">
      <c r="E18" s="2"/>
    </row>
    <row r="19" spans="1:13">
      <c r="A19" s="3">
        <v>44757</v>
      </c>
      <c r="B19" s="5" t="s">
        <v>22</v>
      </c>
      <c r="C19" t="s">
        <v>11</v>
      </c>
      <c r="D19" t="s">
        <v>17</v>
      </c>
      <c r="E19" s="2" t="s">
        <v>28</v>
      </c>
      <c r="F19" t="s">
        <v>31</v>
      </c>
      <c r="H19" s="8">
        <v>1657</v>
      </c>
      <c r="I19" s="10">
        <v>23</v>
      </c>
      <c r="J19" s="13">
        <v>72</v>
      </c>
      <c r="L19" s="5" t="s">
        <v>32</v>
      </c>
    </row>
    <row r="20" spans="1:13">
      <c r="A20" s="3">
        <v>44757</v>
      </c>
      <c r="B20" s="5" t="s">
        <v>21</v>
      </c>
      <c r="C20" t="s">
        <v>11</v>
      </c>
      <c r="D20" t="s">
        <v>12</v>
      </c>
      <c r="E20" t="s">
        <v>13</v>
      </c>
      <c r="F20" t="s">
        <v>31</v>
      </c>
      <c r="H20" s="10">
        <f>J20*I20</f>
        <v>1140</v>
      </c>
      <c r="I20" s="10">
        <v>20</v>
      </c>
      <c r="J20" s="13">
        <v>57</v>
      </c>
      <c r="L20" s="5" t="s">
        <v>32</v>
      </c>
    </row>
    <row r="22" spans="1:13">
      <c r="A22" s="3">
        <v>44774</v>
      </c>
      <c r="B22" s="5" t="s">
        <v>22</v>
      </c>
      <c r="C22" t="s">
        <v>11</v>
      </c>
      <c r="D22" t="s">
        <v>17</v>
      </c>
      <c r="E22" s="2" t="s">
        <v>28</v>
      </c>
      <c r="F22" t="s">
        <v>31</v>
      </c>
      <c r="H22" s="8">
        <f>I22*J22</f>
        <v>1840</v>
      </c>
      <c r="I22" s="10">
        <v>23</v>
      </c>
      <c r="J22" s="13">
        <v>80</v>
      </c>
    </row>
    <row r="23" spans="1:13">
      <c r="A23" s="3">
        <v>44774</v>
      </c>
      <c r="B23" s="5" t="s">
        <v>21</v>
      </c>
      <c r="C23" t="s">
        <v>11</v>
      </c>
      <c r="D23" t="s">
        <v>12</v>
      </c>
      <c r="E23" t="s">
        <v>13</v>
      </c>
      <c r="F23" t="s">
        <v>31</v>
      </c>
      <c r="H23" s="10">
        <f>J23*I23</f>
        <v>1320</v>
      </c>
      <c r="I23" s="10">
        <v>20</v>
      </c>
      <c r="J23" s="13">
        <v>66</v>
      </c>
    </row>
    <row r="25" spans="1:13">
      <c r="A25" s="3">
        <v>44785</v>
      </c>
      <c r="B25" s="5" t="s">
        <v>23</v>
      </c>
      <c r="C25" t="s">
        <v>11</v>
      </c>
      <c r="D25" t="s">
        <v>17</v>
      </c>
      <c r="E25" t="s">
        <v>24</v>
      </c>
      <c r="F25" t="s">
        <v>33</v>
      </c>
      <c r="H25" s="8">
        <f>I25*J25</f>
        <v>1275</v>
      </c>
      <c r="I25" s="11">
        <v>25</v>
      </c>
      <c r="J25" s="13">
        <v>51</v>
      </c>
    </row>
    <row r="26" spans="1:13">
      <c r="A26" s="3">
        <v>44774</v>
      </c>
      <c r="B26" s="5" t="s">
        <v>21</v>
      </c>
      <c r="C26" t="s">
        <v>11</v>
      </c>
      <c r="D26" t="s">
        <v>12</v>
      </c>
      <c r="E26" t="s">
        <v>13</v>
      </c>
      <c r="F26" t="s">
        <v>33</v>
      </c>
      <c r="H26" s="8">
        <f>I26*J26</f>
        <v>1330</v>
      </c>
      <c r="I26" s="11">
        <v>20</v>
      </c>
      <c r="J26" s="13">
        <v>66.5</v>
      </c>
    </row>
    <row r="27" spans="1:13">
      <c r="A27" s="3">
        <v>44774</v>
      </c>
      <c r="B27" s="5" t="s">
        <v>22</v>
      </c>
      <c r="C27" t="s">
        <v>11</v>
      </c>
      <c r="D27" t="s">
        <v>17</v>
      </c>
      <c r="E27" s="2" t="s">
        <v>28</v>
      </c>
      <c r="F27" t="s">
        <v>33</v>
      </c>
      <c r="H27" s="8">
        <f>I27*J27</f>
        <v>1840</v>
      </c>
      <c r="I27" s="11">
        <v>23</v>
      </c>
      <c r="J27" s="13">
        <v>80</v>
      </c>
    </row>
    <row r="28" spans="1:13">
      <c r="H28" s="8"/>
    </row>
    <row r="29" spans="1:13">
      <c r="A29" s="3">
        <v>44799</v>
      </c>
      <c r="B29" s="5" t="s">
        <v>21</v>
      </c>
      <c r="C29" t="s">
        <v>11</v>
      </c>
      <c r="D29" t="s">
        <v>12</v>
      </c>
      <c r="E29" t="s">
        <v>13</v>
      </c>
      <c r="F29" t="s">
        <v>33</v>
      </c>
      <c r="H29" s="8">
        <f>I29*J29</f>
        <v>1560</v>
      </c>
      <c r="I29" s="11">
        <v>20</v>
      </c>
      <c r="J29" s="13">
        <v>78</v>
      </c>
    </row>
    <row r="30" spans="1:13">
      <c r="A30" s="3">
        <v>44799</v>
      </c>
      <c r="B30" s="5" t="s">
        <v>22</v>
      </c>
      <c r="C30" t="s">
        <v>11</v>
      </c>
      <c r="D30" t="s">
        <v>17</v>
      </c>
      <c r="E30" s="2" t="s">
        <v>28</v>
      </c>
      <c r="F30" t="s">
        <v>33</v>
      </c>
      <c r="H30" s="8">
        <f>I30*J30</f>
        <v>1840</v>
      </c>
      <c r="I30" s="11">
        <v>23</v>
      </c>
      <c r="J30" s="13">
        <v>80</v>
      </c>
    </row>
    <row r="32" spans="1:13">
      <c r="A32" s="3">
        <v>44813</v>
      </c>
      <c r="B32" s="5" t="s">
        <v>21</v>
      </c>
      <c r="C32" t="s">
        <v>11</v>
      </c>
      <c r="D32" t="s">
        <v>12</v>
      </c>
      <c r="E32" t="s">
        <v>13</v>
      </c>
      <c r="H32" s="8">
        <f>I32*J32</f>
        <v>1560</v>
      </c>
      <c r="I32" s="11">
        <v>20</v>
      </c>
      <c r="J32" s="13">
        <v>78</v>
      </c>
    </row>
    <row r="33" spans="1:12">
      <c r="A33" s="3">
        <v>44813</v>
      </c>
      <c r="B33" s="5" t="s">
        <v>22</v>
      </c>
      <c r="C33" t="s">
        <v>11</v>
      </c>
      <c r="D33" t="s">
        <v>17</v>
      </c>
      <c r="E33" s="2" t="s">
        <v>28</v>
      </c>
      <c r="H33" s="8">
        <f>I33*J33</f>
        <v>1840</v>
      </c>
      <c r="I33" s="11">
        <v>23</v>
      </c>
      <c r="J33" s="13">
        <v>80</v>
      </c>
    </row>
    <row r="34" spans="1:12">
      <c r="A34" s="3">
        <v>44813</v>
      </c>
      <c r="B34" s="5" t="s">
        <v>34</v>
      </c>
      <c r="C34" t="s">
        <v>35</v>
      </c>
      <c r="D34" t="s">
        <v>36</v>
      </c>
      <c r="E34" t="s">
        <v>37</v>
      </c>
      <c r="H34" s="8">
        <v>1200</v>
      </c>
      <c r="I34" s="10" t="s">
        <v>38</v>
      </c>
    </row>
    <row r="36" spans="1:12" ht="28.9">
      <c r="A36" s="3">
        <v>44827</v>
      </c>
      <c r="B36" s="5" t="s">
        <v>23</v>
      </c>
      <c r="C36" t="s">
        <v>11</v>
      </c>
      <c r="D36" t="s">
        <v>17</v>
      </c>
      <c r="E36" t="s">
        <v>24</v>
      </c>
      <c r="F36" t="s">
        <v>33</v>
      </c>
      <c r="H36" s="8">
        <f>I36*J36</f>
        <v>2550</v>
      </c>
      <c r="I36" s="11">
        <v>30</v>
      </c>
      <c r="J36" s="13">
        <v>85</v>
      </c>
      <c r="L36" s="5" t="s">
        <v>39</v>
      </c>
    </row>
    <row r="37" spans="1:12">
      <c r="A37" s="3">
        <v>44827</v>
      </c>
      <c r="B37" s="5" t="s">
        <v>21</v>
      </c>
      <c r="C37" t="s">
        <v>11</v>
      </c>
      <c r="D37" t="s">
        <v>12</v>
      </c>
      <c r="E37" t="s">
        <v>13</v>
      </c>
      <c r="F37" t="s">
        <v>33</v>
      </c>
      <c r="H37" s="8">
        <f>I37*J37</f>
        <v>1600</v>
      </c>
      <c r="I37" s="11">
        <v>20</v>
      </c>
      <c r="J37" s="13">
        <v>80</v>
      </c>
    </row>
    <row r="38" spans="1:12">
      <c r="A38" s="3">
        <v>44827</v>
      </c>
      <c r="B38" s="5" t="s">
        <v>22</v>
      </c>
      <c r="C38" t="s">
        <v>11</v>
      </c>
      <c r="D38" t="s">
        <v>17</v>
      </c>
      <c r="E38" s="2" t="s">
        <v>28</v>
      </c>
      <c r="F38" t="s">
        <v>33</v>
      </c>
      <c r="H38" s="8">
        <f>I38*J38</f>
        <v>1840</v>
      </c>
      <c r="I38" s="11">
        <v>23</v>
      </c>
      <c r="J38" s="13">
        <v>80</v>
      </c>
    </row>
    <row r="39" spans="1:12">
      <c r="A39" s="3">
        <v>44827</v>
      </c>
      <c r="B39" s="5" t="s">
        <v>34</v>
      </c>
      <c r="C39" t="s">
        <v>35</v>
      </c>
      <c r="D39" t="s">
        <v>36</v>
      </c>
      <c r="E39" t="s">
        <v>40</v>
      </c>
      <c r="H39" s="10">
        <v>2000</v>
      </c>
      <c r="L39" s="15" t="s">
        <v>41</v>
      </c>
    </row>
    <row r="40" spans="1:12">
      <c r="H40" s="8"/>
    </row>
    <row r="41" spans="1:12" ht="28.9">
      <c r="A41" s="3">
        <v>44841</v>
      </c>
      <c r="B41" s="5" t="s">
        <v>21</v>
      </c>
      <c r="C41" t="s">
        <v>11</v>
      </c>
      <c r="D41" t="s">
        <v>12</v>
      </c>
      <c r="E41" t="s">
        <v>13</v>
      </c>
      <c r="F41" t="s">
        <v>33</v>
      </c>
      <c r="H41" s="8">
        <f>I41*J41</f>
        <v>1730</v>
      </c>
      <c r="I41" s="11">
        <v>20</v>
      </c>
      <c r="J41" s="13">
        <v>86.5</v>
      </c>
      <c r="L41" s="5" t="s">
        <v>42</v>
      </c>
    </row>
    <row r="42" spans="1:12">
      <c r="A42" s="3">
        <v>44841</v>
      </c>
      <c r="B42" s="5" t="s">
        <v>22</v>
      </c>
      <c r="C42" t="s">
        <v>11</v>
      </c>
      <c r="D42" t="s">
        <v>17</v>
      </c>
      <c r="E42" s="2" t="s">
        <v>28</v>
      </c>
      <c r="F42" t="s">
        <v>33</v>
      </c>
      <c r="H42" s="8">
        <f>I42*J42</f>
        <v>1840</v>
      </c>
      <c r="I42" s="11">
        <v>23</v>
      </c>
      <c r="J42" s="13">
        <v>80</v>
      </c>
    </row>
    <row r="43" spans="1:12">
      <c r="A43" s="3">
        <v>44841</v>
      </c>
      <c r="B43" s="5" t="s">
        <v>34</v>
      </c>
      <c r="C43" t="s">
        <v>35</v>
      </c>
      <c r="D43" t="s">
        <v>36</v>
      </c>
      <c r="E43" t="s">
        <v>40</v>
      </c>
      <c r="H43" s="10">
        <v>1000</v>
      </c>
      <c r="L43" s="15" t="s">
        <v>43</v>
      </c>
    </row>
    <row r="44" spans="1:12">
      <c r="H44" s="8"/>
    </row>
    <row r="45" spans="1:12">
      <c r="A45" s="3">
        <v>44855</v>
      </c>
      <c r="B45" s="5" t="s">
        <v>21</v>
      </c>
      <c r="C45" t="s">
        <v>11</v>
      </c>
      <c r="D45" t="s">
        <v>12</v>
      </c>
      <c r="E45" t="s">
        <v>13</v>
      </c>
      <c r="F45" t="s">
        <v>33</v>
      </c>
      <c r="H45" s="8">
        <f>I45*J45</f>
        <v>1600</v>
      </c>
      <c r="I45" s="11">
        <v>20</v>
      </c>
      <c r="J45" s="13">
        <v>80</v>
      </c>
    </row>
    <row r="46" spans="1:12">
      <c r="A46" s="3">
        <v>44855</v>
      </c>
      <c r="B46" s="5" t="s">
        <v>22</v>
      </c>
      <c r="C46" t="s">
        <v>11</v>
      </c>
      <c r="D46" t="s">
        <v>17</v>
      </c>
      <c r="E46" s="2" t="s">
        <v>28</v>
      </c>
      <c r="F46" t="s">
        <v>33</v>
      </c>
      <c r="H46" s="8">
        <f>I46*J46</f>
        <v>1840</v>
      </c>
      <c r="I46" s="11">
        <v>23</v>
      </c>
      <c r="J46" s="13">
        <v>80</v>
      </c>
    </row>
    <row r="47" spans="1:12">
      <c r="H47" s="8"/>
    </row>
    <row r="48" spans="1:12">
      <c r="A48" s="3">
        <v>44869</v>
      </c>
      <c r="B48" s="5" t="s">
        <v>21</v>
      </c>
      <c r="C48" t="s">
        <v>11</v>
      </c>
      <c r="D48" t="s">
        <v>12</v>
      </c>
      <c r="E48" t="s">
        <v>13</v>
      </c>
      <c r="F48" t="s">
        <v>33</v>
      </c>
      <c r="H48" s="8">
        <f>I48*J48</f>
        <v>1460</v>
      </c>
      <c r="I48" s="11">
        <v>20</v>
      </c>
      <c r="J48" s="13">
        <v>73</v>
      </c>
    </row>
    <row r="49" spans="1:10">
      <c r="A49" s="3">
        <v>44869</v>
      </c>
      <c r="B49" s="5" t="s">
        <v>22</v>
      </c>
      <c r="C49" t="s">
        <v>11</v>
      </c>
      <c r="D49" t="s">
        <v>17</v>
      </c>
      <c r="E49" s="2" t="s">
        <v>28</v>
      </c>
      <c r="F49" t="s">
        <v>33</v>
      </c>
      <c r="H49" s="8">
        <f>I49*J49</f>
        <v>1840</v>
      </c>
      <c r="I49" s="11">
        <v>23</v>
      </c>
      <c r="J49" s="13">
        <v>80</v>
      </c>
    </row>
    <row r="51" spans="1:10">
      <c r="A51" s="3">
        <v>44883</v>
      </c>
      <c r="B51" s="5" t="s">
        <v>21</v>
      </c>
      <c r="C51" t="s">
        <v>11</v>
      </c>
      <c r="D51" t="s">
        <v>12</v>
      </c>
      <c r="E51" t="s">
        <v>13</v>
      </c>
      <c r="F51" t="s">
        <v>33</v>
      </c>
      <c r="H51" s="8">
        <f>I51*J51</f>
        <v>1640</v>
      </c>
      <c r="I51" s="11">
        <v>20</v>
      </c>
      <c r="J51" s="13">
        <v>82</v>
      </c>
    </row>
    <row r="52" spans="1:10">
      <c r="A52" s="3">
        <v>44883</v>
      </c>
      <c r="B52" s="5" t="s">
        <v>22</v>
      </c>
      <c r="C52" t="s">
        <v>11</v>
      </c>
      <c r="D52" t="s">
        <v>17</v>
      </c>
      <c r="E52" s="2" t="s">
        <v>28</v>
      </c>
      <c r="F52" t="s">
        <v>33</v>
      </c>
      <c r="H52" s="8">
        <f>I52*J52</f>
        <v>1840</v>
      </c>
      <c r="I52" s="11">
        <v>23</v>
      </c>
      <c r="J52" s="13">
        <v>80</v>
      </c>
    </row>
    <row r="53" spans="1:10">
      <c r="A53" s="3">
        <v>44886</v>
      </c>
      <c r="B53" s="5" t="s">
        <v>23</v>
      </c>
      <c r="C53" t="s">
        <v>11</v>
      </c>
      <c r="D53" t="s">
        <v>17</v>
      </c>
      <c r="E53" t="s">
        <v>24</v>
      </c>
      <c r="F53" t="s">
        <v>33</v>
      </c>
      <c r="H53" s="8">
        <f>I53*J53</f>
        <v>2460</v>
      </c>
      <c r="I53" s="11">
        <v>30</v>
      </c>
      <c r="J53" s="13">
        <v>82</v>
      </c>
    </row>
    <row r="54" spans="1:10">
      <c r="H54" s="8">
        <f>SUM(H51:H53)</f>
        <v>5940</v>
      </c>
    </row>
    <row r="55" spans="1:10">
      <c r="A55" s="3">
        <v>44897</v>
      </c>
      <c r="B55" s="5" t="s">
        <v>21</v>
      </c>
      <c r="C55" t="s">
        <v>11</v>
      </c>
      <c r="D55" t="s">
        <v>12</v>
      </c>
      <c r="E55" t="s">
        <v>13</v>
      </c>
      <c r="F55" t="s">
        <v>33</v>
      </c>
      <c r="H55" s="8">
        <f>I55*J55</f>
        <v>1600</v>
      </c>
      <c r="I55" s="11">
        <v>20</v>
      </c>
      <c r="J55" s="13">
        <v>80</v>
      </c>
    </row>
    <row r="56" spans="1:10">
      <c r="A56" s="3">
        <v>44897</v>
      </c>
      <c r="B56" s="5" t="s">
        <v>22</v>
      </c>
      <c r="C56" t="s">
        <v>11</v>
      </c>
      <c r="D56" t="s">
        <v>17</v>
      </c>
      <c r="E56" s="2" t="s">
        <v>28</v>
      </c>
      <c r="F56" t="s">
        <v>33</v>
      </c>
      <c r="H56" s="8">
        <f>I56*J56</f>
        <v>1840</v>
      </c>
      <c r="I56" s="11">
        <v>23</v>
      </c>
      <c r="J56" s="13">
        <v>80</v>
      </c>
    </row>
    <row r="57" spans="1:10">
      <c r="A57" s="3">
        <v>44897</v>
      </c>
      <c r="B57" s="5" t="s">
        <v>34</v>
      </c>
      <c r="C57" t="s">
        <v>35</v>
      </c>
      <c r="D57" t="s">
        <v>36</v>
      </c>
      <c r="E57" t="s">
        <v>40</v>
      </c>
      <c r="H57" s="10">
        <v>1000</v>
      </c>
    </row>
    <row r="58" spans="1:10" ht="43.15">
      <c r="A58" s="3">
        <v>44894</v>
      </c>
      <c r="B58" s="5" t="s">
        <v>44</v>
      </c>
      <c r="C58" t="s">
        <v>35</v>
      </c>
      <c r="D58" t="s">
        <v>12</v>
      </c>
      <c r="E58" t="s">
        <v>45</v>
      </c>
      <c r="H58">
        <v>4608</v>
      </c>
    </row>
    <row r="59" spans="1:10">
      <c r="A59" s="3">
        <v>44904</v>
      </c>
      <c r="B59" s="5" t="s">
        <v>46</v>
      </c>
      <c r="C59" t="s">
        <v>11</v>
      </c>
      <c r="D59" t="s">
        <v>17</v>
      </c>
      <c r="E59" t="s">
        <v>47</v>
      </c>
      <c r="H59">
        <v>2460</v>
      </c>
      <c r="I59" s="10">
        <v>30</v>
      </c>
      <c r="J59" s="13">
        <f>H59/I59</f>
        <v>82</v>
      </c>
    </row>
    <row r="60" spans="1:10">
      <c r="A60" s="3">
        <v>44897</v>
      </c>
      <c r="B60" s="5" t="s">
        <v>21</v>
      </c>
      <c r="C60" t="s">
        <v>11</v>
      </c>
      <c r="D60" t="s">
        <v>12</v>
      </c>
      <c r="E60" t="s">
        <v>48</v>
      </c>
      <c r="F60" t="s">
        <v>33</v>
      </c>
      <c r="H60" s="8">
        <f>I60*J60</f>
        <v>1760</v>
      </c>
      <c r="I60" s="11">
        <v>20</v>
      </c>
      <c r="J60" s="13">
        <v>88</v>
      </c>
    </row>
    <row r="61" spans="1:10">
      <c r="A61" s="3">
        <v>44897</v>
      </c>
      <c r="B61" s="5" t="s">
        <v>22</v>
      </c>
      <c r="C61" t="s">
        <v>11</v>
      </c>
      <c r="D61" t="s">
        <v>17</v>
      </c>
      <c r="E61" s="2" t="s">
        <v>49</v>
      </c>
      <c r="F61" t="s">
        <v>33</v>
      </c>
      <c r="H61" s="8">
        <f>I61*J61</f>
        <v>1840</v>
      </c>
      <c r="I61" s="11">
        <v>23</v>
      </c>
      <c r="J61" s="13">
        <v>80</v>
      </c>
    </row>
    <row r="62" spans="1:10">
      <c r="H62" s="8">
        <f>SUM(H60:H61)</f>
        <v>3600</v>
      </c>
    </row>
    <row r="64" spans="1:10">
      <c r="A64" s="3">
        <v>44925</v>
      </c>
      <c r="B64" s="5" t="s">
        <v>21</v>
      </c>
      <c r="C64" t="s">
        <v>11</v>
      </c>
      <c r="D64" t="s">
        <v>12</v>
      </c>
      <c r="E64" t="s">
        <v>48</v>
      </c>
      <c r="F64" t="s">
        <v>33</v>
      </c>
      <c r="H64" s="8">
        <f>I64*J64</f>
        <v>1760</v>
      </c>
      <c r="I64" s="11">
        <v>20</v>
      </c>
      <c r="J64" s="13">
        <v>88</v>
      </c>
    </row>
    <row r="65" spans="1:12">
      <c r="A65" s="3">
        <v>44925</v>
      </c>
      <c r="B65" s="5" t="s">
        <v>22</v>
      </c>
      <c r="C65" t="s">
        <v>11</v>
      </c>
      <c r="D65" t="s">
        <v>17</v>
      </c>
      <c r="E65" s="2" t="s">
        <v>49</v>
      </c>
      <c r="F65" t="s">
        <v>33</v>
      </c>
      <c r="H65" s="8">
        <f>I65*J65</f>
        <v>1840</v>
      </c>
      <c r="I65" s="11">
        <v>23</v>
      </c>
      <c r="J65" s="13">
        <v>80</v>
      </c>
    </row>
    <row r="66" spans="1:12">
      <c r="A66" s="3"/>
      <c r="E66" s="2"/>
      <c r="H66" s="8"/>
      <c r="I66" s="11"/>
    </row>
    <row r="67" spans="1:12" ht="43.15">
      <c r="A67" s="3">
        <v>44929</v>
      </c>
      <c r="B67" s="5" t="s">
        <v>10</v>
      </c>
      <c r="C67" t="s">
        <v>11</v>
      </c>
      <c r="D67" s="4" t="s">
        <v>50</v>
      </c>
      <c r="E67" t="s">
        <v>10</v>
      </c>
      <c r="H67" s="10">
        <f>I67*J67</f>
        <v>640</v>
      </c>
      <c r="I67" s="10">
        <v>16</v>
      </c>
      <c r="J67" s="13">
        <v>40</v>
      </c>
      <c r="L67" s="5" t="s">
        <v>51</v>
      </c>
    </row>
    <row r="68" spans="1:12">
      <c r="A68" s="3">
        <v>44929</v>
      </c>
      <c r="B68" s="5" t="s">
        <v>34</v>
      </c>
      <c r="C68" t="s">
        <v>35</v>
      </c>
      <c r="D68" t="s">
        <v>36</v>
      </c>
      <c r="E68" t="s">
        <v>40</v>
      </c>
      <c r="H68">
        <v>1000</v>
      </c>
      <c r="L68" s="5" t="s">
        <v>52</v>
      </c>
    </row>
    <row r="69" spans="1:12">
      <c r="A69" s="3">
        <v>44929</v>
      </c>
      <c r="B69" s="5" t="s">
        <v>22</v>
      </c>
      <c r="C69" t="s">
        <v>35</v>
      </c>
      <c r="D69" s="4" t="s">
        <v>17</v>
      </c>
      <c r="E69" t="s">
        <v>49</v>
      </c>
      <c r="H69" s="10">
        <f>I69*J69</f>
        <v>1840</v>
      </c>
      <c r="I69" s="10">
        <v>23</v>
      </c>
      <c r="J69" s="13">
        <v>80</v>
      </c>
    </row>
    <row r="70" spans="1:12">
      <c r="A70" s="3">
        <v>44929</v>
      </c>
      <c r="B70" s="5" t="s">
        <v>53</v>
      </c>
      <c r="C70" t="s">
        <v>11</v>
      </c>
      <c r="D70" t="s">
        <v>12</v>
      </c>
      <c r="E70" t="s">
        <v>10</v>
      </c>
      <c r="H70" s="10">
        <f>J70*I70</f>
        <v>1640</v>
      </c>
      <c r="I70" s="10">
        <v>20</v>
      </c>
      <c r="J70" s="13">
        <v>82</v>
      </c>
    </row>
    <row r="71" spans="1:12">
      <c r="H71" s="10"/>
    </row>
    <row r="72" spans="1:12">
      <c r="A72" s="3">
        <v>44939</v>
      </c>
      <c r="B72" s="5" t="s">
        <v>10</v>
      </c>
      <c r="C72" t="s">
        <v>11</v>
      </c>
      <c r="D72" s="4" t="s">
        <v>50</v>
      </c>
      <c r="E72" t="s">
        <v>10</v>
      </c>
      <c r="H72" s="10">
        <f>I72*J72</f>
        <v>1280</v>
      </c>
      <c r="I72" s="10">
        <v>16</v>
      </c>
      <c r="J72" s="13">
        <v>80</v>
      </c>
    </row>
    <row r="73" spans="1:12">
      <c r="A73" s="3">
        <v>44939</v>
      </c>
      <c r="B73" s="5" t="s">
        <v>22</v>
      </c>
      <c r="C73" t="s">
        <v>35</v>
      </c>
      <c r="D73" s="4" t="s">
        <v>17</v>
      </c>
      <c r="E73" t="s">
        <v>49</v>
      </c>
      <c r="H73" s="10">
        <f>I73*J73</f>
        <v>1840</v>
      </c>
      <c r="I73" s="10">
        <v>23</v>
      </c>
      <c r="J73" s="13">
        <v>80</v>
      </c>
    </row>
    <row r="74" spans="1:12">
      <c r="A74" s="3">
        <v>44939</v>
      </c>
      <c r="B74" s="5" t="s">
        <v>53</v>
      </c>
      <c r="C74" t="s">
        <v>11</v>
      </c>
      <c r="D74" t="s">
        <v>12</v>
      </c>
      <c r="E74" t="s">
        <v>10</v>
      </c>
      <c r="H74" s="10">
        <f>I74*J74</f>
        <v>1640</v>
      </c>
      <c r="I74" s="10">
        <v>20</v>
      </c>
      <c r="J74" s="13">
        <v>82</v>
      </c>
    </row>
    <row r="76" spans="1:12">
      <c r="A76" s="3">
        <v>44953</v>
      </c>
      <c r="B76" s="5" t="s">
        <v>10</v>
      </c>
      <c r="C76" t="s">
        <v>11</v>
      </c>
      <c r="D76" s="4" t="s">
        <v>50</v>
      </c>
      <c r="E76" t="s">
        <v>10</v>
      </c>
      <c r="H76" s="10">
        <f>I76*J76</f>
        <v>1280</v>
      </c>
      <c r="I76" s="10">
        <v>16</v>
      </c>
      <c r="J76" s="13">
        <v>80</v>
      </c>
    </row>
    <row r="77" spans="1:12">
      <c r="A77" s="3">
        <v>44954</v>
      </c>
      <c r="B77" s="5" t="s">
        <v>22</v>
      </c>
      <c r="C77" t="s">
        <v>35</v>
      </c>
      <c r="D77" s="4" t="s">
        <v>17</v>
      </c>
      <c r="E77" t="s">
        <v>49</v>
      </c>
      <c r="H77" s="10">
        <f>I77*J77</f>
        <v>1840</v>
      </c>
      <c r="I77" s="10">
        <v>23</v>
      </c>
      <c r="J77" s="13">
        <v>80</v>
      </c>
    </row>
    <row r="78" spans="1:12">
      <c r="A78" s="3">
        <v>44955</v>
      </c>
      <c r="B78" s="5" t="s">
        <v>53</v>
      </c>
      <c r="C78" t="s">
        <v>11</v>
      </c>
      <c r="D78" t="s">
        <v>12</v>
      </c>
      <c r="E78" t="s">
        <v>10</v>
      </c>
      <c r="H78" s="10">
        <f>I78*J78</f>
        <v>1640</v>
      </c>
      <c r="I78" s="10">
        <v>20</v>
      </c>
      <c r="J78" s="13">
        <v>82</v>
      </c>
    </row>
    <row r="79" spans="1:12">
      <c r="H79" s="10"/>
    </row>
    <row r="80" spans="1:12">
      <c r="A80" s="3">
        <v>44967</v>
      </c>
      <c r="B80" s="5" t="s">
        <v>10</v>
      </c>
      <c r="C80" t="s">
        <v>11</v>
      </c>
      <c r="D80" s="4" t="s">
        <v>50</v>
      </c>
      <c r="E80" t="s">
        <v>10</v>
      </c>
      <c r="H80" s="10">
        <f>I80*J80</f>
        <v>1280</v>
      </c>
      <c r="I80" s="10">
        <v>16</v>
      </c>
      <c r="J80" s="13">
        <v>80</v>
      </c>
    </row>
    <row r="81" spans="1:12">
      <c r="A81" s="3">
        <v>44967</v>
      </c>
      <c r="B81" s="5" t="s">
        <v>54</v>
      </c>
      <c r="C81" t="s">
        <v>11</v>
      </c>
      <c r="D81" s="4" t="s">
        <v>50</v>
      </c>
      <c r="E81" t="s">
        <v>10</v>
      </c>
      <c r="H81" s="10">
        <v>250</v>
      </c>
    </row>
    <row r="82" spans="1:12">
      <c r="A82" s="3">
        <v>44967</v>
      </c>
      <c r="B82" s="5" t="s">
        <v>22</v>
      </c>
      <c r="C82" t="s">
        <v>35</v>
      </c>
      <c r="D82" s="4" t="s">
        <v>17</v>
      </c>
      <c r="E82" t="s">
        <v>49</v>
      </c>
      <c r="H82" s="10">
        <f>I82*J82</f>
        <v>1840</v>
      </c>
      <c r="I82" s="10">
        <v>23</v>
      </c>
      <c r="J82" s="13">
        <v>80</v>
      </c>
    </row>
    <row r="83" spans="1:12">
      <c r="A83" s="3">
        <v>44967</v>
      </c>
      <c r="B83" s="5" t="s">
        <v>53</v>
      </c>
      <c r="C83" t="s">
        <v>11</v>
      </c>
      <c r="D83" t="s">
        <v>12</v>
      </c>
      <c r="E83" t="s">
        <v>10</v>
      </c>
      <c r="H83" s="10">
        <f>I83*J83</f>
        <v>1640</v>
      </c>
      <c r="I83" s="10">
        <v>20</v>
      </c>
      <c r="J83" s="13">
        <v>82</v>
      </c>
    </row>
    <row r="84" spans="1:12" ht="28.9">
      <c r="A84" s="3">
        <v>44967</v>
      </c>
      <c r="B84" s="5" t="s">
        <v>55</v>
      </c>
      <c r="C84" t="s">
        <v>11</v>
      </c>
      <c r="D84" s="4" t="s">
        <v>12</v>
      </c>
      <c r="E84" t="s">
        <v>10</v>
      </c>
      <c r="H84" s="10">
        <v>200</v>
      </c>
      <c r="L84" s="5" t="s">
        <v>56</v>
      </c>
    </row>
    <row r="85" spans="1:12">
      <c r="A85" s="3">
        <v>44970</v>
      </c>
      <c r="B85" s="5" t="s">
        <v>34</v>
      </c>
      <c r="C85" t="s">
        <v>35</v>
      </c>
      <c r="D85" t="s">
        <v>36</v>
      </c>
      <c r="E85" t="s">
        <v>40</v>
      </c>
      <c r="H85">
        <v>1000</v>
      </c>
      <c r="L85" s="5" t="s">
        <v>57</v>
      </c>
    </row>
    <row r="86" spans="1:12">
      <c r="H86" s="10"/>
    </row>
    <row r="87" spans="1:12">
      <c r="A87" s="3">
        <v>44981</v>
      </c>
      <c r="B87" s="5" t="s">
        <v>10</v>
      </c>
      <c r="C87" t="s">
        <v>11</v>
      </c>
      <c r="D87" s="4" t="s">
        <v>50</v>
      </c>
      <c r="E87" t="s">
        <v>10</v>
      </c>
      <c r="H87" s="10">
        <f>I87*J87</f>
        <v>1280</v>
      </c>
      <c r="I87" s="10">
        <v>16</v>
      </c>
      <c r="J87" s="13">
        <v>80</v>
      </c>
    </row>
    <row r="88" spans="1:12">
      <c r="A88" s="3">
        <v>44981</v>
      </c>
      <c r="B88" s="5" t="s">
        <v>22</v>
      </c>
      <c r="C88" t="s">
        <v>35</v>
      </c>
      <c r="D88" s="4" t="s">
        <v>17</v>
      </c>
      <c r="E88" t="s">
        <v>49</v>
      </c>
      <c r="H88" s="10">
        <f>I88*J88</f>
        <v>1840</v>
      </c>
      <c r="I88" s="10">
        <v>23</v>
      </c>
      <c r="J88" s="13">
        <v>80</v>
      </c>
    </row>
    <row r="89" spans="1:12">
      <c r="A89" s="3">
        <v>44980</v>
      </c>
      <c r="B89" s="5" t="s">
        <v>53</v>
      </c>
      <c r="C89" t="s">
        <v>11</v>
      </c>
      <c r="D89" t="s">
        <v>12</v>
      </c>
      <c r="E89" t="s">
        <v>10</v>
      </c>
      <c r="H89" s="10">
        <f>I89*J89</f>
        <v>1640</v>
      </c>
      <c r="I89" s="10">
        <v>20</v>
      </c>
      <c r="J89" s="13">
        <v>82</v>
      </c>
    </row>
    <row r="91" spans="1:12">
      <c r="A91" s="3">
        <v>44995</v>
      </c>
      <c r="B91" s="5" t="s">
        <v>10</v>
      </c>
      <c r="C91" t="s">
        <v>11</v>
      </c>
      <c r="D91" s="4" t="s">
        <v>50</v>
      </c>
      <c r="E91" t="s">
        <v>10</v>
      </c>
      <c r="H91" s="10">
        <f>I91*J91</f>
        <v>1280</v>
      </c>
      <c r="I91" s="10">
        <v>16</v>
      </c>
      <c r="J91" s="13">
        <v>80</v>
      </c>
    </row>
    <row r="92" spans="1:12">
      <c r="A92" s="3">
        <v>44995</v>
      </c>
      <c r="B92" s="5" t="s">
        <v>22</v>
      </c>
      <c r="C92" t="s">
        <v>35</v>
      </c>
      <c r="D92" s="4" t="s">
        <v>17</v>
      </c>
      <c r="E92" t="s">
        <v>49</v>
      </c>
      <c r="H92" s="10">
        <f>I92*J92</f>
        <v>1840</v>
      </c>
      <c r="I92" s="10">
        <v>23</v>
      </c>
      <c r="J92" s="13">
        <v>80</v>
      </c>
    </row>
    <row r="93" spans="1:12">
      <c r="A93" s="3">
        <v>44995</v>
      </c>
      <c r="B93" s="5" t="s">
        <v>58</v>
      </c>
      <c r="C93" t="s">
        <v>35</v>
      </c>
      <c r="D93" s="4"/>
      <c r="H93" s="10">
        <v>486</v>
      </c>
    </row>
    <row r="94" spans="1:12">
      <c r="A94" s="3">
        <v>44995</v>
      </c>
      <c r="B94" s="5" t="s">
        <v>53</v>
      </c>
      <c r="C94" t="s">
        <v>11</v>
      </c>
      <c r="D94" t="s">
        <v>12</v>
      </c>
      <c r="E94" t="s">
        <v>10</v>
      </c>
      <c r="H94" s="10">
        <f>I94*J94</f>
        <v>1640</v>
      </c>
      <c r="I94" s="10">
        <v>20</v>
      </c>
      <c r="J94" s="13">
        <v>82</v>
      </c>
    </row>
    <row r="96" spans="1:12" ht="70.5" customHeight="1">
      <c r="A96" s="3">
        <v>45009</v>
      </c>
      <c r="B96" s="5" t="s">
        <v>10</v>
      </c>
      <c r="C96" t="s">
        <v>11</v>
      </c>
      <c r="D96" s="4" t="s">
        <v>50</v>
      </c>
      <c r="E96" t="s">
        <v>10</v>
      </c>
      <c r="H96" s="10">
        <f>I96*J96</f>
        <v>1440</v>
      </c>
      <c r="I96" s="10">
        <v>16</v>
      </c>
      <c r="J96" s="13">
        <v>90</v>
      </c>
      <c r="L96" s="5" t="s">
        <v>59</v>
      </c>
    </row>
    <row r="97" spans="1:12">
      <c r="A97" s="3">
        <v>45009</v>
      </c>
      <c r="B97" s="5" t="s">
        <v>22</v>
      </c>
      <c r="C97" t="s">
        <v>35</v>
      </c>
      <c r="D97" s="4" t="s">
        <v>17</v>
      </c>
      <c r="E97" t="s">
        <v>49</v>
      </c>
      <c r="H97" s="10">
        <f>I97*J97</f>
        <v>1840</v>
      </c>
      <c r="I97" s="10">
        <v>23</v>
      </c>
      <c r="J97" s="13">
        <v>80</v>
      </c>
    </row>
    <row r="98" spans="1:12" ht="28.9">
      <c r="A98" s="3">
        <v>45009</v>
      </c>
      <c r="B98" s="5" t="s">
        <v>53</v>
      </c>
      <c r="C98" t="s">
        <v>11</v>
      </c>
      <c r="D98" t="s">
        <v>12</v>
      </c>
      <c r="E98" t="s">
        <v>10</v>
      </c>
      <c r="H98" s="10">
        <f>I98*J98</f>
        <v>2000</v>
      </c>
      <c r="I98" s="10">
        <v>20</v>
      </c>
      <c r="J98" s="13">
        <v>100</v>
      </c>
      <c r="L98" s="5" t="s">
        <v>60</v>
      </c>
    </row>
    <row r="100" spans="1:12">
      <c r="A100" s="16">
        <v>45023</v>
      </c>
      <c r="B100" s="17" t="s">
        <v>10</v>
      </c>
      <c r="C100" s="18" t="s">
        <v>11</v>
      </c>
      <c r="D100" s="19" t="s">
        <v>50</v>
      </c>
      <c r="E100" s="18" t="s">
        <v>10</v>
      </c>
      <c r="F100" s="18"/>
      <c r="G100" s="18"/>
      <c r="H100" s="20">
        <f>I100*J100</f>
        <v>1280</v>
      </c>
      <c r="I100" s="20">
        <v>16</v>
      </c>
      <c r="J100" s="21">
        <v>80</v>
      </c>
      <c r="K100" s="21"/>
      <c r="L100" s="22"/>
    </row>
    <row r="101" spans="1:12">
      <c r="A101" s="23">
        <v>45023</v>
      </c>
      <c r="B101" s="5" t="s">
        <v>34</v>
      </c>
      <c r="C101" t="s">
        <v>35</v>
      </c>
      <c r="D101" t="s">
        <v>36</v>
      </c>
      <c r="E101" t="s">
        <v>40</v>
      </c>
      <c r="H101">
        <v>1000</v>
      </c>
      <c r="L101" s="24" t="s">
        <v>61</v>
      </c>
    </row>
    <row r="102" spans="1:12">
      <c r="A102" s="23">
        <v>45023</v>
      </c>
      <c r="B102" s="5" t="s">
        <v>22</v>
      </c>
      <c r="C102" t="s">
        <v>35</v>
      </c>
      <c r="D102" s="25" t="s">
        <v>17</v>
      </c>
      <c r="E102" t="s">
        <v>49</v>
      </c>
      <c r="H102" s="10">
        <f>I102*J102</f>
        <v>1840</v>
      </c>
      <c r="I102" s="10">
        <v>23</v>
      </c>
      <c r="J102" s="13">
        <v>80</v>
      </c>
      <c r="L102" s="24"/>
    </row>
    <row r="103" spans="1:12">
      <c r="A103" s="26">
        <v>45023</v>
      </c>
      <c r="B103" s="27" t="s">
        <v>53</v>
      </c>
      <c r="C103" s="28" t="s">
        <v>11</v>
      </c>
      <c r="D103" s="28" t="s">
        <v>12</v>
      </c>
      <c r="E103" s="28" t="s">
        <v>10</v>
      </c>
      <c r="F103" s="28"/>
      <c r="G103" s="28"/>
      <c r="H103" s="29">
        <f>J103*I103</f>
        <v>2000</v>
      </c>
      <c r="I103" s="29">
        <v>20</v>
      </c>
      <c r="J103" s="30">
        <v>100</v>
      </c>
      <c r="K103" s="30"/>
      <c r="L103" s="31"/>
    </row>
    <row r="104" spans="1:12">
      <c r="H104" s="7">
        <v>6120</v>
      </c>
    </row>
    <row r="105" spans="1:12">
      <c r="A105" s="16">
        <v>45037</v>
      </c>
      <c r="B105" s="17" t="s">
        <v>10</v>
      </c>
      <c r="C105" s="18" t="s">
        <v>11</v>
      </c>
      <c r="D105" s="19" t="s">
        <v>50</v>
      </c>
      <c r="E105" s="18" t="s">
        <v>10</v>
      </c>
      <c r="F105" s="18"/>
      <c r="G105" s="18"/>
      <c r="H105" s="20">
        <f>I105*J105</f>
        <v>1360</v>
      </c>
      <c r="I105" s="20">
        <v>16</v>
      </c>
      <c r="J105" s="21">
        <v>85</v>
      </c>
      <c r="K105" s="21"/>
      <c r="L105" s="22" t="s">
        <v>62</v>
      </c>
    </row>
    <row r="106" spans="1:12">
      <c r="A106" s="23">
        <v>45037</v>
      </c>
      <c r="B106" s="5" t="s">
        <v>22</v>
      </c>
      <c r="C106" t="s">
        <v>35</v>
      </c>
      <c r="D106" s="25" t="s">
        <v>17</v>
      </c>
      <c r="E106" t="s">
        <v>49</v>
      </c>
      <c r="H106" s="10">
        <f>I106*J106</f>
        <v>1840</v>
      </c>
      <c r="I106" s="10">
        <v>23</v>
      </c>
      <c r="J106" s="13">
        <v>80</v>
      </c>
      <c r="L106" s="24"/>
    </row>
    <row r="107" spans="1:12">
      <c r="A107" s="26">
        <v>45037</v>
      </c>
      <c r="B107" s="27" t="s">
        <v>53</v>
      </c>
      <c r="C107" s="28" t="s">
        <v>11</v>
      </c>
      <c r="D107" s="28" t="s">
        <v>12</v>
      </c>
      <c r="E107" s="28" t="s">
        <v>10</v>
      </c>
      <c r="F107" s="28"/>
      <c r="G107" s="28"/>
      <c r="H107" s="29">
        <f>J107*I107</f>
        <v>2000</v>
      </c>
      <c r="I107" s="29">
        <v>20</v>
      </c>
      <c r="J107" s="30">
        <v>100</v>
      </c>
      <c r="K107" s="30"/>
      <c r="L107" s="31"/>
    </row>
    <row r="109" spans="1:12">
      <c r="H109">
        <v>5200</v>
      </c>
    </row>
    <row r="111" spans="1:12">
      <c r="A111" s="16">
        <v>45051</v>
      </c>
      <c r="B111" s="17" t="s">
        <v>10</v>
      </c>
      <c r="C111" s="18" t="s">
        <v>11</v>
      </c>
      <c r="D111" s="19" t="s">
        <v>50</v>
      </c>
      <c r="E111" s="18" t="s">
        <v>10</v>
      </c>
      <c r="F111" s="18"/>
      <c r="G111" s="18"/>
      <c r="H111" s="20">
        <f>I111*J111</f>
        <v>1280</v>
      </c>
      <c r="I111" s="20">
        <v>16</v>
      </c>
      <c r="J111" s="21">
        <v>80</v>
      </c>
      <c r="K111" s="21"/>
      <c r="L111" s="22"/>
    </row>
    <row r="112" spans="1:12">
      <c r="A112" s="23">
        <v>45051</v>
      </c>
      <c r="B112" s="5" t="s">
        <v>22</v>
      </c>
      <c r="C112" t="s">
        <v>35</v>
      </c>
      <c r="D112" s="25" t="s">
        <v>17</v>
      </c>
      <c r="E112" t="s">
        <v>49</v>
      </c>
      <c r="H112" s="10">
        <f>I112*J112</f>
        <v>1840</v>
      </c>
      <c r="I112" s="10">
        <v>23</v>
      </c>
      <c r="J112" s="13">
        <v>80</v>
      </c>
      <c r="L112" s="24"/>
    </row>
    <row r="113" spans="1:12">
      <c r="A113" s="23">
        <v>45051</v>
      </c>
      <c r="B113" s="5" t="s">
        <v>35</v>
      </c>
      <c r="C113" t="s">
        <v>35</v>
      </c>
      <c r="D113" s="25" t="s">
        <v>17</v>
      </c>
      <c r="E113" t="s">
        <v>63</v>
      </c>
      <c r="H113" s="10">
        <v>1250</v>
      </c>
      <c r="L113" s="24" t="s">
        <v>64</v>
      </c>
    </row>
    <row r="114" spans="1:12">
      <c r="A114" s="23">
        <v>45051</v>
      </c>
      <c r="B114" s="5" t="s">
        <v>53</v>
      </c>
      <c r="C114" t="s">
        <v>11</v>
      </c>
      <c r="D114" t="s">
        <v>12</v>
      </c>
      <c r="E114" t="s">
        <v>10</v>
      </c>
      <c r="H114" s="10">
        <f>I114*J114</f>
        <v>2000</v>
      </c>
      <c r="I114" s="10">
        <v>20</v>
      </c>
      <c r="J114" s="13">
        <v>100</v>
      </c>
      <c r="L114" s="24"/>
    </row>
    <row r="115" spans="1:12">
      <c r="A115" s="26">
        <v>45051</v>
      </c>
      <c r="B115" s="27" t="s">
        <v>34</v>
      </c>
      <c r="C115" s="28" t="s">
        <v>35</v>
      </c>
      <c r="D115" s="28" t="s">
        <v>36</v>
      </c>
      <c r="E115" s="28" t="s">
        <v>40</v>
      </c>
      <c r="F115" s="28"/>
      <c r="G115" s="28"/>
      <c r="H115" s="32">
        <v>1000</v>
      </c>
      <c r="I115" s="29"/>
      <c r="J115" s="30"/>
      <c r="K115" s="30"/>
      <c r="L115" s="31" t="s">
        <v>65</v>
      </c>
    </row>
    <row r="116" spans="1:12">
      <c r="H116" s="33">
        <f>SUM(H111:H115)</f>
        <v>7370</v>
      </c>
    </row>
    <row r="117" spans="1:12">
      <c r="A117" s="16">
        <v>45065</v>
      </c>
      <c r="B117" s="17" t="s">
        <v>10</v>
      </c>
      <c r="C117" s="18" t="s">
        <v>11</v>
      </c>
      <c r="D117" s="19" t="s">
        <v>50</v>
      </c>
      <c r="E117" s="18" t="s">
        <v>66</v>
      </c>
      <c r="F117" s="18"/>
      <c r="G117" s="18"/>
      <c r="H117" s="20">
        <f>I117*J117</f>
        <v>1280</v>
      </c>
      <c r="I117" s="20">
        <v>16</v>
      </c>
      <c r="J117" s="21">
        <v>80</v>
      </c>
      <c r="K117" s="21"/>
      <c r="L117" s="22"/>
    </row>
    <row r="118" spans="1:12">
      <c r="A118" s="23">
        <v>45065</v>
      </c>
      <c r="B118" s="5" t="s">
        <v>67</v>
      </c>
      <c r="C118" t="s">
        <v>11</v>
      </c>
      <c r="D118" s="25" t="s">
        <v>68</v>
      </c>
      <c r="E118" t="s">
        <v>66</v>
      </c>
      <c r="H118" s="10">
        <v>128</v>
      </c>
      <c r="L118" s="24"/>
    </row>
    <row r="119" spans="1:12">
      <c r="A119" s="23">
        <v>45065</v>
      </c>
      <c r="B119" s="5" t="s">
        <v>35</v>
      </c>
      <c r="C119" t="s">
        <v>35</v>
      </c>
      <c r="D119" s="25" t="s">
        <v>17</v>
      </c>
      <c r="E119" t="s">
        <v>69</v>
      </c>
      <c r="H119" s="10">
        <f>I119*J119</f>
        <v>1840</v>
      </c>
      <c r="I119" s="10">
        <v>23</v>
      </c>
      <c r="J119" s="13">
        <v>80</v>
      </c>
      <c r="L119" s="24"/>
    </row>
    <row r="120" spans="1:12">
      <c r="A120" s="23">
        <v>45065</v>
      </c>
      <c r="B120" s="5" t="s">
        <v>53</v>
      </c>
      <c r="C120" t="s">
        <v>11</v>
      </c>
      <c r="D120" t="s">
        <v>12</v>
      </c>
      <c r="E120" t="s">
        <v>66</v>
      </c>
      <c r="H120" s="10">
        <f>I120*J120</f>
        <v>2000</v>
      </c>
      <c r="I120" s="10">
        <v>20</v>
      </c>
      <c r="J120" s="13">
        <v>100</v>
      </c>
      <c r="L120" s="24"/>
    </row>
    <row r="121" spans="1:12">
      <c r="H121" s="33">
        <f>SUM(H117:H120)</f>
        <v>5248</v>
      </c>
    </row>
    <row r="122" spans="1:12">
      <c r="A122" s="16">
        <v>45079</v>
      </c>
      <c r="B122" s="17" t="s">
        <v>10</v>
      </c>
      <c r="C122" s="18" t="s">
        <v>11</v>
      </c>
      <c r="D122" s="19" t="s">
        <v>50</v>
      </c>
      <c r="E122" s="18" t="s">
        <v>66</v>
      </c>
      <c r="F122" s="18"/>
      <c r="G122" s="18"/>
      <c r="H122" s="20">
        <f>I122*J122</f>
        <v>1280</v>
      </c>
      <c r="I122" s="20">
        <v>16</v>
      </c>
      <c r="J122" s="21">
        <v>80</v>
      </c>
      <c r="K122" s="21"/>
      <c r="L122" s="22"/>
    </row>
    <row r="123" spans="1:12">
      <c r="A123" s="23">
        <v>45079</v>
      </c>
      <c r="B123" s="5" t="s">
        <v>22</v>
      </c>
      <c r="C123" t="s">
        <v>35</v>
      </c>
      <c r="D123" s="25" t="s">
        <v>17</v>
      </c>
      <c r="E123" t="s">
        <v>70</v>
      </c>
      <c r="H123" s="10">
        <f>I123*J123</f>
        <v>1840</v>
      </c>
      <c r="I123" s="10">
        <v>23</v>
      </c>
      <c r="J123" s="13">
        <v>80</v>
      </c>
      <c r="L123" s="24"/>
    </row>
    <row r="124" spans="1:12">
      <c r="A124" s="23">
        <v>45079</v>
      </c>
      <c r="B124" s="5" t="s">
        <v>53</v>
      </c>
      <c r="C124" t="s">
        <v>11</v>
      </c>
      <c r="D124" t="s">
        <v>12</v>
      </c>
      <c r="E124" t="s">
        <v>66</v>
      </c>
      <c r="H124" s="10">
        <f>I124*J124</f>
        <v>2000</v>
      </c>
      <c r="I124" s="10">
        <v>20</v>
      </c>
      <c r="J124" s="13">
        <v>100</v>
      </c>
      <c r="L124" s="24"/>
    </row>
    <row r="125" spans="1:12">
      <c r="A125" s="26">
        <v>45079</v>
      </c>
      <c r="B125" s="27" t="s">
        <v>34</v>
      </c>
      <c r="C125" s="28" t="s">
        <v>35</v>
      </c>
      <c r="D125" s="28" t="s">
        <v>36</v>
      </c>
      <c r="E125" s="28" t="s">
        <v>40</v>
      </c>
      <c r="F125" s="28"/>
      <c r="G125" s="28"/>
      <c r="H125" s="32">
        <v>1000</v>
      </c>
      <c r="I125" s="29"/>
      <c r="J125" s="30"/>
      <c r="K125" s="30"/>
      <c r="L125" s="31" t="s">
        <v>71</v>
      </c>
    </row>
    <row r="127" spans="1:12">
      <c r="A127" s="26">
        <v>45082</v>
      </c>
      <c r="B127" s="27" t="s">
        <v>34</v>
      </c>
      <c r="C127" s="28" t="s">
        <v>35</v>
      </c>
      <c r="D127" s="28" t="s">
        <v>36</v>
      </c>
      <c r="E127" s="28" t="s">
        <v>72</v>
      </c>
      <c r="F127" s="28"/>
      <c r="G127" s="28"/>
      <c r="H127" s="32">
        <v>1000</v>
      </c>
      <c r="I127" s="29"/>
      <c r="J127" s="30"/>
      <c r="K127" s="30"/>
      <c r="L127" s="31" t="s">
        <v>65</v>
      </c>
    </row>
    <row r="129" spans="1:12">
      <c r="A129" s="16">
        <v>45079</v>
      </c>
      <c r="B129" s="17" t="s">
        <v>10</v>
      </c>
      <c r="C129" s="18" t="s">
        <v>11</v>
      </c>
      <c r="D129" s="19" t="s">
        <v>50</v>
      </c>
      <c r="E129" s="18" t="s">
        <v>66</v>
      </c>
      <c r="F129" s="18"/>
      <c r="G129" s="18"/>
      <c r="H129" s="20">
        <f>I129*J129</f>
        <v>1280</v>
      </c>
      <c r="I129" s="20">
        <v>16</v>
      </c>
      <c r="J129" s="21">
        <v>80</v>
      </c>
      <c r="K129" s="21"/>
      <c r="L129" s="22"/>
    </row>
    <row r="130" spans="1:12">
      <c r="A130" s="23">
        <v>45079</v>
      </c>
      <c r="B130" s="5" t="s">
        <v>22</v>
      </c>
      <c r="C130" t="s">
        <v>35</v>
      </c>
      <c r="D130" s="25" t="s">
        <v>17</v>
      </c>
      <c r="E130" t="s">
        <v>70</v>
      </c>
      <c r="H130" s="10">
        <f>I130*J130</f>
        <v>1840</v>
      </c>
      <c r="I130" s="10">
        <v>23</v>
      </c>
      <c r="J130" s="13">
        <v>80</v>
      </c>
      <c r="L130" s="24"/>
    </row>
    <row r="131" spans="1:12">
      <c r="A131" s="26">
        <v>45079</v>
      </c>
      <c r="B131" s="27" t="s">
        <v>53</v>
      </c>
      <c r="C131" s="28" t="s">
        <v>11</v>
      </c>
      <c r="D131" s="28" t="s">
        <v>12</v>
      </c>
      <c r="E131" s="28" t="s">
        <v>66</v>
      </c>
      <c r="F131" s="28"/>
      <c r="G131" s="28"/>
      <c r="H131" s="29">
        <f>I131*J131</f>
        <v>2000</v>
      </c>
      <c r="I131" s="29">
        <v>20</v>
      </c>
      <c r="J131" s="30">
        <v>100</v>
      </c>
      <c r="K131" s="30"/>
      <c r="L131" s="31"/>
    </row>
    <row r="132" spans="1:12">
      <c r="H132">
        <v>5120</v>
      </c>
    </row>
    <row r="133" spans="1:12">
      <c r="A133" s="16">
        <v>45079</v>
      </c>
      <c r="B133" s="17" t="s">
        <v>10</v>
      </c>
      <c r="C133" s="18" t="s">
        <v>11</v>
      </c>
      <c r="D133" s="19" t="s">
        <v>50</v>
      </c>
      <c r="E133" s="18" t="s">
        <v>66</v>
      </c>
      <c r="F133" s="18"/>
      <c r="G133" s="18"/>
      <c r="H133" s="20">
        <f>I133*J133</f>
        <v>1280</v>
      </c>
      <c r="I133" s="20">
        <v>16</v>
      </c>
      <c r="J133" s="21">
        <v>80</v>
      </c>
      <c r="K133" s="21"/>
      <c r="L133" s="22"/>
    </row>
    <row r="134" spans="1:12">
      <c r="A134" s="23">
        <v>45079</v>
      </c>
      <c r="B134" s="5" t="s">
        <v>22</v>
      </c>
      <c r="C134" t="s">
        <v>35</v>
      </c>
      <c r="D134" s="25" t="s">
        <v>17</v>
      </c>
      <c r="E134" t="s">
        <v>70</v>
      </c>
      <c r="H134" s="10">
        <f>I134*J134</f>
        <v>1840</v>
      </c>
      <c r="I134" s="10">
        <v>23</v>
      </c>
      <c r="J134" s="13">
        <v>80</v>
      </c>
      <c r="L134" s="24"/>
    </row>
    <row r="135" spans="1:12">
      <c r="A135" s="26">
        <v>45079</v>
      </c>
      <c r="B135" s="27" t="s">
        <v>53</v>
      </c>
      <c r="C135" s="28" t="s">
        <v>11</v>
      </c>
      <c r="D135" s="28" t="s">
        <v>12</v>
      </c>
      <c r="E135" s="28" t="s">
        <v>66</v>
      </c>
      <c r="F135" s="28"/>
      <c r="G135" s="28"/>
      <c r="H135" s="29">
        <f>I135*J135</f>
        <v>2040</v>
      </c>
      <c r="I135" s="29">
        <v>20</v>
      </c>
      <c r="J135" s="30">
        <v>102</v>
      </c>
      <c r="K135" s="30"/>
      <c r="L135" s="31"/>
    </row>
    <row r="136" spans="1:12">
      <c r="H136">
        <v>5160</v>
      </c>
    </row>
    <row r="137" spans="1:12">
      <c r="A137" s="16">
        <v>45121</v>
      </c>
      <c r="B137" s="17" t="s">
        <v>10</v>
      </c>
      <c r="C137" s="18" t="s">
        <v>11</v>
      </c>
      <c r="D137" s="19" t="s">
        <v>50</v>
      </c>
      <c r="E137" s="18" t="s">
        <v>66</v>
      </c>
      <c r="F137" s="18"/>
      <c r="G137" s="18"/>
      <c r="H137" s="20">
        <f>I137*J137</f>
        <v>1280</v>
      </c>
      <c r="I137" s="20">
        <v>16</v>
      </c>
      <c r="J137" s="21">
        <v>80</v>
      </c>
      <c r="K137" s="21"/>
      <c r="L137" s="22"/>
    </row>
    <row r="138" spans="1:12">
      <c r="A138" s="23">
        <v>45121</v>
      </c>
      <c r="B138" s="5" t="s">
        <v>22</v>
      </c>
      <c r="C138" t="s">
        <v>35</v>
      </c>
      <c r="D138" s="25" t="s">
        <v>17</v>
      </c>
      <c r="E138" t="s">
        <v>70</v>
      </c>
      <c r="H138" s="10">
        <f>I138*J138</f>
        <v>1840</v>
      </c>
      <c r="I138" s="10">
        <v>23</v>
      </c>
      <c r="J138" s="13">
        <v>80</v>
      </c>
      <c r="L138" s="24"/>
    </row>
    <row r="139" spans="1:12">
      <c r="A139" s="26">
        <v>45121</v>
      </c>
      <c r="B139" s="27" t="s">
        <v>53</v>
      </c>
      <c r="C139" s="28" t="s">
        <v>11</v>
      </c>
      <c r="D139" s="28" t="s">
        <v>12</v>
      </c>
      <c r="E139" s="28" t="s">
        <v>66</v>
      </c>
      <c r="F139" s="28"/>
      <c r="G139" s="28"/>
      <c r="H139" s="29">
        <f>I139*J139</f>
        <v>2040</v>
      </c>
      <c r="I139" s="29">
        <v>20</v>
      </c>
      <c r="J139" s="30">
        <v>102</v>
      </c>
      <c r="K139" s="30"/>
      <c r="L139" s="31"/>
    </row>
    <row r="140" spans="1:12">
      <c r="A140" s="26">
        <v>45121</v>
      </c>
      <c r="B140" s="27" t="s">
        <v>34</v>
      </c>
      <c r="C140" s="28" t="s">
        <v>35</v>
      </c>
      <c r="D140" s="28" t="s">
        <v>36</v>
      </c>
      <c r="E140" s="28" t="s">
        <v>72</v>
      </c>
      <c r="F140" s="28"/>
      <c r="G140" s="28"/>
      <c r="H140" s="32">
        <v>1000</v>
      </c>
      <c r="I140" s="29"/>
      <c r="J140" s="30"/>
      <c r="K140" s="30"/>
      <c r="L140" s="31" t="s">
        <v>73</v>
      </c>
    </row>
    <row r="141" spans="1:12">
      <c r="H141" s="8"/>
    </row>
    <row r="142" spans="1:12">
      <c r="A142" s="16">
        <v>45121</v>
      </c>
      <c r="B142" s="17" t="s">
        <v>10</v>
      </c>
      <c r="C142" s="18" t="s">
        <v>11</v>
      </c>
      <c r="D142" s="19" t="s">
        <v>50</v>
      </c>
      <c r="E142" s="18" t="s">
        <v>66</v>
      </c>
      <c r="F142" s="18"/>
      <c r="G142" s="18"/>
      <c r="H142" s="20">
        <f>I142*J142</f>
        <v>1280</v>
      </c>
      <c r="I142" s="20">
        <v>16</v>
      </c>
      <c r="J142" s="21">
        <v>80</v>
      </c>
      <c r="K142" s="21"/>
      <c r="L142" s="22"/>
    </row>
    <row r="143" spans="1:12">
      <c r="A143" s="23">
        <v>45121</v>
      </c>
      <c r="B143" s="5" t="s">
        <v>22</v>
      </c>
      <c r="C143" t="s">
        <v>35</v>
      </c>
      <c r="D143" s="25" t="s">
        <v>17</v>
      </c>
      <c r="E143" t="s">
        <v>70</v>
      </c>
      <c r="H143" s="10">
        <f>I143*J143</f>
        <v>1840</v>
      </c>
      <c r="I143" s="10">
        <v>23</v>
      </c>
      <c r="J143" s="13">
        <v>80</v>
      </c>
      <c r="L143" s="24"/>
    </row>
    <row r="144" spans="1:12">
      <c r="A144" s="26">
        <v>45121</v>
      </c>
      <c r="B144" s="27" t="s">
        <v>53</v>
      </c>
      <c r="C144" s="28" t="s">
        <v>11</v>
      </c>
      <c r="D144" s="28" t="s">
        <v>12</v>
      </c>
      <c r="E144" s="28" t="s">
        <v>66</v>
      </c>
      <c r="F144" s="28"/>
      <c r="G144" s="28"/>
      <c r="H144" s="29">
        <f>I144*J144</f>
        <v>2040</v>
      </c>
      <c r="I144" s="29">
        <v>20</v>
      </c>
      <c r="J144" s="30">
        <v>102</v>
      </c>
      <c r="K144" s="30"/>
      <c r="L144" s="31"/>
    </row>
    <row r="145" spans="1:12">
      <c r="H145">
        <v>5160</v>
      </c>
    </row>
    <row r="146" spans="1:12">
      <c r="A146" s="16">
        <v>45149</v>
      </c>
      <c r="B146" s="17" t="s">
        <v>10</v>
      </c>
      <c r="C146" s="18" t="s">
        <v>11</v>
      </c>
      <c r="D146" s="19" t="s">
        <v>50</v>
      </c>
      <c r="E146" s="18" t="s">
        <v>66</v>
      </c>
      <c r="F146" s="18"/>
      <c r="G146" s="18"/>
      <c r="H146" s="20">
        <f>I146*J146</f>
        <v>1280</v>
      </c>
      <c r="I146" s="20">
        <v>16</v>
      </c>
      <c r="J146" s="21">
        <v>80</v>
      </c>
      <c r="K146" s="21"/>
      <c r="L146" s="22"/>
    </row>
    <row r="147" spans="1:12">
      <c r="A147" s="23">
        <v>45149</v>
      </c>
      <c r="B147" s="5" t="s">
        <v>22</v>
      </c>
      <c r="C147" t="s">
        <v>35</v>
      </c>
      <c r="D147" s="25" t="s">
        <v>17</v>
      </c>
      <c r="E147" t="s">
        <v>70</v>
      </c>
      <c r="H147" s="10">
        <f>I147*J147</f>
        <v>1840</v>
      </c>
      <c r="I147" s="10">
        <v>23</v>
      </c>
      <c r="J147" s="13">
        <v>80</v>
      </c>
      <c r="L147" s="24"/>
    </row>
    <row r="148" spans="1:12">
      <c r="A148" s="23">
        <v>45149</v>
      </c>
      <c r="B148" s="5" t="s">
        <v>53</v>
      </c>
      <c r="C148" t="s">
        <v>11</v>
      </c>
      <c r="D148" t="s">
        <v>12</v>
      </c>
      <c r="E148" t="s">
        <v>66</v>
      </c>
      <c r="H148" s="10">
        <f>I148*J148</f>
        <v>2040</v>
      </c>
      <c r="I148" s="10">
        <v>20</v>
      </c>
      <c r="J148" s="13">
        <v>102</v>
      </c>
      <c r="L148" s="24"/>
    </row>
    <row r="149" spans="1:12" s="28" customFormat="1">
      <c r="A149" s="26">
        <v>45149</v>
      </c>
      <c r="B149" s="27" t="s">
        <v>34</v>
      </c>
      <c r="C149" s="28" t="s">
        <v>35</v>
      </c>
      <c r="D149" s="28" t="s">
        <v>36</v>
      </c>
      <c r="E149" s="28" t="s">
        <v>72</v>
      </c>
      <c r="H149" s="32">
        <v>1000</v>
      </c>
      <c r="I149" s="29"/>
      <c r="J149" s="30"/>
      <c r="K149" s="30"/>
      <c r="L149" s="31" t="s">
        <v>74</v>
      </c>
    </row>
    <row r="151" spans="1:12">
      <c r="A151" s="16">
        <v>45163</v>
      </c>
      <c r="B151" s="17" t="s">
        <v>10</v>
      </c>
      <c r="C151" s="18" t="s">
        <v>11</v>
      </c>
      <c r="D151" s="19" t="s">
        <v>50</v>
      </c>
      <c r="E151" s="18" t="s">
        <v>66</v>
      </c>
      <c r="F151" s="18"/>
      <c r="G151" s="18"/>
      <c r="H151" s="20">
        <f>I151*J151</f>
        <v>1280</v>
      </c>
      <c r="I151" s="20">
        <v>16</v>
      </c>
      <c r="J151" s="21">
        <v>80</v>
      </c>
      <c r="K151" s="21"/>
      <c r="L151" s="22"/>
    </row>
    <row r="152" spans="1:12">
      <c r="A152" s="23">
        <v>45163</v>
      </c>
      <c r="B152" s="5" t="s">
        <v>22</v>
      </c>
      <c r="C152" t="s">
        <v>35</v>
      </c>
      <c r="D152" s="25" t="s">
        <v>17</v>
      </c>
      <c r="E152" t="s">
        <v>70</v>
      </c>
      <c r="H152" s="10">
        <f>I152*J152</f>
        <v>1840</v>
      </c>
      <c r="I152" s="10">
        <v>23</v>
      </c>
      <c r="J152" s="13">
        <v>80</v>
      </c>
      <c r="L152" s="24"/>
    </row>
    <row r="153" spans="1:12">
      <c r="A153" s="26">
        <v>45163</v>
      </c>
      <c r="B153" s="27" t="s">
        <v>53</v>
      </c>
      <c r="C153" s="28" t="s">
        <v>11</v>
      </c>
      <c r="D153" s="28" t="s">
        <v>12</v>
      </c>
      <c r="E153" s="28" t="s">
        <v>66</v>
      </c>
      <c r="F153" s="28"/>
      <c r="G153" s="28"/>
      <c r="H153" s="29">
        <f>I153*J153</f>
        <v>2040</v>
      </c>
      <c r="I153" s="29">
        <v>20</v>
      </c>
      <c r="J153" s="30">
        <v>102</v>
      </c>
      <c r="K153" s="30"/>
      <c r="L153" s="31"/>
    </row>
    <row r="154" spans="1:12">
      <c r="H154">
        <v>5160</v>
      </c>
    </row>
    <row r="155" spans="1:12">
      <c r="A155" s="16">
        <v>45177</v>
      </c>
      <c r="B155" s="17" t="s">
        <v>10</v>
      </c>
      <c r="C155" s="18" t="s">
        <v>11</v>
      </c>
      <c r="D155" s="19" t="s">
        <v>50</v>
      </c>
      <c r="E155" s="18" t="s">
        <v>66</v>
      </c>
      <c r="F155" s="18"/>
      <c r="G155" s="18"/>
      <c r="H155" s="20">
        <f>I155*J155</f>
        <v>1360</v>
      </c>
      <c r="I155" s="20">
        <v>16</v>
      </c>
      <c r="J155" s="21">
        <v>85</v>
      </c>
      <c r="K155" s="21"/>
      <c r="L155" s="22"/>
    </row>
    <row r="156" spans="1:12">
      <c r="A156" s="23">
        <v>45177</v>
      </c>
      <c r="B156" s="5" t="s">
        <v>22</v>
      </c>
      <c r="C156" t="s">
        <v>35</v>
      </c>
      <c r="D156" s="25" t="s">
        <v>17</v>
      </c>
      <c r="E156" t="s">
        <v>70</v>
      </c>
      <c r="H156" s="10">
        <f>I156*J156</f>
        <v>1840</v>
      </c>
      <c r="I156" s="10">
        <v>23</v>
      </c>
      <c r="J156" s="13">
        <v>80</v>
      </c>
      <c r="L156" s="24"/>
    </row>
    <row r="157" spans="1:12">
      <c r="A157" s="23">
        <v>45177</v>
      </c>
      <c r="B157" s="5" t="s">
        <v>53</v>
      </c>
      <c r="C157" t="s">
        <v>11</v>
      </c>
      <c r="D157" t="s">
        <v>12</v>
      </c>
      <c r="E157" t="s">
        <v>66</v>
      </c>
      <c r="H157" s="10">
        <f>I157*J157</f>
        <v>1840</v>
      </c>
      <c r="I157" s="10">
        <v>20</v>
      </c>
      <c r="J157" s="13">
        <v>92</v>
      </c>
      <c r="L157" s="24"/>
    </row>
    <row r="158" spans="1:12" s="28" customFormat="1">
      <c r="A158" s="23">
        <v>45177</v>
      </c>
      <c r="B158" s="5" t="s">
        <v>34</v>
      </c>
      <c r="C158" t="s">
        <v>35</v>
      </c>
      <c r="D158" t="s">
        <v>36</v>
      </c>
      <c r="E158" t="s">
        <v>72</v>
      </c>
      <c r="F158"/>
      <c r="G158"/>
      <c r="H158" s="8">
        <v>1000</v>
      </c>
      <c r="I158" s="10"/>
      <c r="J158" s="13"/>
      <c r="K158" s="13"/>
      <c r="L158" s="24" t="s">
        <v>75</v>
      </c>
    </row>
    <row r="159" spans="1:12">
      <c r="A159" s="26">
        <v>45177</v>
      </c>
      <c r="B159" s="27" t="s">
        <v>35</v>
      </c>
      <c r="C159" s="28" t="s">
        <v>35</v>
      </c>
      <c r="D159" s="34" t="s">
        <v>17</v>
      </c>
      <c r="E159" s="28" t="s">
        <v>76</v>
      </c>
      <c r="F159" s="28"/>
      <c r="G159" s="28"/>
      <c r="H159" s="32">
        <v>2500</v>
      </c>
      <c r="I159" s="29"/>
      <c r="J159" s="30"/>
      <c r="K159" s="30"/>
      <c r="L159" s="31" t="s">
        <v>77</v>
      </c>
    </row>
    <row r="160" spans="1:12">
      <c r="H160">
        <v>8540</v>
      </c>
    </row>
    <row r="161" spans="1:12">
      <c r="A161" s="16">
        <v>45191</v>
      </c>
      <c r="B161" s="17" t="s">
        <v>10</v>
      </c>
      <c r="C161" s="18" t="s">
        <v>11</v>
      </c>
      <c r="D161" s="19" t="s">
        <v>50</v>
      </c>
      <c r="E161" s="18" t="s">
        <v>66</v>
      </c>
      <c r="F161" s="18"/>
      <c r="G161" s="18"/>
      <c r="H161" s="20">
        <f>I161*J161</f>
        <v>1280</v>
      </c>
      <c r="I161" s="20">
        <v>16</v>
      </c>
      <c r="J161" s="21">
        <v>80</v>
      </c>
      <c r="K161" s="21"/>
      <c r="L161" s="22"/>
    </row>
    <row r="162" spans="1:12">
      <c r="A162" s="23">
        <v>45191</v>
      </c>
      <c r="B162" s="5" t="s">
        <v>22</v>
      </c>
      <c r="C162" t="s">
        <v>35</v>
      </c>
      <c r="D162" s="25" t="s">
        <v>17</v>
      </c>
      <c r="E162" t="s">
        <v>70</v>
      </c>
      <c r="H162" s="10">
        <f>I162*J162</f>
        <v>1840</v>
      </c>
      <c r="I162" s="10">
        <v>23</v>
      </c>
      <c r="J162" s="13">
        <v>80</v>
      </c>
      <c r="L162" s="24"/>
    </row>
    <row r="163" spans="1:12">
      <c r="A163" s="26">
        <v>45191</v>
      </c>
      <c r="B163" s="27" t="s">
        <v>53</v>
      </c>
      <c r="C163" s="28" t="s">
        <v>11</v>
      </c>
      <c r="D163" s="28" t="s">
        <v>12</v>
      </c>
      <c r="E163" s="28" t="s">
        <v>66</v>
      </c>
      <c r="F163" s="28"/>
      <c r="G163" s="28"/>
      <c r="H163" s="29">
        <f>I163*J163</f>
        <v>2040</v>
      </c>
      <c r="I163" s="29">
        <v>20</v>
      </c>
      <c r="J163" s="30">
        <v>102</v>
      </c>
      <c r="K163" s="30"/>
      <c r="L163" s="31"/>
    </row>
    <row r="164" spans="1:12">
      <c r="H164" s="10">
        <f>SUM(H161:H163)</f>
        <v>5160</v>
      </c>
    </row>
    <row r="165" spans="1:12">
      <c r="A165" s="16">
        <v>45205</v>
      </c>
      <c r="B165" s="17" t="s">
        <v>10</v>
      </c>
      <c r="C165" s="18" t="s">
        <v>11</v>
      </c>
      <c r="D165" s="19" t="s">
        <v>50</v>
      </c>
      <c r="E165" s="18" t="s">
        <v>66</v>
      </c>
      <c r="F165" s="18"/>
      <c r="G165" s="18"/>
      <c r="H165" s="20">
        <f>I165*J165</f>
        <v>1280</v>
      </c>
      <c r="I165" s="20">
        <v>16</v>
      </c>
      <c r="J165" s="21">
        <v>80</v>
      </c>
      <c r="K165" s="21"/>
      <c r="L165" s="22"/>
    </row>
    <row r="166" spans="1:12">
      <c r="A166" s="16">
        <v>45205</v>
      </c>
      <c r="B166" s="5" t="s">
        <v>22</v>
      </c>
      <c r="C166" t="s">
        <v>35</v>
      </c>
      <c r="D166" s="25" t="s">
        <v>17</v>
      </c>
      <c r="E166" t="s">
        <v>70</v>
      </c>
      <c r="H166" s="10">
        <f>I166*J166</f>
        <v>1840</v>
      </c>
      <c r="I166" s="10">
        <v>23</v>
      </c>
      <c r="J166" s="13">
        <v>80</v>
      </c>
      <c r="L166" s="24"/>
    </row>
    <row r="167" spans="1:12">
      <c r="A167" s="16">
        <v>45205</v>
      </c>
      <c r="B167" s="5" t="s">
        <v>53</v>
      </c>
      <c r="C167" t="s">
        <v>11</v>
      </c>
      <c r="D167" t="s">
        <v>12</v>
      </c>
      <c r="E167" t="s">
        <v>66</v>
      </c>
      <c r="H167" s="10">
        <f>I167*J167</f>
        <v>2040</v>
      </c>
      <c r="I167" s="10">
        <v>20</v>
      </c>
      <c r="J167" s="13">
        <v>102</v>
      </c>
      <c r="L167" s="24"/>
    </row>
    <row r="168" spans="1:12">
      <c r="A168" s="16">
        <v>45205</v>
      </c>
      <c r="B168" s="27" t="s">
        <v>35</v>
      </c>
      <c r="C168" s="28" t="s">
        <v>35</v>
      </c>
      <c r="D168" s="34" t="s">
        <v>17</v>
      </c>
      <c r="E168" s="28" t="s">
        <v>78</v>
      </c>
      <c r="F168" s="28"/>
      <c r="G168" s="28"/>
      <c r="H168" s="32">
        <v>2500</v>
      </c>
      <c r="I168" s="29"/>
      <c r="J168" s="30"/>
      <c r="K168" s="30"/>
      <c r="L168" s="31" t="s">
        <v>79</v>
      </c>
    </row>
    <row r="169" spans="1:12">
      <c r="H169" s="10">
        <f>SUM(H165:H168)</f>
        <v>7660</v>
      </c>
    </row>
    <row r="170" spans="1:12">
      <c r="A170" s="16">
        <v>45219</v>
      </c>
      <c r="B170" s="17" t="s">
        <v>10</v>
      </c>
      <c r="C170" s="18" t="s">
        <v>11</v>
      </c>
      <c r="D170" s="19" t="s">
        <v>50</v>
      </c>
      <c r="E170" s="18" t="s">
        <v>66</v>
      </c>
      <c r="F170" s="18"/>
      <c r="G170" s="18"/>
      <c r="H170" s="20">
        <f>I170*J170</f>
        <v>1408</v>
      </c>
      <c r="I170" s="20">
        <v>16</v>
      </c>
      <c r="J170" s="21">
        <v>88</v>
      </c>
      <c r="K170" s="21"/>
      <c r="L170" s="22" t="s">
        <v>80</v>
      </c>
    </row>
    <row r="171" spans="1:12">
      <c r="A171" s="16">
        <v>45219</v>
      </c>
      <c r="B171" s="5" t="s">
        <v>22</v>
      </c>
      <c r="C171" t="s">
        <v>35</v>
      </c>
      <c r="D171" s="25" t="s">
        <v>17</v>
      </c>
      <c r="E171" t="s">
        <v>70</v>
      </c>
      <c r="H171" s="10">
        <f>I171*J171</f>
        <v>1840</v>
      </c>
      <c r="I171" s="10">
        <v>23</v>
      </c>
      <c r="J171" s="13">
        <v>80</v>
      </c>
      <c r="L171" s="24"/>
    </row>
    <row r="172" spans="1:12">
      <c r="A172" s="35">
        <v>45219</v>
      </c>
      <c r="B172" s="27" t="s">
        <v>53</v>
      </c>
      <c r="C172" s="28" t="s">
        <v>11</v>
      </c>
      <c r="D172" s="28" t="s">
        <v>12</v>
      </c>
      <c r="E172" s="28" t="s">
        <v>66</v>
      </c>
      <c r="F172" s="28"/>
      <c r="G172" s="28"/>
      <c r="H172" s="29">
        <f>I172*J172</f>
        <v>2040</v>
      </c>
      <c r="I172" s="29">
        <v>20</v>
      </c>
      <c r="J172" s="30">
        <v>102</v>
      </c>
      <c r="K172" s="30"/>
      <c r="L172" s="31"/>
    </row>
    <row r="173" spans="1:12">
      <c r="H173" s="33">
        <f>SUM(H170:H172)</f>
        <v>5288</v>
      </c>
    </row>
    <row r="174" spans="1:12">
      <c r="A174" s="16">
        <v>45233</v>
      </c>
      <c r="B174" s="17" t="s">
        <v>10</v>
      </c>
      <c r="C174" s="18" t="s">
        <v>11</v>
      </c>
      <c r="D174" s="19" t="s">
        <v>50</v>
      </c>
      <c r="E174" s="18" t="s">
        <v>66</v>
      </c>
      <c r="F174" s="18"/>
      <c r="G174" s="18"/>
      <c r="H174" s="20">
        <f>I174*J174</f>
        <v>1440</v>
      </c>
      <c r="I174" s="20">
        <v>16</v>
      </c>
      <c r="J174" s="21">
        <v>90</v>
      </c>
      <c r="K174" s="21"/>
      <c r="L174" s="22"/>
    </row>
    <row r="175" spans="1:12">
      <c r="A175" s="16">
        <v>45233</v>
      </c>
      <c r="B175" s="5" t="s">
        <v>22</v>
      </c>
      <c r="C175" t="s">
        <v>35</v>
      </c>
      <c r="D175" s="25" t="s">
        <v>17</v>
      </c>
      <c r="E175" t="s">
        <v>70</v>
      </c>
      <c r="H175" s="10">
        <f>I175*J175</f>
        <v>1840</v>
      </c>
      <c r="I175" s="10">
        <v>23</v>
      </c>
      <c r="J175" s="13">
        <v>80</v>
      </c>
      <c r="L175" s="24"/>
    </row>
    <row r="176" spans="1:12">
      <c r="A176" s="16">
        <v>45233</v>
      </c>
      <c r="B176" s="5" t="s">
        <v>53</v>
      </c>
      <c r="C176" t="s">
        <v>11</v>
      </c>
      <c r="D176" t="s">
        <v>12</v>
      </c>
      <c r="E176" t="s">
        <v>66</v>
      </c>
      <c r="H176" s="10">
        <f>I176*J176</f>
        <v>2040</v>
      </c>
      <c r="I176" s="10">
        <v>20</v>
      </c>
      <c r="J176" s="13">
        <v>102</v>
      </c>
      <c r="L176" s="24"/>
    </row>
    <row r="177" spans="1:12">
      <c r="A177" s="16">
        <v>45233</v>
      </c>
      <c r="B177" s="27" t="s">
        <v>35</v>
      </c>
      <c r="C177" s="28" t="s">
        <v>35</v>
      </c>
      <c r="D177" s="34" t="s">
        <v>17</v>
      </c>
      <c r="E177" s="28" t="s">
        <v>81</v>
      </c>
      <c r="F177" s="28"/>
      <c r="G177" s="28"/>
      <c r="H177" s="32">
        <v>2500</v>
      </c>
      <c r="I177" s="29"/>
      <c r="J177" s="30"/>
      <c r="K177" s="30"/>
      <c r="L177" s="31" t="s">
        <v>82</v>
      </c>
    </row>
    <row r="178" spans="1:12">
      <c r="H178" s="10">
        <f>SUM(H174:H177)</f>
        <v>7820</v>
      </c>
      <c r="L178" s="5" t="s">
        <v>83</v>
      </c>
    </row>
    <row r="179" spans="1:12">
      <c r="A179" s="16">
        <v>45247</v>
      </c>
      <c r="B179" s="17" t="s">
        <v>10</v>
      </c>
      <c r="C179" s="18" t="s">
        <v>11</v>
      </c>
      <c r="D179" s="19" t="s">
        <v>50</v>
      </c>
      <c r="E179" s="18" t="s">
        <v>66</v>
      </c>
      <c r="F179" s="18"/>
      <c r="G179" s="18"/>
      <c r="H179" s="20">
        <f>I179*J179</f>
        <v>1280</v>
      </c>
      <c r="I179" s="20">
        <v>16</v>
      </c>
      <c r="J179" s="21">
        <v>80</v>
      </c>
      <c r="K179" s="21"/>
      <c r="L179" s="22"/>
    </row>
    <row r="180" spans="1:12">
      <c r="A180" s="16">
        <v>45247</v>
      </c>
      <c r="B180" s="5" t="s">
        <v>22</v>
      </c>
      <c r="C180" t="s">
        <v>35</v>
      </c>
      <c r="D180" s="25" t="s">
        <v>17</v>
      </c>
      <c r="E180" t="s">
        <v>70</v>
      </c>
      <c r="H180" s="10">
        <f>I180*J180</f>
        <v>1840</v>
      </c>
      <c r="I180" s="10">
        <v>23</v>
      </c>
      <c r="J180" s="13">
        <v>80</v>
      </c>
      <c r="L180" s="24"/>
    </row>
    <row r="181" spans="1:12">
      <c r="A181" s="16">
        <v>45247</v>
      </c>
      <c r="B181" s="27" t="s">
        <v>53</v>
      </c>
      <c r="C181" s="28" t="s">
        <v>11</v>
      </c>
      <c r="D181" s="28" t="s">
        <v>12</v>
      </c>
      <c r="E181" s="28" t="s">
        <v>66</v>
      </c>
      <c r="F181" s="28"/>
      <c r="G181" s="28"/>
      <c r="H181" s="29">
        <f>I181*J181</f>
        <v>2040</v>
      </c>
      <c r="I181" s="29">
        <v>20</v>
      </c>
      <c r="J181" s="30">
        <v>102</v>
      </c>
      <c r="K181" s="30"/>
      <c r="L181" s="31"/>
    </row>
    <row r="182" spans="1:12">
      <c r="H182" s="10">
        <f>SUM(H179:H181)</f>
        <v>5160</v>
      </c>
    </row>
    <row r="183" spans="1:12">
      <c r="A183" s="16">
        <v>45261</v>
      </c>
      <c r="B183" s="17" t="s">
        <v>10</v>
      </c>
      <c r="C183" s="18" t="s">
        <v>11</v>
      </c>
      <c r="D183" s="19" t="s">
        <v>50</v>
      </c>
      <c r="E183" s="18" t="s">
        <v>66</v>
      </c>
      <c r="F183" s="18"/>
      <c r="G183" s="18"/>
      <c r="H183" s="20">
        <f>I183*J183</f>
        <v>1312</v>
      </c>
      <c r="I183" s="20">
        <v>16</v>
      </c>
      <c r="J183" s="21">
        <v>82</v>
      </c>
      <c r="K183" s="21"/>
      <c r="L183" s="22" t="s">
        <v>84</v>
      </c>
    </row>
    <row r="184" spans="1:12">
      <c r="A184" s="16">
        <v>45261</v>
      </c>
      <c r="B184" s="5" t="s">
        <v>22</v>
      </c>
      <c r="C184" t="s">
        <v>35</v>
      </c>
      <c r="D184" s="25" t="s">
        <v>17</v>
      </c>
      <c r="E184" t="s">
        <v>70</v>
      </c>
      <c r="H184" s="10">
        <f>I184*J184</f>
        <v>1840</v>
      </c>
      <c r="I184" s="10">
        <v>23</v>
      </c>
      <c r="J184" s="13">
        <v>80</v>
      </c>
      <c r="L184" s="24"/>
    </row>
    <row r="185" spans="1:12">
      <c r="A185" s="16">
        <v>45261</v>
      </c>
      <c r="B185" s="5" t="s">
        <v>53</v>
      </c>
      <c r="C185" t="s">
        <v>11</v>
      </c>
      <c r="D185" t="s">
        <v>12</v>
      </c>
      <c r="E185" t="s">
        <v>66</v>
      </c>
      <c r="H185" s="10">
        <f>I185*J185</f>
        <v>2040</v>
      </c>
      <c r="I185" s="10">
        <v>20</v>
      </c>
      <c r="J185" s="13">
        <v>102</v>
      </c>
      <c r="L185" s="24"/>
    </row>
    <row r="186" spans="1:12">
      <c r="A186" s="16">
        <v>45261</v>
      </c>
      <c r="B186" s="27" t="s">
        <v>35</v>
      </c>
      <c r="C186" s="28" t="s">
        <v>35</v>
      </c>
      <c r="D186" s="34" t="s">
        <v>17</v>
      </c>
      <c r="E186" s="28" t="s">
        <v>85</v>
      </c>
      <c r="F186" s="28"/>
      <c r="G186" s="28"/>
      <c r="H186" s="32">
        <v>2500</v>
      </c>
      <c r="I186" s="29"/>
      <c r="J186" s="30"/>
      <c r="K186" s="30"/>
      <c r="L186" s="31" t="s">
        <v>86</v>
      </c>
    </row>
    <row r="187" spans="1:12">
      <c r="H187" s="10">
        <f>SUM(H183:H186)</f>
        <v>7692</v>
      </c>
    </row>
    <row r="188" spans="1:12">
      <c r="A188" s="16">
        <v>45275</v>
      </c>
      <c r="B188" s="17" t="s">
        <v>10</v>
      </c>
      <c r="C188" s="18" t="s">
        <v>11</v>
      </c>
      <c r="D188" s="19" t="s">
        <v>50</v>
      </c>
      <c r="E188" s="18" t="s">
        <v>66</v>
      </c>
      <c r="F188" s="18"/>
      <c r="G188" s="18"/>
      <c r="H188" s="20">
        <f>I188*J188</f>
        <v>1280</v>
      </c>
      <c r="I188" s="20">
        <v>16</v>
      </c>
      <c r="J188" s="21">
        <v>80</v>
      </c>
      <c r="K188" s="21"/>
      <c r="L188" s="22"/>
    </row>
    <row r="189" spans="1:12">
      <c r="A189" s="16">
        <v>45275</v>
      </c>
      <c r="B189" s="5" t="s">
        <v>22</v>
      </c>
      <c r="C189" t="s">
        <v>35</v>
      </c>
      <c r="D189" s="25" t="s">
        <v>17</v>
      </c>
      <c r="E189" t="s">
        <v>70</v>
      </c>
      <c r="H189" s="10">
        <f>I189*J189</f>
        <v>1840</v>
      </c>
      <c r="I189" s="10">
        <v>23</v>
      </c>
      <c r="J189" s="13">
        <v>80</v>
      </c>
      <c r="L189" s="24"/>
    </row>
    <row r="190" spans="1:12">
      <c r="A190" s="16">
        <v>45275</v>
      </c>
      <c r="B190" s="27" t="s">
        <v>53</v>
      </c>
      <c r="C190" s="28" t="s">
        <v>11</v>
      </c>
      <c r="D190" s="28" t="s">
        <v>12</v>
      </c>
      <c r="E190" s="28" t="s">
        <v>66</v>
      </c>
      <c r="F190" s="28"/>
      <c r="G190" s="28"/>
      <c r="H190" s="29">
        <f>I190*J190</f>
        <v>2040</v>
      </c>
      <c r="I190" s="29">
        <v>20</v>
      </c>
      <c r="J190" s="30">
        <v>102</v>
      </c>
      <c r="K190" s="30"/>
      <c r="L190" s="31"/>
    </row>
    <row r="191" spans="1:12">
      <c r="H191" s="10">
        <f>SUM(H188:H190)</f>
        <v>5160</v>
      </c>
    </row>
    <row r="192" spans="1:12">
      <c r="A192" s="16">
        <v>45289</v>
      </c>
      <c r="B192" s="17" t="s">
        <v>10</v>
      </c>
      <c r="C192" s="18" t="s">
        <v>11</v>
      </c>
      <c r="D192" s="19" t="s">
        <v>50</v>
      </c>
      <c r="E192" s="18" t="s">
        <v>66</v>
      </c>
      <c r="F192" s="18"/>
      <c r="G192" s="18"/>
      <c r="H192" s="20">
        <f>I192*J192</f>
        <v>1280</v>
      </c>
      <c r="I192" s="20">
        <v>16</v>
      </c>
      <c r="J192" s="21">
        <v>80</v>
      </c>
      <c r="K192" s="21"/>
      <c r="L192" s="22"/>
    </row>
    <row r="193" spans="1:12">
      <c r="A193" s="16">
        <v>45289</v>
      </c>
      <c r="B193" s="5" t="s">
        <v>22</v>
      </c>
      <c r="C193" t="s">
        <v>35</v>
      </c>
      <c r="D193" s="25" t="s">
        <v>17</v>
      </c>
      <c r="E193" t="s">
        <v>70</v>
      </c>
      <c r="H193" s="10">
        <f>I193*J193</f>
        <v>1840</v>
      </c>
      <c r="I193" s="10">
        <v>23</v>
      </c>
      <c r="J193" s="13">
        <v>80</v>
      </c>
      <c r="L193" s="24"/>
    </row>
    <row r="194" spans="1:12">
      <c r="A194" s="16">
        <v>45289</v>
      </c>
      <c r="B194" s="5" t="s">
        <v>53</v>
      </c>
      <c r="C194" t="s">
        <v>11</v>
      </c>
      <c r="D194" t="s">
        <v>12</v>
      </c>
      <c r="E194" t="s">
        <v>66</v>
      </c>
      <c r="H194" s="10">
        <f>I194*J194</f>
        <v>2040</v>
      </c>
      <c r="I194" s="10">
        <v>20</v>
      </c>
      <c r="J194" s="13">
        <v>102</v>
      </c>
      <c r="L194" s="24"/>
    </row>
    <row r="195" spans="1:12">
      <c r="A195" s="16">
        <v>45289</v>
      </c>
      <c r="B195" s="27" t="s">
        <v>35</v>
      </c>
      <c r="C195" s="28" t="s">
        <v>35</v>
      </c>
      <c r="D195" s="34" t="s">
        <v>17</v>
      </c>
      <c r="E195" s="28" t="s">
        <v>85</v>
      </c>
      <c r="F195" s="28"/>
      <c r="G195" s="28"/>
      <c r="H195" s="32">
        <v>2500</v>
      </c>
      <c r="I195" s="29"/>
      <c r="J195" s="30"/>
      <c r="K195" s="30"/>
      <c r="L195" s="31" t="s">
        <v>52</v>
      </c>
    </row>
    <row r="196" spans="1:12">
      <c r="H196" s="10">
        <f>SUM(H192:H195)</f>
        <v>7660</v>
      </c>
    </row>
    <row r="197" spans="1:12">
      <c r="A197" s="16">
        <v>45303</v>
      </c>
      <c r="B197" s="17" t="s">
        <v>10</v>
      </c>
      <c r="C197" s="18" t="s">
        <v>11</v>
      </c>
      <c r="D197" s="19" t="s">
        <v>50</v>
      </c>
      <c r="E197" s="18" t="s">
        <v>66</v>
      </c>
      <c r="F197" s="18"/>
      <c r="G197" s="18"/>
      <c r="H197" s="20">
        <f>I197*J197</f>
        <v>1280</v>
      </c>
      <c r="I197" s="20">
        <v>16</v>
      </c>
      <c r="J197" s="21">
        <v>80</v>
      </c>
      <c r="K197" s="21"/>
      <c r="L197" s="22"/>
    </row>
    <row r="198" spans="1:12">
      <c r="A198" s="16">
        <v>45303</v>
      </c>
      <c r="B198" s="5" t="s">
        <v>22</v>
      </c>
      <c r="C198" t="s">
        <v>35</v>
      </c>
      <c r="D198" s="25" t="s">
        <v>17</v>
      </c>
      <c r="E198" t="s">
        <v>70</v>
      </c>
      <c r="H198" s="10">
        <f>I198*J198</f>
        <v>1840</v>
      </c>
      <c r="I198" s="10">
        <v>23</v>
      </c>
      <c r="J198" s="13">
        <v>80</v>
      </c>
      <c r="L198" s="24"/>
    </row>
    <row r="199" spans="1:12">
      <c r="A199" s="16">
        <v>45303</v>
      </c>
      <c r="B199" s="27" t="s">
        <v>53</v>
      </c>
      <c r="C199" s="28" t="s">
        <v>11</v>
      </c>
      <c r="D199" s="28" t="s">
        <v>12</v>
      </c>
      <c r="E199" s="28" t="s">
        <v>66</v>
      </c>
      <c r="F199" s="28"/>
      <c r="G199" s="28"/>
      <c r="H199" s="29">
        <f>I199*J199</f>
        <v>2040</v>
      </c>
      <c r="I199" s="29">
        <v>20</v>
      </c>
      <c r="J199" s="30">
        <v>102</v>
      </c>
      <c r="K199" s="30"/>
      <c r="L199" s="31"/>
    </row>
    <row r="200" spans="1:12">
      <c r="H200" s="10">
        <f>SUM(H197:H199)</f>
        <v>5160</v>
      </c>
    </row>
    <row r="201" spans="1:12">
      <c r="A201" s="16">
        <v>45315</v>
      </c>
      <c r="B201" s="17" t="s">
        <v>10</v>
      </c>
      <c r="C201" s="18" t="s">
        <v>11</v>
      </c>
      <c r="D201" s="19" t="s">
        <v>50</v>
      </c>
      <c r="E201" s="18" t="s">
        <v>66</v>
      </c>
      <c r="F201" s="18"/>
      <c r="G201" s="18"/>
      <c r="H201" s="20">
        <f>I201*J201</f>
        <v>1280</v>
      </c>
      <c r="I201" s="20">
        <v>16</v>
      </c>
      <c r="J201" s="21">
        <v>80</v>
      </c>
      <c r="K201" s="21"/>
      <c r="L201" s="22"/>
    </row>
    <row r="202" spans="1:12">
      <c r="A202" s="16">
        <v>45315</v>
      </c>
      <c r="B202" s="5" t="s">
        <v>22</v>
      </c>
      <c r="C202" t="s">
        <v>35</v>
      </c>
      <c r="D202" s="25" t="s">
        <v>17</v>
      </c>
      <c r="E202" t="s">
        <v>70</v>
      </c>
      <c r="H202" s="10">
        <f>I202*J202</f>
        <v>1840</v>
      </c>
      <c r="I202" s="10">
        <v>23</v>
      </c>
      <c r="J202" s="13">
        <v>80</v>
      </c>
      <c r="L202" s="24"/>
    </row>
    <row r="203" spans="1:12">
      <c r="A203" s="16">
        <v>45315</v>
      </c>
      <c r="B203" s="5" t="s">
        <v>53</v>
      </c>
      <c r="C203" t="s">
        <v>11</v>
      </c>
      <c r="D203" t="s">
        <v>12</v>
      </c>
      <c r="E203" t="s">
        <v>66</v>
      </c>
      <c r="H203" s="10">
        <f>I203*J203</f>
        <v>2040</v>
      </c>
      <c r="I203" s="10">
        <v>20</v>
      </c>
      <c r="J203" s="13">
        <v>102</v>
      </c>
      <c r="L203" s="24"/>
    </row>
    <row r="204" spans="1:12">
      <c r="A204" s="16">
        <v>45315</v>
      </c>
      <c r="B204" s="27" t="s">
        <v>35</v>
      </c>
      <c r="C204" s="28" t="s">
        <v>35</v>
      </c>
      <c r="D204" s="34" t="s">
        <v>17</v>
      </c>
      <c r="E204" s="28" t="s">
        <v>85</v>
      </c>
      <c r="F204" s="28"/>
      <c r="G204" s="28"/>
      <c r="H204" s="32">
        <v>2500</v>
      </c>
      <c r="I204" s="29"/>
      <c r="J204" s="30"/>
      <c r="K204" s="30"/>
      <c r="L204" s="31" t="s">
        <v>87</v>
      </c>
    </row>
    <row r="205" spans="1:12">
      <c r="H205" s="10">
        <f>SUM(H201:H204)</f>
        <v>7660</v>
      </c>
    </row>
    <row r="206" spans="1:12">
      <c r="A206" s="16">
        <v>45331</v>
      </c>
      <c r="B206" s="17" t="s">
        <v>10</v>
      </c>
      <c r="C206" s="18" t="s">
        <v>11</v>
      </c>
      <c r="D206" s="19" t="s">
        <v>50</v>
      </c>
      <c r="E206" s="18" t="s">
        <v>66</v>
      </c>
      <c r="F206" s="18"/>
      <c r="G206" s="18"/>
      <c r="H206" s="20">
        <f>I206*J206</f>
        <v>1280</v>
      </c>
      <c r="I206" s="20">
        <v>16</v>
      </c>
      <c r="J206" s="21">
        <v>80</v>
      </c>
      <c r="K206" s="21"/>
      <c r="L206" s="22"/>
    </row>
    <row r="207" spans="1:12">
      <c r="A207" s="16">
        <v>45331</v>
      </c>
      <c r="B207" s="5" t="s">
        <v>22</v>
      </c>
      <c r="C207" t="s">
        <v>35</v>
      </c>
      <c r="D207" s="25" t="s">
        <v>17</v>
      </c>
      <c r="E207" t="s">
        <v>70</v>
      </c>
      <c r="H207" s="10">
        <f>I207*J207</f>
        <v>1840</v>
      </c>
      <c r="I207" s="10">
        <v>23</v>
      </c>
      <c r="J207" s="13">
        <v>80</v>
      </c>
      <c r="L207" s="24"/>
    </row>
    <row r="208" spans="1:12">
      <c r="A208" s="16">
        <v>45331</v>
      </c>
      <c r="B208" s="27" t="s">
        <v>53</v>
      </c>
      <c r="C208" s="28" t="s">
        <v>11</v>
      </c>
      <c r="D208" s="28" t="s">
        <v>12</v>
      </c>
      <c r="E208" s="28" t="s">
        <v>66</v>
      </c>
      <c r="F208" s="28"/>
      <c r="G208" s="28"/>
      <c r="H208" s="29">
        <f>I208*J208</f>
        <v>2020</v>
      </c>
      <c r="I208" s="29">
        <v>20</v>
      </c>
      <c r="J208" s="30">
        <v>101</v>
      </c>
      <c r="K208" s="30"/>
      <c r="L208" s="31"/>
    </row>
    <row r="209" spans="1:13">
      <c r="H209" s="10">
        <f>SUM(H206:H208)</f>
        <v>5140</v>
      </c>
    </row>
    <row r="210" spans="1:13">
      <c r="A210" s="16">
        <v>45345</v>
      </c>
      <c r="B210" s="17" t="s">
        <v>10</v>
      </c>
      <c r="C210" s="18" t="s">
        <v>11</v>
      </c>
      <c r="D210" s="19" t="s">
        <v>50</v>
      </c>
      <c r="E210" s="18" t="s">
        <v>66</v>
      </c>
      <c r="F210" s="18"/>
      <c r="G210" s="18"/>
      <c r="H210" s="20">
        <f>I210*J210</f>
        <v>1280</v>
      </c>
      <c r="I210" s="20">
        <v>16</v>
      </c>
      <c r="J210" s="21">
        <v>80</v>
      </c>
      <c r="K210" s="21"/>
      <c r="L210" s="22"/>
    </row>
    <row r="211" spans="1:13">
      <c r="A211" s="16">
        <v>45345</v>
      </c>
      <c r="B211" s="5" t="s">
        <v>22</v>
      </c>
      <c r="C211" t="s">
        <v>35</v>
      </c>
      <c r="D211" s="25" t="s">
        <v>17</v>
      </c>
      <c r="E211" t="s">
        <v>70</v>
      </c>
      <c r="H211" s="10">
        <f>I211*J211</f>
        <v>1840</v>
      </c>
      <c r="I211" s="10">
        <v>23</v>
      </c>
      <c r="J211" s="13">
        <v>80</v>
      </c>
      <c r="L211" s="24"/>
    </row>
    <row r="212" spans="1:13">
      <c r="A212" s="16">
        <v>45345</v>
      </c>
      <c r="B212" s="5" t="s">
        <v>53</v>
      </c>
      <c r="C212" t="s">
        <v>11</v>
      </c>
      <c r="D212" t="s">
        <v>12</v>
      </c>
      <c r="E212" t="s">
        <v>66</v>
      </c>
      <c r="H212" s="10">
        <f>I212*J212</f>
        <v>2000</v>
      </c>
      <c r="I212" s="10">
        <v>20</v>
      </c>
      <c r="J212" s="13">
        <v>100</v>
      </c>
      <c r="L212" s="24"/>
    </row>
    <row r="213" spans="1:13">
      <c r="A213" s="16">
        <v>45345</v>
      </c>
      <c r="B213" s="27" t="s">
        <v>35</v>
      </c>
      <c r="C213" s="28" t="s">
        <v>35</v>
      </c>
      <c r="D213" s="34" t="s">
        <v>17</v>
      </c>
      <c r="E213" s="28" t="s">
        <v>85</v>
      </c>
      <c r="F213" s="28"/>
      <c r="G213" s="28"/>
      <c r="H213" s="32">
        <v>2500</v>
      </c>
      <c r="I213" s="29"/>
      <c r="J213" s="30"/>
      <c r="K213" s="30"/>
      <c r="L213" s="31" t="s">
        <v>88</v>
      </c>
      <c r="M213">
        <f>650*2</f>
        <v>1300</v>
      </c>
    </row>
    <row r="214" spans="1:13">
      <c r="H214" s="10">
        <f>SUM(H210:H213)</f>
        <v>7620</v>
      </c>
    </row>
    <row r="215" spans="1:13">
      <c r="A215" s="16">
        <v>45359</v>
      </c>
      <c r="B215" s="17" t="s">
        <v>10</v>
      </c>
      <c r="C215" s="18" t="s">
        <v>11</v>
      </c>
      <c r="D215" s="19" t="s">
        <v>50</v>
      </c>
      <c r="E215" s="18" t="s">
        <v>66</v>
      </c>
      <c r="F215" s="18"/>
      <c r="G215" s="18"/>
      <c r="H215" s="20">
        <f>I215*J215</f>
        <v>1280</v>
      </c>
      <c r="I215" s="20">
        <v>16</v>
      </c>
      <c r="J215" s="21">
        <v>80</v>
      </c>
      <c r="K215" s="21"/>
      <c r="L215" s="22"/>
    </row>
    <row r="216" spans="1:13">
      <c r="A216" s="23">
        <v>45359</v>
      </c>
      <c r="B216" s="5" t="s">
        <v>22</v>
      </c>
      <c r="C216" t="s">
        <v>35</v>
      </c>
      <c r="D216" s="25" t="s">
        <v>17</v>
      </c>
      <c r="E216" t="s">
        <v>70</v>
      </c>
      <c r="H216" s="10">
        <f>I216*J216</f>
        <v>1840</v>
      </c>
      <c r="I216" s="10">
        <v>23</v>
      </c>
      <c r="J216" s="13">
        <v>80</v>
      </c>
      <c r="L216" s="24"/>
    </row>
    <row r="217" spans="1:13">
      <c r="A217" s="23">
        <v>45359</v>
      </c>
      <c r="B217" s="5" t="s">
        <v>53</v>
      </c>
      <c r="C217" t="s">
        <v>11</v>
      </c>
      <c r="D217" t="s">
        <v>12</v>
      </c>
      <c r="E217" t="s">
        <v>66</v>
      </c>
      <c r="H217" s="10">
        <f>I217*J217</f>
        <v>2500</v>
      </c>
      <c r="I217" s="10">
        <v>25</v>
      </c>
      <c r="J217" s="13">
        <v>100</v>
      </c>
      <c r="L217" s="24" t="s">
        <v>89</v>
      </c>
    </row>
    <row r="218" spans="1:13">
      <c r="A218" s="26">
        <v>45359</v>
      </c>
      <c r="B218" s="27" t="s">
        <v>90</v>
      </c>
      <c r="C218" s="28" t="s">
        <v>11</v>
      </c>
      <c r="D218" s="36" t="s">
        <v>91</v>
      </c>
      <c r="E218" s="28" t="s">
        <v>66</v>
      </c>
      <c r="F218" s="28"/>
      <c r="G218" s="28"/>
      <c r="H218" s="29">
        <f>I218*J218</f>
        <v>650</v>
      </c>
      <c r="I218" s="29">
        <v>16.25</v>
      </c>
      <c r="J218" s="30">
        <v>40</v>
      </c>
      <c r="K218" s="30"/>
      <c r="L218" s="31" t="s">
        <v>92</v>
      </c>
    </row>
    <row r="219" spans="1:13">
      <c r="H219" s="10">
        <f>SUM(H215:H218)</f>
        <v>6270</v>
      </c>
    </row>
    <row r="220" spans="1:13">
      <c r="A220" s="16">
        <v>45373</v>
      </c>
      <c r="B220" s="17" t="s">
        <v>10</v>
      </c>
      <c r="C220" s="18" t="s">
        <v>11</v>
      </c>
      <c r="D220" s="19" t="s">
        <v>50</v>
      </c>
      <c r="E220" s="18" t="s">
        <v>66</v>
      </c>
      <c r="F220" s="18"/>
      <c r="G220" s="18"/>
      <c r="H220" s="20">
        <f>I220*J220</f>
        <v>1280</v>
      </c>
      <c r="I220" s="20">
        <v>16</v>
      </c>
      <c r="J220" s="21">
        <v>80</v>
      </c>
      <c r="K220" s="21"/>
      <c r="L220" s="22"/>
    </row>
    <row r="221" spans="1:13">
      <c r="A221" s="23">
        <v>45373</v>
      </c>
      <c r="B221" s="5" t="s">
        <v>22</v>
      </c>
      <c r="C221" t="s">
        <v>35</v>
      </c>
      <c r="D221" s="25" t="s">
        <v>17</v>
      </c>
      <c r="E221" t="s">
        <v>70</v>
      </c>
      <c r="H221" s="10">
        <f>I221*J221</f>
        <v>1840</v>
      </c>
      <c r="I221" s="10">
        <v>23</v>
      </c>
      <c r="J221" s="13">
        <v>80</v>
      </c>
      <c r="L221" s="24"/>
    </row>
    <row r="222" spans="1:13">
      <c r="A222" s="23">
        <v>45373</v>
      </c>
      <c r="B222" s="5" t="s">
        <v>53</v>
      </c>
      <c r="C222" t="s">
        <v>11</v>
      </c>
      <c r="D222" t="s">
        <v>12</v>
      </c>
      <c r="E222" t="s">
        <v>66</v>
      </c>
      <c r="H222" s="10">
        <f>I222*J222</f>
        <v>2500</v>
      </c>
      <c r="I222" s="10">
        <v>25</v>
      </c>
      <c r="J222" s="13">
        <v>100</v>
      </c>
      <c r="L222" s="24"/>
    </row>
    <row r="223" spans="1:13">
      <c r="A223" s="23">
        <v>45373</v>
      </c>
      <c r="B223" s="5" t="s">
        <v>35</v>
      </c>
      <c r="C223" t="s">
        <v>35</v>
      </c>
      <c r="D223" s="37" t="s">
        <v>17</v>
      </c>
      <c r="E223" t="s">
        <v>85</v>
      </c>
      <c r="H223" s="8">
        <v>2500</v>
      </c>
      <c r="L223" s="24" t="s">
        <v>93</v>
      </c>
    </row>
    <row r="224" spans="1:13">
      <c r="A224" s="26">
        <v>45373</v>
      </c>
      <c r="B224" s="27" t="s">
        <v>90</v>
      </c>
      <c r="C224" s="28" t="s">
        <v>11</v>
      </c>
      <c r="D224" s="36" t="s">
        <v>91</v>
      </c>
      <c r="E224" s="28" t="s">
        <v>66</v>
      </c>
      <c r="F224" s="28"/>
      <c r="G224" s="28"/>
      <c r="H224" s="32">
        <f>I224*J224</f>
        <v>1300</v>
      </c>
      <c r="I224" s="29">
        <v>16.25</v>
      </c>
      <c r="J224" s="30">
        <v>80</v>
      </c>
      <c r="K224" s="30"/>
      <c r="L224" s="31"/>
    </row>
    <row r="225" spans="1:14">
      <c r="H225" s="10">
        <f>SUM(H220:H224)</f>
        <v>9420</v>
      </c>
    </row>
    <row r="226" spans="1:14">
      <c r="A226" s="16">
        <v>45386</v>
      </c>
      <c r="B226" s="17" t="s">
        <v>10</v>
      </c>
      <c r="C226" s="18" t="s">
        <v>11</v>
      </c>
      <c r="D226" s="19" t="s">
        <v>50</v>
      </c>
      <c r="E226" s="18" t="s">
        <v>66</v>
      </c>
      <c r="F226" s="18"/>
      <c r="G226" s="18"/>
      <c r="H226" s="20">
        <f>I226*J226</f>
        <v>1200</v>
      </c>
      <c r="I226" s="20">
        <v>15</v>
      </c>
      <c r="J226" s="21">
        <v>80</v>
      </c>
      <c r="K226" s="21"/>
      <c r="L226" s="38" t="s">
        <v>94</v>
      </c>
    </row>
    <row r="227" spans="1:14">
      <c r="A227" s="16">
        <v>45386</v>
      </c>
      <c r="B227" s="5" t="s">
        <v>22</v>
      </c>
      <c r="C227" t="s">
        <v>35</v>
      </c>
      <c r="D227" s="25" t="s">
        <v>17</v>
      </c>
      <c r="E227" t="s">
        <v>70</v>
      </c>
      <c r="H227" s="10">
        <f>I227*J227</f>
        <v>1840</v>
      </c>
      <c r="I227" s="10">
        <v>23</v>
      </c>
      <c r="J227" s="13">
        <v>80</v>
      </c>
      <c r="L227" s="24"/>
    </row>
    <row r="228" spans="1:14">
      <c r="A228" s="16">
        <v>45386</v>
      </c>
      <c r="B228" s="5" t="s">
        <v>53</v>
      </c>
      <c r="C228" t="s">
        <v>11</v>
      </c>
      <c r="D228" t="s">
        <v>12</v>
      </c>
      <c r="E228" t="s">
        <v>66</v>
      </c>
      <c r="H228" s="10">
        <f>I228*J228</f>
        <v>2500</v>
      </c>
      <c r="I228" s="10">
        <v>25</v>
      </c>
      <c r="J228" s="13">
        <v>100</v>
      </c>
      <c r="L228" s="24"/>
    </row>
    <row r="229" spans="1:14">
      <c r="A229" s="16">
        <v>45386</v>
      </c>
      <c r="B229" s="27" t="s">
        <v>90</v>
      </c>
      <c r="C229" s="28" t="s">
        <v>11</v>
      </c>
      <c r="D229" s="36" t="s">
        <v>91</v>
      </c>
      <c r="E229" s="28" t="s">
        <v>66</v>
      </c>
      <c r="F229" s="28"/>
      <c r="G229" s="28"/>
      <c r="H229" s="29">
        <f>I229*J229</f>
        <v>1300</v>
      </c>
      <c r="I229" s="29">
        <v>16.25</v>
      </c>
      <c r="J229" s="30">
        <v>80</v>
      </c>
      <c r="K229" s="30"/>
      <c r="L229" s="31"/>
    </row>
    <row r="230" spans="1:14">
      <c r="H230" s="10">
        <f>SUM(H226:H229)</f>
        <v>6840</v>
      </c>
    </row>
    <row r="231" spans="1:14">
      <c r="A231" s="16">
        <v>45401</v>
      </c>
      <c r="B231" s="17" t="s">
        <v>10</v>
      </c>
      <c r="C231" s="18" t="s">
        <v>11</v>
      </c>
      <c r="D231" s="19" t="s">
        <v>50</v>
      </c>
      <c r="E231" s="18" t="s">
        <v>66</v>
      </c>
      <c r="F231" s="18"/>
      <c r="G231" s="18"/>
      <c r="H231" s="20">
        <f>SUM(M231:N231)</f>
        <v>1360</v>
      </c>
      <c r="I231" s="20">
        <v>18</v>
      </c>
      <c r="J231" s="21">
        <v>80</v>
      </c>
      <c r="K231" s="21"/>
      <c r="L231" s="22" t="s">
        <v>95</v>
      </c>
      <c r="M231">
        <f>18*40</f>
        <v>720</v>
      </c>
      <c r="N231">
        <f>16*40</f>
        <v>640</v>
      </c>
    </row>
    <row r="232" spans="1:14">
      <c r="A232" s="16">
        <v>45401</v>
      </c>
      <c r="B232" s="5" t="s">
        <v>22</v>
      </c>
      <c r="C232" t="s">
        <v>35</v>
      </c>
      <c r="D232" s="25" t="s">
        <v>17</v>
      </c>
      <c r="E232" t="s">
        <v>70</v>
      </c>
      <c r="H232" s="10">
        <f>I232*J232</f>
        <v>1840</v>
      </c>
      <c r="I232" s="10">
        <v>23</v>
      </c>
      <c r="J232" s="13">
        <v>80</v>
      </c>
      <c r="L232" s="24"/>
    </row>
    <row r="233" spans="1:14">
      <c r="A233" s="16">
        <v>45401</v>
      </c>
      <c r="B233" s="5" t="s">
        <v>53</v>
      </c>
      <c r="C233" t="s">
        <v>11</v>
      </c>
      <c r="D233" t="s">
        <v>12</v>
      </c>
      <c r="E233" t="s">
        <v>66</v>
      </c>
      <c r="H233" s="10">
        <f>I233*J233</f>
        <v>2500</v>
      </c>
      <c r="I233" s="10">
        <v>25</v>
      </c>
      <c r="J233" s="13">
        <v>100</v>
      </c>
      <c r="L233" s="24"/>
    </row>
    <row r="234" spans="1:14">
      <c r="A234" s="16">
        <v>45401</v>
      </c>
      <c r="B234" s="5" t="s">
        <v>35</v>
      </c>
      <c r="C234" t="s">
        <v>35</v>
      </c>
      <c r="D234" s="37" t="s">
        <v>17</v>
      </c>
      <c r="E234" t="s">
        <v>85</v>
      </c>
      <c r="H234" s="8">
        <v>2500</v>
      </c>
      <c r="L234" s="24" t="s">
        <v>65</v>
      </c>
    </row>
    <row r="235" spans="1:14">
      <c r="A235" s="16">
        <v>45401</v>
      </c>
      <c r="B235" s="27" t="s">
        <v>90</v>
      </c>
      <c r="C235" s="28" t="s">
        <v>11</v>
      </c>
      <c r="D235" s="36" t="s">
        <v>91</v>
      </c>
      <c r="E235" s="28" t="s">
        <v>66</v>
      </c>
      <c r="F235" s="28"/>
      <c r="G235" s="28"/>
      <c r="H235" s="32">
        <f>I235*J235</f>
        <v>1300</v>
      </c>
      <c r="I235" s="29">
        <v>16.25</v>
      </c>
      <c r="J235" s="30">
        <v>80</v>
      </c>
      <c r="K235" s="30"/>
      <c r="L235" s="31"/>
    </row>
    <row r="236" spans="1:14">
      <c r="H236" s="10">
        <f>SUM(H231:H235)</f>
        <v>9500</v>
      </c>
    </row>
    <row r="237" spans="1:14">
      <c r="A237" s="16">
        <v>45415</v>
      </c>
      <c r="B237" s="17" t="s">
        <v>10</v>
      </c>
      <c r="C237" s="18" t="s">
        <v>11</v>
      </c>
      <c r="D237" s="19" t="s">
        <v>50</v>
      </c>
      <c r="E237" s="18" t="s">
        <v>66</v>
      </c>
      <c r="F237" s="18"/>
      <c r="G237" s="18"/>
      <c r="H237" s="20">
        <f>I237*J237</f>
        <v>1440</v>
      </c>
      <c r="I237" s="20">
        <v>18</v>
      </c>
      <c r="J237" s="21">
        <v>80</v>
      </c>
      <c r="L237" s="24"/>
    </row>
    <row r="238" spans="1:14">
      <c r="A238" s="16">
        <v>45415</v>
      </c>
      <c r="B238" s="5" t="s">
        <v>22</v>
      </c>
      <c r="C238" t="s">
        <v>35</v>
      </c>
      <c r="D238" s="25" t="s">
        <v>17</v>
      </c>
      <c r="E238" t="s">
        <v>70</v>
      </c>
      <c r="H238" s="10">
        <f>I238*J238</f>
        <v>1840</v>
      </c>
      <c r="I238" s="10">
        <v>23</v>
      </c>
      <c r="J238" s="13">
        <v>80</v>
      </c>
      <c r="L238" s="24"/>
    </row>
    <row r="239" spans="1:14">
      <c r="A239" s="16">
        <v>45415</v>
      </c>
      <c r="B239" s="5" t="s">
        <v>53</v>
      </c>
      <c r="C239" t="s">
        <v>11</v>
      </c>
      <c r="D239" t="s">
        <v>12</v>
      </c>
      <c r="E239" t="s">
        <v>66</v>
      </c>
      <c r="H239" s="10">
        <f>I239*J239</f>
        <v>2500</v>
      </c>
      <c r="I239" s="10">
        <v>25</v>
      </c>
      <c r="J239" s="13">
        <v>100</v>
      </c>
      <c r="L239" s="24"/>
    </row>
    <row r="240" spans="1:14">
      <c r="A240" s="16">
        <v>45415</v>
      </c>
      <c r="B240" s="27" t="s">
        <v>90</v>
      </c>
      <c r="C240" s="28" t="s">
        <v>11</v>
      </c>
      <c r="D240" s="36" t="s">
        <v>91</v>
      </c>
      <c r="E240" s="28" t="s">
        <v>66</v>
      </c>
      <c r="F240" s="28"/>
      <c r="G240" s="28"/>
      <c r="H240" s="29">
        <f>I240*J240</f>
        <v>1300</v>
      </c>
      <c r="I240" s="29">
        <v>16.25</v>
      </c>
      <c r="J240" s="30">
        <v>80</v>
      </c>
      <c r="K240" s="30"/>
      <c r="L240" s="31"/>
    </row>
    <row r="241" spans="1:14">
      <c r="H241" s="10">
        <f>SUM(H237:H240)</f>
        <v>7080</v>
      </c>
    </row>
    <row r="242" spans="1:14">
      <c r="A242" s="16">
        <v>45429</v>
      </c>
      <c r="B242" s="17" t="s">
        <v>10</v>
      </c>
      <c r="C242" s="18" t="s">
        <v>11</v>
      </c>
      <c r="D242" s="19" t="s">
        <v>50</v>
      </c>
      <c r="E242" s="18" t="s">
        <v>66</v>
      </c>
      <c r="F242" s="18"/>
      <c r="G242" s="18"/>
      <c r="H242" s="20">
        <f>SUM(I242*J242)</f>
        <v>1440</v>
      </c>
      <c r="I242" s="20">
        <v>18</v>
      </c>
      <c r="J242" s="21">
        <v>80</v>
      </c>
      <c r="K242" s="21"/>
      <c r="L242" s="22"/>
      <c r="M242">
        <f>18*40</f>
        <v>720</v>
      </c>
      <c r="N242">
        <f>16*40</f>
        <v>640</v>
      </c>
    </row>
    <row r="243" spans="1:14">
      <c r="A243" s="16">
        <v>45429</v>
      </c>
      <c r="B243" s="5" t="s">
        <v>22</v>
      </c>
      <c r="C243" t="s">
        <v>35</v>
      </c>
      <c r="D243" s="25" t="s">
        <v>17</v>
      </c>
      <c r="E243" t="s">
        <v>70</v>
      </c>
      <c r="H243" s="10">
        <f>I243*J243</f>
        <v>1840</v>
      </c>
      <c r="I243" s="10">
        <v>23</v>
      </c>
      <c r="J243" s="13">
        <v>80</v>
      </c>
      <c r="L243" s="24"/>
    </row>
    <row r="244" spans="1:14">
      <c r="A244" s="16">
        <v>45429</v>
      </c>
      <c r="B244" s="5" t="s">
        <v>53</v>
      </c>
      <c r="C244" t="s">
        <v>11</v>
      </c>
      <c r="D244" t="s">
        <v>12</v>
      </c>
      <c r="E244" t="s">
        <v>66</v>
      </c>
      <c r="H244" s="10">
        <f>I244*J244</f>
        <v>2500</v>
      </c>
      <c r="I244" s="10">
        <v>25</v>
      </c>
      <c r="J244" s="13">
        <v>100</v>
      </c>
      <c r="L244" s="24"/>
    </row>
    <row r="245" spans="1:14">
      <c r="A245" s="16">
        <v>45429</v>
      </c>
      <c r="B245" s="5" t="s">
        <v>35</v>
      </c>
      <c r="C245" t="s">
        <v>35</v>
      </c>
      <c r="D245" s="37" t="s">
        <v>17</v>
      </c>
      <c r="E245" t="s">
        <v>96</v>
      </c>
      <c r="H245" s="8">
        <v>2500</v>
      </c>
      <c r="L245" s="24" t="s">
        <v>97</v>
      </c>
    </row>
    <row r="246" spans="1:14">
      <c r="A246" s="16">
        <v>45429</v>
      </c>
      <c r="B246" s="27" t="s">
        <v>90</v>
      </c>
      <c r="C246" s="28" t="s">
        <v>11</v>
      </c>
      <c r="D246" s="36" t="s">
        <v>91</v>
      </c>
      <c r="E246" s="28" t="s">
        <v>66</v>
      </c>
      <c r="F246" s="28"/>
      <c r="G246" s="28"/>
      <c r="H246" s="32">
        <f>I246*J246</f>
        <v>1300</v>
      </c>
      <c r="I246" s="29">
        <v>16.25</v>
      </c>
      <c r="J246" s="30">
        <v>80</v>
      </c>
      <c r="K246" s="30"/>
      <c r="L246" s="31"/>
    </row>
    <row r="247" spans="1:14">
      <c r="H247" s="10">
        <f>SUM(H242:H246)</f>
        <v>9580</v>
      </c>
    </row>
    <row r="248" spans="1:14">
      <c r="A248" s="16">
        <v>45443</v>
      </c>
      <c r="B248" s="17" t="s">
        <v>10</v>
      </c>
      <c r="C248" s="18" t="s">
        <v>11</v>
      </c>
      <c r="D248" s="19" t="s">
        <v>50</v>
      </c>
      <c r="E248" s="18" t="s">
        <v>66</v>
      </c>
      <c r="F248" s="18"/>
      <c r="G248" s="18"/>
      <c r="H248" s="20">
        <f>I248*J248</f>
        <v>1440</v>
      </c>
      <c r="I248" s="20">
        <v>18</v>
      </c>
      <c r="J248" s="21">
        <v>80</v>
      </c>
      <c r="L248" s="24"/>
    </row>
    <row r="249" spans="1:14">
      <c r="A249" s="16">
        <v>45443</v>
      </c>
      <c r="B249" s="5" t="s">
        <v>22</v>
      </c>
      <c r="C249" t="s">
        <v>35</v>
      </c>
      <c r="D249" s="25" t="s">
        <v>17</v>
      </c>
      <c r="E249" t="s">
        <v>70</v>
      </c>
      <c r="H249" s="10">
        <f>I249*J249</f>
        <v>1840</v>
      </c>
      <c r="I249" s="10">
        <v>23</v>
      </c>
      <c r="J249" s="13">
        <v>80</v>
      </c>
      <c r="L249" s="24" t="s">
        <v>98</v>
      </c>
    </row>
    <row r="250" spans="1:14">
      <c r="A250" s="16">
        <v>45443</v>
      </c>
      <c r="B250" s="5" t="s">
        <v>53</v>
      </c>
      <c r="C250" t="s">
        <v>11</v>
      </c>
      <c r="D250" t="s">
        <v>12</v>
      </c>
      <c r="E250" t="s">
        <v>66</v>
      </c>
      <c r="H250" s="10">
        <f>I250*J250</f>
        <v>2500</v>
      </c>
      <c r="I250" s="10">
        <v>25</v>
      </c>
      <c r="J250" s="13">
        <v>100</v>
      </c>
      <c r="L250" s="24"/>
    </row>
    <row r="251" spans="1:14">
      <c r="A251" s="16">
        <v>45443</v>
      </c>
      <c r="B251" s="27" t="s">
        <v>90</v>
      </c>
      <c r="C251" s="28" t="s">
        <v>11</v>
      </c>
      <c r="D251" s="36" t="s">
        <v>91</v>
      </c>
      <c r="E251" s="28" t="s">
        <v>66</v>
      </c>
      <c r="F251" s="28"/>
      <c r="G251" s="28"/>
      <c r="H251" s="29">
        <f>I251*J251</f>
        <v>1300</v>
      </c>
      <c r="I251" s="29">
        <v>16.25</v>
      </c>
      <c r="J251" s="30">
        <v>80</v>
      </c>
      <c r="K251" s="30"/>
      <c r="L251" s="31"/>
    </row>
    <row r="252" spans="1:14">
      <c r="A252" s="3">
        <v>45443</v>
      </c>
      <c r="B252" s="5" t="s">
        <v>99</v>
      </c>
      <c r="C252" t="s">
        <v>35</v>
      </c>
      <c r="D252" s="4" t="s">
        <v>17</v>
      </c>
      <c r="E252" t="s">
        <v>70</v>
      </c>
      <c r="H252" s="10">
        <v>2800</v>
      </c>
    </row>
    <row r="253" spans="1:14">
      <c r="H253" s="10">
        <f>SUM(H248:H252)</f>
        <v>9880</v>
      </c>
    </row>
    <row r="254" spans="1:14">
      <c r="A254" s="16">
        <v>45457</v>
      </c>
      <c r="B254" s="17" t="s">
        <v>10</v>
      </c>
      <c r="C254" s="18" t="s">
        <v>11</v>
      </c>
      <c r="D254" s="19" t="s">
        <v>50</v>
      </c>
      <c r="E254" s="18" t="s">
        <v>66</v>
      </c>
      <c r="F254" s="18"/>
      <c r="G254" s="18"/>
      <c r="H254" s="20">
        <f>SUM(I254*J254)</f>
        <v>1440</v>
      </c>
      <c r="I254" s="20">
        <v>18</v>
      </c>
      <c r="J254" s="21">
        <v>80</v>
      </c>
      <c r="K254" s="21"/>
      <c r="L254" s="22"/>
      <c r="M254">
        <f>18*40</f>
        <v>720</v>
      </c>
      <c r="N254">
        <f>16*40</f>
        <v>640</v>
      </c>
    </row>
    <row r="255" spans="1:14">
      <c r="A255" s="16">
        <v>45457</v>
      </c>
      <c r="B255" s="5" t="s">
        <v>22</v>
      </c>
      <c r="C255" t="s">
        <v>35</v>
      </c>
      <c r="D255" s="25" t="s">
        <v>17</v>
      </c>
      <c r="E255" t="s">
        <v>70</v>
      </c>
      <c r="H255" s="10">
        <v>540</v>
      </c>
      <c r="I255" s="10">
        <v>23</v>
      </c>
      <c r="J255" s="13">
        <v>80</v>
      </c>
      <c r="L255" s="24" t="s">
        <v>100</v>
      </c>
    </row>
    <row r="256" spans="1:14">
      <c r="A256" s="16">
        <v>45457</v>
      </c>
      <c r="B256" s="5" t="s">
        <v>53</v>
      </c>
      <c r="C256" t="s">
        <v>11</v>
      </c>
      <c r="D256" t="s">
        <v>12</v>
      </c>
      <c r="E256" t="s">
        <v>66</v>
      </c>
      <c r="H256" s="10">
        <f>I256*J256</f>
        <v>2500</v>
      </c>
      <c r="I256" s="10">
        <v>25</v>
      </c>
      <c r="J256" s="13">
        <v>100</v>
      </c>
      <c r="L256" s="24"/>
    </row>
    <row r="257" spans="1:14">
      <c r="A257" s="16">
        <v>45457</v>
      </c>
      <c r="B257" s="5" t="s">
        <v>35</v>
      </c>
      <c r="C257" t="s">
        <v>35</v>
      </c>
      <c r="D257" s="37" t="s">
        <v>17</v>
      </c>
      <c r="E257" t="s">
        <v>96</v>
      </c>
      <c r="H257" s="8">
        <v>2500</v>
      </c>
      <c r="L257" s="24" t="s">
        <v>73</v>
      </c>
    </row>
    <row r="258" spans="1:14">
      <c r="A258" s="16">
        <v>45457</v>
      </c>
      <c r="B258" s="27" t="s">
        <v>90</v>
      </c>
      <c r="C258" s="28" t="s">
        <v>11</v>
      </c>
      <c r="D258" s="36" t="s">
        <v>91</v>
      </c>
      <c r="E258" s="28" t="s">
        <v>66</v>
      </c>
      <c r="F258" s="28"/>
      <c r="G258" s="28"/>
      <c r="H258" s="32">
        <f>I258*J258</f>
        <v>1300</v>
      </c>
      <c r="I258" s="29">
        <v>16.25</v>
      </c>
      <c r="J258" s="30">
        <v>80</v>
      </c>
      <c r="K258" s="30"/>
      <c r="L258" s="31"/>
    </row>
    <row r="259" spans="1:14">
      <c r="H259" s="10">
        <f>SUM(H254:H258)</f>
        <v>8280</v>
      </c>
    </row>
    <row r="260" spans="1:14">
      <c r="A260" s="16">
        <v>45471</v>
      </c>
      <c r="B260" s="17" t="s">
        <v>10</v>
      </c>
      <c r="C260" s="18" t="s">
        <v>11</v>
      </c>
      <c r="D260" s="19" t="s">
        <v>50</v>
      </c>
      <c r="E260" s="18" t="s">
        <v>66</v>
      </c>
      <c r="F260" s="18"/>
      <c r="G260" s="18"/>
      <c r="H260" s="20">
        <f>I260*J260</f>
        <v>1440</v>
      </c>
      <c r="I260" s="20">
        <v>18</v>
      </c>
      <c r="J260" s="21">
        <v>80</v>
      </c>
      <c r="K260" s="21"/>
      <c r="L260" s="22"/>
    </row>
    <row r="261" spans="1:14">
      <c r="A261" s="23">
        <v>45471</v>
      </c>
      <c r="B261" s="5" t="s">
        <v>22</v>
      </c>
      <c r="C261" t="s">
        <v>35</v>
      </c>
      <c r="D261" s="25" t="s">
        <v>17</v>
      </c>
      <c r="E261" t="s">
        <v>70</v>
      </c>
      <c r="H261" s="10">
        <f>I261*J261</f>
        <v>1840</v>
      </c>
      <c r="I261" s="10">
        <v>23</v>
      </c>
      <c r="J261" s="13">
        <v>80</v>
      </c>
      <c r="L261" s="24"/>
    </row>
    <row r="262" spans="1:14">
      <c r="A262" s="23">
        <v>45471</v>
      </c>
      <c r="B262" s="5" t="s">
        <v>53</v>
      </c>
      <c r="C262" t="s">
        <v>11</v>
      </c>
      <c r="D262" t="s">
        <v>12</v>
      </c>
      <c r="E262" t="s">
        <v>66</v>
      </c>
      <c r="H262" s="10">
        <f>I262*J262</f>
        <v>2500</v>
      </c>
      <c r="I262" s="10">
        <v>25</v>
      </c>
      <c r="J262" s="13">
        <v>100</v>
      </c>
      <c r="L262" s="24"/>
    </row>
    <row r="263" spans="1:14">
      <c r="A263" s="23">
        <v>45471</v>
      </c>
      <c r="B263" s="5" t="s">
        <v>90</v>
      </c>
      <c r="C263" t="s">
        <v>11</v>
      </c>
      <c r="D263" s="25" t="s">
        <v>91</v>
      </c>
      <c r="E263" t="s">
        <v>66</v>
      </c>
      <c r="H263" s="10">
        <f>I263*J263</f>
        <v>1300</v>
      </c>
      <c r="I263" s="10">
        <v>16.25</v>
      </c>
      <c r="J263" s="13">
        <v>80</v>
      </c>
      <c r="L263" s="24"/>
    </row>
    <row r="264" spans="1:14">
      <c r="A264" s="26">
        <v>45471</v>
      </c>
      <c r="B264" s="27" t="s">
        <v>90</v>
      </c>
      <c r="C264" s="28" t="s">
        <v>11</v>
      </c>
      <c r="D264" s="36" t="s">
        <v>101</v>
      </c>
      <c r="E264" s="28" t="s">
        <v>102</v>
      </c>
      <c r="F264" s="28"/>
      <c r="G264" s="28"/>
      <c r="H264" s="29">
        <f>I264*J264</f>
        <v>90</v>
      </c>
      <c r="I264" s="29">
        <v>30</v>
      </c>
      <c r="J264" s="30">
        <v>3</v>
      </c>
      <c r="K264" s="30"/>
      <c r="L264" s="31" t="s">
        <v>103</v>
      </c>
    </row>
    <row r="265" spans="1:14">
      <c r="H265" s="10">
        <f>SUM(H260:H264)</f>
        <v>7170</v>
      </c>
    </row>
    <row r="266" spans="1:14">
      <c r="A266" s="16">
        <v>45485</v>
      </c>
      <c r="B266" s="17" t="s">
        <v>10</v>
      </c>
      <c r="C266" s="18" t="s">
        <v>11</v>
      </c>
      <c r="D266" s="19" t="s">
        <v>50</v>
      </c>
      <c r="E266" s="18" t="s">
        <v>66</v>
      </c>
      <c r="F266" s="18"/>
      <c r="G266" s="18"/>
      <c r="H266" s="20">
        <f>SUM(I266*J266)</f>
        <v>1440</v>
      </c>
      <c r="I266" s="20">
        <v>18</v>
      </c>
      <c r="J266" s="21">
        <v>80</v>
      </c>
      <c r="K266" s="21"/>
      <c r="L266" s="22"/>
      <c r="M266">
        <f>18*40</f>
        <v>720</v>
      </c>
      <c r="N266">
        <f>16*40</f>
        <v>640</v>
      </c>
    </row>
    <row r="267" spans="1:14">
      <c r="A267" s="16">
        <v>45485</v>
      </c>
      <c r="B267" s="5" t="s">
        <v>22</v>
      </c>
      <c r="C267" t="s">
        <v>35</v>
      </c>
      <c r="D267" s="25" t="s">
        <v>17</v>
      </c>
      <c r="E267" t="s">
        <v>70</v>
      </c>
      <c r="H267" s="20">
        <f>SUM(I267*J267)</f>
        <v>1840</v>
      </c>
      <c r="I267" s="10">
        <v>23</v>
      </c>
      <c r="J267" s="13">
        <v>80</v>
      </c>
      <c r="L267" s="24"/>
    </row>
    <row r="268" spans="1:14">
      <c r="A268" s="16">
        <v>45485</v>
      </c>
      <c r="B268" s="5" t="s">
        <v>53</v>
      </c>
      <c r="C268" t="s">
        <v>11</v>
      </c>
      <c r="D268" t="s">
        <v>12</v>
      </c>
      <c r="E268" t="s">
        <v>66</v>
      </c>
      <c r="H268" s="10">
        <f>I268*J268</f>
        <v>2500</v>
      </c>
      <c r="I268" s="10">
        <v>25</v>
      </c>
      <c r="J268" s="13">
        <v>100</v>
      </c>
      <c r="L268" s="24"/>
    </row>
    <row r="269" spans="1:14">
      <c r="A269" s="16">
        <v>45485</v>
      </c>
      <c r="B269" s="5" t="s">
        <v>35</v>
      </c>
      <c r="C269" t="s">
        <v>35</v>
      </c>
      <c r="D269" s="37" t="s">
        <v>17</v>
      </c>
      <c r="E269" t="s">
        <v>96</v>
      </c>
      <c r="H269" s="8">
        <v>2500</v>
      </c>
      <c r="L269" s="24" t="s">
        <v>74</v>
      </c>
    </row>
    <row r="270" spans="1:14">
      <c r="A270" s="16">
        <v>45485</v>
      </c>
      <c r="B270" s="27" t="s">
        <v>90</v>
      </c>
      <c r="C270" s="28" t="s">
        <v>11</v>
      </c>
      <c r="D270" s="36" t="s">
        <v>91</v>
      </c>
      <c r="E270" s="28" t="s">
        <v>66</v>
      </c>
      <c r="F270" s="28"/>
      <c r="G270" s="28"/>
      <c r="H270" s="32">
        <f>I270*J270</f>
        <v>1300</v>
      </c>
      <c r="I270" s="29">
        <v>16.25</v>
      </c>
      <c r="J270" s="30">
        <v>80</v>
      </c>
      <c r="K270" s="30"/>
      <c r="L270" s="31"/>
    </row>
    <row r="271" spans="1:14">
      <c r="H271" s="10">
        <f>SUM(H266:H270)</f>
        <v>9580</v>
      </c>
    </row>
    <row r="272" spans="1:14">
      <c r="A272" s="16">
        <v>45499</v>
      </c>
      <c r="B272" s="17" t="s">
        <v>10</v>
      </c>
      <c r="C272" s="18" t="s">
        <v>11</v>
      </c>
      <c r="D272" s="19" t="s">
        <v>50</v>
      </c>
      <c r="E272" s="18" t="s">
        <v>66</v>
      </c>
      <c r="F272" s="18"/>
      <c r="G272" s="18"/>
      <c r="H272" s="20">
        <f>I272*J272</f>
        <v>1440</v>
      </c>
      <c r="I272" s="20">
        <v>18</v>
      </c>
      <c r="J272" s="21">
        <v>80</v>
      </c>
      <c r="K272" s="39"/>
      <c r="L272" s="22"/>
    </row>
    <row r="273" spans="1:14">
      <c r="A273" s="16">
        <v>45499</v>
      </c>
      <c r="B273" s="5" t="s">
        <v>22</v>
      </c>
      <c r="C273" t="s">
        <v>35</v>
      </c>
      <c r="D273" s="25" t="s">
        <v>17</v>
      </c>
      <c r="E273" t="s">
        <v>70</v>
      </c>
      <c r="H273" s="10">
        <f>I273*J273</f>
        <v>1840</v>
      </c>
      <c r="I273" s="10">
        <v>23</v>
      </c>
      <c r="J273" s="13">
        <v>80</v>
      </c>
      <c r="K273" s="6"/>
      <c r="L273" s="24"/>
    </row>
    <row r="274" spans="1:14">
      <c r="A274" s="16">
        <v>45499</v>
      </c>
      <c r="B274" s="5" t="s">
        <v>53</v>
      </c>
      <c r="C274" t="s">
        <v>11</v>
      </c>
      <c r="D274" t="s">
        <v>12</v>
      </c>
      <c r="E274" t="s">
        <v>66</v>
      </c>
      <c r="H274" s="10">
        <f>I274*J274</f>
        <v>2500</v>
      </c>
      <c r="I274" s="10">
        <v>25</v>
      </c>
      <c r="J274" s="13">
        <v>100</v>
      </c>
      <c r="K274" s="6"/>
      <c r="L274" s="24"/>
    </row>
    <row r="275" spans="1:14">
      <c r="A275" s="35">
        <v>45499</v>
      </c>
      <c r="B275" s="27" t="s">
        <v>90</v>
      </c>
      <c r="C275" s="28" t="s">
        <v>11</v>
      </c>
      <c r="D275" s="36" t="s">
        <v>91</v>
      </c>
      <c r="E275" s="28" t="s">
        <v>66</v>
      </c>
      <c r="F275" s="28"/>
      <c r="G275" s="28"/>
      <c r="H275" s="29">
        <f>I275*J275</f>
        <v>1300</v>
      </c>
      <c r="I275" s="29">
        <v>16.25</v>
      </c>
      <c r="J275" s="30">
        <v>80</v>
      </c>
      <c r="K275" s="40"/>
      <c r="L275" s="31"/>
    </row>
    <row r="276" spans="1:14">
      <c r="H276" s="10">
        <f>SUM(H272:H275)</f>
        <v>7080</v>
      </c>
    </row>
    <row r="277" spans="1:14">
      <c r="A277" s="16">
        <v>45513</v>
      </c>
      <c r="B277" s="44" t="s">
        <v>10</v>
      </c>
      <c r="C277" s="18" t="s">
        <v>11</v>
      </c>
      <c r="D277" s="19" t="s">
        <v>50</v>
      </c>
      <c r="E277" s="18" t="s">
        <v>66</v>
      </c>
      <c r="F277" s="18"/>
      <c r="G277" s="18"/>
      <c r="H277" s="39">
        <f>SUM(I277*J277)+K277</f>
        <v>1454.4</v>
      </c>
      <c r="I277" s="20">
        <v>18</v>
      </c>
      <c r="J277" s="21">
        <v>80</v>
      </c>
      <c r="K277" s="41">
        <v>14.4</v>
      </c>
      <c r="L277" s="22"/>
      <c r="M277">
        <f>18*40</f>
        <v>720</v>
      </c>
      <c r="N277">
        <f>16*40</f>
        <v>640</v>
      </c>
    </row>
    <row r="278" spans="1:14">
      <c r="A278" s="16">
        <v>45513</v>
      </c>
      <c r="B278" s="45" t="s">
        <v>22</v>
      </c>
      <c r="C278" t="s">
        <v>35</v>
      </c>
      <c r="D278" s="25" t="s">
        <v>17</v>
      </c>
      <c r="E278" t="s">
        <v>70</v>
      </c>
      <c r="H278" s="6">
        <f t="shared" ref="H278:H281" si="0">SUM(I278*J278)+K278</f>
        <v>1858.4</v>
      </c>
      <c r="I278" s="10">
        <v>23</v>
      </c>
      <c r="J278" s="13">
        <v>80</v>
      </c>
      <c r="K278" s="43">
        <v>18.399999999999999</v>
      </c>
      <c r="L278" s="24"/>
    </row>
    <row r="279" spans="1:14">
      <c r="A279" s="16">
        <v>45513</v>
      </c>
      <c r="B279" s="45" t="s">
        <v>53</v>
      </c>
      <c r="C279" t="s">
        <v>11</v>
      </c>
      <c r="D279" t="s">
        <v>12</v>
      </c>
      <c r="E279" t="s">
        <v>66</v>
      </c>
      <c r="H279" s="6">
        <f t="shared" si="0"/>
        <v>1537.5</v>
      </c>
      <c r="I279" s="10">
        <v>25</v>
      </c>
      <c r="J279" s="13">
        <v>60.5</v>
      </c>
      <c r="K279" s="43">
        <v>25</v>
      </c>
      <c r="L279" s="24" t="s">
        <v>104</v>
      </c>
    </row>
    <row r="280" spans="1:14">
      <c r="A280" s="16">
        <v>45513</v>
      </c>
      <c r="B280" s="45" t="s">
        <v>35</v>
      </c>
      <c r="C280" t="s">
        <v>35</v>
      </c>
      <c r="D280" s="37" t="s">
        <v>17</v>
      </c>
      <c r="E280" t="s">
        <v>96</v>
      </c>
      <c r="H280" s="6">
        <v>2500</v>
      </c>
      <c r="K280" s="43"/>
      <c r="L280" s="24" t="s">
        <v>77</v>
      </c>
    </row>
    <row r="281" spans="1:14">
      <c r="A281" s="16">
        <v>45513</v>
      </c>
      <c r="B281" s="46" t="s">
        <v>90</v>
      </c>
      <c r="C281" s="28" t="s">
        <v>11</v>
      </c>
      <c r="D281" s="36" t="s">
        <v>91</v>
      </c>
      <c r="E281" s="28" t="s">
        <v>66</v>
      </c>
      <c r="F281" s="28"/>
      <c r="G281" s="28"/>
      <c r="H281" s="40">
        <f t="shared" si="0"/>
        <v>1313</v>
      </c>
      <c r="I281" s="29">
        <v>16.25</v>
      </c>
      <c r="J281" s="30">
        <v>80</v>
      </c>
      <c r="K281" s="42">
        <v>13</v>
      </c>
      <c r="L281" s="31"/>
    </row>
    <row r="282" spans="1:14">
      <c r="H282" s="6">
        <f>SUM(H277:H281)</f>
        <v>8663.2999999999993</v>
      </c>
    </row>
    <row r="283" spans="1:14">
      <c r="A283" s="16">
        <v>45527</v>
      </c>
      <c r="B283" s="17" t="s">
        <v>10</v>
      </c>
      <c r="C283" s="18" t="s">
        <v>11</v>
      </c>
      <c r="D283" s="19" t="s">
        <v>50</v>
      </c>
      <c r="E283" s="18" t="s">
        <v>66</v>
      </c>
      <c r="F283" s="18"/>
      <c r="G283" s="18"/>
      <c r="H283" s="20">
        <f>I283*J283</f>
        <v>1440</v>
      </c>
      <c r="I283" s="20">
        <v>18</v>
      </c>
      <c r="J283" s="21">
        <v>80</v>
      </c>
      <c r="K283" s="39"/>
      <c r="L283" s="22"/>
    </row>
    <row r="284" spans="1:14">
      <c r="A284" s="16">
        <v>45527</v>
      </c>
      <c r="B284" s="5" t="s">
        <v>22</v>
      </c>
      <c r="C284" t="s">
        <v>35</v>
      </c>
      <c r="D284" s="25" t="s">
        <v>17</v>
      </c>
      <c r="E284" t="s">
        <v>70</v>
      </c>
      <c r="H284" s="10">
        <f>I284*J284</f>
        <v>1840</v>
      </c>
      <c r="I284" s="10">
        <v>23</v>
      </c>
      <c r="J284" s="13">
        <v>80</v>
      </c>
      <c r="K284" s="6"/>
      <c r="L284" s="24"/>
    </row>
    <row r="285" spans="1:14">
      <c r="A285" s="16">
        <v>45527</v>
      </c>
      <c r="B285" s="5" t="s">
        <v>53</v>
      </c>
      <c r="C285" t="s">
        <v>11</v>
      </c>
      <c r="D285" t="s">
        <v>12</v>
      </c>
      <c r="E285" t="s">
        <v>66</v>
      </c>
      <c r="H285" s="10">
        <f>I285*J285</f>
        <v>2000</v>
      </c>
      <c r="I285" s="10">
        <v>25</v>
      </c>
      <c r="J285" s="13">
        <v>80</v>
      </c>
      <c r="K285" s="6"/>
      <c r="L285" s="24"/>
    </row>
    <row r="286" spans="1:14">
      <c r="A286" s="16">
        <v>45527</v>
      </c>
      <c r="B286" s="27" t="s">
        <v>90</v>
      </c>
      <c r="C286" s="28" t="s">
        <v>11</v>
      </c>
      <c r="D286" s="36" t="s">
        <v>91</v>
      </c>
      <c r="E286" s="28" t="s">
        <v>66</v>
      </c>
      <c r="F286" s="28"/>
      <c r="G286" s="28"/>
      <c r="H286" s="29">
        <f>I286*J286</f>
        <v>1300</v>
      </c>
      <c r="I286" s="29">
        <v>16.25</v>
      </c>
      <c r="J286" s="30">
        <v>80</v>
      </c>
      <c r="K286" s="40"/>
      <c r="L286" s="31"/>
    </row>
    <row r="287" spans="1:14">
      <c r="H287" s="10">
        <f>SUM(H283:H286)</f>
        <v>6580</v>
      </c>
    </row>
    <row r="288" spans="1:14">
      <c r="A288" s="16">
        <v>45541</v>
      </c>
      <c r="B288" s="44" t="s">
        <v>10</v>
      </c>
      <c r="C288" s="18" t="s">
        <v>11</v>
      </c>
      <c r="D288" s="19" t="s">
        <v>50</v>
      </c>
      <c r="E288" s="18" t="s">
        <v>66</v>
      </c>
      <c r="F288" s="18"/>
      <c r="G288" s="18"/>
      <c r="H288" s="39">
        <f>SUM(I288*J288)+K288</f>
        <v>1440</v>
      </c>
      <c r="I288" s="20">
        <v>18</v>
      </c>
      <c r="J288" s="21">
        <v>80</v>
      </c>
      <c r="K288" s="41"/>
      <c r="L288" s="22"/>
      <c r="M288">
        <f>18*40</f>
        <v>720</v>
      </c>
      <c r="N288">
        <f>16*40</f>
        <v>640</v>
      </c>
    </row>
    <row r="289" spans="1:12">
      <c r="A289" s="16">
        <v>45541</v>
      </c>
      <c r="B289" s="45" t="s">
        <v>22</v>
      </c>
      <c r="C289" t="s">
        <v>35</v>
      </c>
      <c r="D289" s="25" t="s">
        <v>17</v>
      </c>
      <c r="E289" t="s">
        <v>70</v>
      </c>
      <c r="H289" s="6">
        <f t="shared" ref="H289:H290" si="1">SUM(I289*J289)+K289</f>
        <v>1840</v>
      </c>
      <c r="I289" s="10">
        <v>23</v>
      </c>
      <c r="J289" s="13">
        <v>80</v>
      </c>
      <c r="K289" s="43"/>
      <c r="L289" s="24"/>
    </row>
    <row r="290" spans="1:12">
      <c r="A290" s="16">
        <v>45541</v>
      </c>
      <c r="B290" s="45" t="s">
        <v>53</v>
      </c>
      <c r="C290" t="s">
        <v>11</v>
      </c>
      <c r="D290" t="s">
        <v>12</v>
      </c>
      <c r="E290" t="s">
        <v>66</v>
      </c>
      <c r="H290" s="6">
        <f t="shared" si="1"/>
        <v>2000</v>
      </c>
      <c r="I290" s="10">
        <v>25</v>
      </c>
      <c r="J290" s="13">
        <v>80</v>
      </c>
      <c r="K290" s="43"/>
      <c r="L290" s="24"/>
    </row>
    <row r="291" spans="1:12">
      <c r="A291" s="16">
        <v>45513</v>
      </c>
      <c r="B291" s="45" t="s">
        <v>35</v>
      </c>
      <c r="C291" t="s">
        <v>35</v>
      </c>
      <c r="D291" s="37" t="s">
        <v>17</v>
      </c>
      <c r="E291" t="s">
        <v>96</v>
      </c>
      <c r="H291" s="6">
        <v>2500</v>
      </c>
      <c r="K291" s="43"/>
      <c r="L291" s="24" t="s">
        <v>79</v>
      </c>
    </row>
    <row r="292" spans="1:12">
      <c r="A292" s="16">
        <v>45541</v>
      </c>
      <c r="B292" s="46" t="s">
        <v>90</v>
      </c>
      <c r="C292" s="28" t="s">
        <v>11</v>
      </c>
      <c r="D292" s="36" t="s">
        <v>91</v>
      </c>
      <c r="E292" s="28" t="s">
        <v>66</v>
      </c>
      <c r="F292" s="28"/>
      <c r="G292" s="28"/>
      <c r="H292" s="40">
        <f t="shared" ref="H292" si="2">SUM(I292*J292)+K292</f>
        <v>1300</v>
      </c>
      <c r="I292" s="29">
        <v>16.25</v>
      </c>
      <c r="J292" s="30">
        <v>80</v>
      </c>
      <c r="K292" s="42"/>
      <c r="L292" s="31"/>
    </row>
    <row r="293" spans="1:12">
      <c r="H293" s="6">
        <f>SUM(H288:H292)</f>
        <v>9080</v>
      </c>
    </row>
    <row r="294" spans="1:12">
      <c r="A294" s="16">
        <v>45555</v>
      </c>
      <c r="B294" s="17" t="s">
        <v>10</v>
      </c>
      <c r="C294" s="18" t="s">
        <v>11</v>
      </c>
      <c r="D294" s="19" t="s">
        <v>50</v>
      </c>
      <c r="E294" s="18" t="s">
        <v>66</v>
      </c>
      <c r="F294" s="18"/>
      <c r="G294" s="18"/>
      <c r="H294" s="20">
        <f>I294*J294</f>
        <v>1440</v>
      </c>
      <c r="I294" s="20">
        <v>18</v>
      </c>
      <c r="J294" s="21">
        <v>80</v>
      </c>
      <c r="K294" s="39"/>
      <c r="L294" s="22"/>
    </row>
    <row r="295" spans="1:12">
      <c r="A295" s="16">
        <v>45555</v>
      </c>
      <c r="B295" s="5" t="s">
        <v>22</v>
      </c>
      <c r="C295" t="s">
        <v>35</v>
      </c>
      <c r="D295" s="25" t="s">
        <v>17</v>
      </c>
      <c r="E295" t="s">
        <v>70</v>
      </c>
      <c r="H295" s="10">
        <f>I295*J295</f>
        <v>1840</v>
      </c>
      <c r="I295" s="10">
        <v>23</v>
      </c>
      <c r="J295" s="13">
        <v>80</v>
      </c>
      <c r="K295" s="6"/>
      <c r="L295" s="24"/>
    </row>
    <row r="296" spans="1:12">
      <c r="A296" s="16">
        <v>45555</v>
      </c>
      <c r="B296" s="5" t="s">
        <v>53</v>
      </c>
      <c r="C296" t="s">
        <v>11</v>
      </c>
      <c r="D296" t="s">
        <v>12</v>
      </c>
      <c r="E296" t="s">
        <v>66</v>
      </c>
      <c r="H296" s="10">
        <f>I296*J296</f>
        <v>1750</v>
      </c>
      <c r="I296" s="10">
        <v>25</v>
      </c>
      <c r="J296" s="13">
        <v>70</v>
      </c>
      <c r="K296" s="6"/>
      <c r="L296" s="24" t="s">
        <v>105</v>
      </c>
    </row>
    <row r="297" spans="1:12">
      <c r="A297" s="16">
        <v>45555</v>
      </c>
      <c r="B297" s="27" t="s">
        <v>90</v>
      </c>
      <c r="C297" s="28" t="s">
        <v>11</v>
      </c>
      <c r="D297" s="36" t="s">
        <v>91</v>
      </c>
      <c r="E297" s="28" t="s">
        <v>66</v>
      </c>
      <c r="F297" s="28"/>
      <c r="G297" s="28"/>
      <c r="H297" s="29">
        <f>I297*J297</f>
        <v>1300</v>
      </c>
      <c r="I297" s="29">
        <v>16.25</v>
      </c>
      <c r="J297" s="30">
        <v>80</v>
      </c>
      <c r="K297" s="40"/>
      <c r="L297" s="31"/>
    </row>
    <row r="298" spans="1:12">
      <c r="H298" s="10">
        <f>SUM(H294:H297)</f>
        <v>6330</v>
      </c>
    </row>
    <row r="299" spans="1:12">
      <c r="A299" s="16">
        <v>45569</v>
      </c>
      <c r="B299" s="44" t="s">
        <v>10</v>
      </c>
      <c r="C299" s="18" t="s">
        <v>11</v>
      </c>
      <c r="D299" s="19" t="s">
        <v>50</v>
      </c>
      <c r="E299" s="18" t="s">
        <v>66</v>
      </c>
      <c r="F299" s="18"/>
      <c r="G299" s="18"/>
      <c r="H299" s="39">
        <f>SUM(I299*J299)+K299</f>
        <v>1440</v>
      </c>
      <c r="I299" s="20">
        <v>18</v>
      </c>
      <c r="J299" s="21">
        <v>80</v>
      </c>
      <c r="K299" s="41"/>
      <c r="L299" s="22"/>
    </row>
    <row r="300" spans="1:12">
      <c r="A300" s="16">
        <v>45569</v>
      </c>
      <c r="B300" s="45" t="s">
        <v>22</v>
      </c>
      <c r="C300" t="s">
        <v>35</v>
      </c>
      <c r="D300" s="25" t="s">
        <v>17</v>
      </c>
      <c r="E300" t="s">
        <v>70</v>
      </c>
      <c r="H300" s="6">
        <f t="shared" ref="H300:H301" si="3">SUM(I300*J300)+K300</f>
        <v>1840</v>
      </c>
      <c r="I300" s="10">
        <v>23</v>
      </c>
      <c r="J300" s="13">
        <v>80</v>
      </c>
      <c r="K300" s="43"/>
      <c r="L300" s="24"/>
    </row>
    <row r="301" spans="1:12">
      <c r="A301" s="16">
        <v>45569</v>
      </c>
      <c r="B301" s="45" t="s">
        <v>53</v>
      </c>
      <c r="C301" t="s">
        <v>11</v>
      </c>
      <c r="D301" t="s">
        <v>12</v>
      </c>
      <c r="E301" t="s">
        <v>66</v>
      </c>
      <c r="H301" s="6">
        <f t="shared" si="3"/>
        <v>1875</v>
      </c>
      <c r="I301" s="10">
        <v>25</v>
      </c>
      <c r="J301" s="13">
        <v>75</v>
      </c>
      <c r="K301" s="43"/>
      <c r="L301" s="24" t="s">
        <v>106</v>
      </c>
    </row>
    <row r="302" spans="1:12">
      <c r="A302" s="16">
        <v>45569</v>
      </c>
      <c r="B302" s="45" t="s">
        <v>35</v>
      </c>
      <c r="C302" t="s">
        <v>35</v>
      </c>
      <c r="D302" s="37" t="s">
        <v>17</v>
      </c>
      <c r="E302" t="s">
        <v>96</v>
      </c>
      <c r="H302" s="6">
        <v>2500</v>
      </c>
      <c r="K302" s="43"/>
      <c r="L302" s="24" t="s">
        <v>82</v>
      </c>
    </row>
    <row r="303" spans="1:12">
      <c r="A303" s="16">
        <v>45569</v>
      </c>
      <c r="B303" s="46" t="s">
        <v>90</v>
      </c>
      <c r="C303" s="28" t="s">
        <v>11</v>
      </c>
      <c r="D303" s="36" t="s">
        <v>91</v>
      </c>
      <c r="E303" s="28" t="s">
        <v>66</v>
      </c>
      <c r="F303" s="28"/>
      <c r="G303" s="28"/>
      <c r="H303" s="40">
        <f t="shared" ref="H303" si="4">SUM(I303*J303)+K303</f>
        <v>1300</v>
      </c>
      <c r="I303" s="29">
        <v>16.25</v>
      </c>
      <c r="J303" s="30">
        <v>80</v>
      </c>
      <c r="K303" s="42"/>
      <c r="L303" s="31"/>
    </row>
    <row r="304" spans="1:12">
      <c r="H304" s="6">
        <f>SUM(H299:H303)</f>
        <v>8955</v>
      </c>
    </row>
    <row r="305" spans="1:12">
      <c r="A305" s="16">
        <v>45583</v>
      </c>
      <c r="B305" s="17" t="s">
        <v>10</v>
      </c>
      <c r="C305" s="18" t="s">
        <v>11</v>
      </c>
      <c r="D305" s="19" t="s">
        <v>50</v>
      </c>
      <c r="E305" s="18" t="s">
        <v>66</v>
      </c>
      <c r="F305" s="18"/>
      <c r="G305" s="18"/>
      <c r="H305" s="20">
        <f>I305*J305</f>
        <v>1440</v>
      </c>
      <c r="I305" s="20">
        <v>18</v>
      </c>
      <c r="J305" s="21">
        <v>80</v>
      </c>
      <c r="K305" s="39"/>
      <c r="L305" s="22"/>
    </row>
    <row r="306" spans="1:12">
      <c r="A306" s="16">
        <v>45583</v>
      </c>
      <c r="B306" s="5" t="s">
        <v>22</v>
      </c>
      <c r="C306" t="s">
        <v>35</v>
      </c>
      <c r="D306" s="25" t="s">
        <v>17</v>
      </c>
      <c r="E306" t="s">
        <v>70</v>
      </c>
      <c r="H306" s="10">
        <f>I306*J306</f>
        <v>1840</v>
      </c>
      <c r="I306" s="10">
        <v>23</v>
      </c>
      <c r="J306" s="13">
        <v>80</v>
      </c>
      <c r="K306" s="6"/>
      <c r="L306" s="24"/>
    </row>
    <row r="307" spans="1:12">
      <c r="A307" s="16">
        <v>45583</v>
      </c>
      <c r="B307" s="5" t="s">
        <v>53</v>
      </c>
      <c r="C307" t="s">
        <v>11</v>
      </c>
      <c r="D307" t="s">
        <v>12</v>
      </c>
      <c r="E307" t="s">
        <v>66</v>
      </c>
      <c r="H307" s="10">
        <f>I307*J307</f>
        <v>2000</v>
      </c>
      <c r="I307" s="10">
        <v>25</v>
      </c>
      <c r="J307" s="13">
        <v>80</v>
      </c>
      <c r="K307" s="6"/>
      <c r="L307" s="24"/>
    </row>
    <row r="308" spans="1:12">
      <c r="A308" s="16">
        <v>45583</v>
      </c>
      <c r="B308" s="27" t="s">
        <v>90</v>
      </c>
      <c r="C308" s="28" t="s">
        <v>11</v>
      </c>
      <c r="D308" s="36" t="s">
        <v>91</v>
      </c>
      <c r="E308" s="28" t="s">
        <v>66</v>
      </c>
      <c r="F308" s="28"/>
      <c r="G308" s="28"/>
      <c r="H308" s="29">
        <f>I308*J308</f>
        <v>1300</v>
      </c>
      <c r="I308" s="29">
        <v>16.25</v>
      </c>
      <c r="J308" s="30">
        <v>80</v>
      </c>
      <c r="K308" s="40"/>
      <c r="L308" s="31"/>
    </row>
    <row r="309" spans="1:12">
      <c r="H309" s="10">
        <f>SUM(H305:H308)</f>
        <v>6580</v>
      </c>
    </row>
    <row r="310" spans="1:12">
      <c r="A310" s="16">
        <v>45597</v>
      </c>
      <c r="B310" s="44" t="s">
        <v>10</v>
      </c>
      <c r="C310" s="18" t="s">
        <v>11</v>
      </c>
      <c r="D310" s="19" t="s">
        <v>50</v>
      </c>
      <c r="E310" s="18" t="s">
        <v>66</v>
      </c>
      <c r="F310" s="18"/>
      <c r="G310" s="18"/>
      <c r="H310" s="39">
        <f>SUM(I310*J310)+K310</f>
        <v>1440</v>
      </c>
      <c r="I310" s="20">
        <v>18</v>
      </c>
      <c r="J310" s="21">
        <v>80</v>
      </c>
      <c r="K310" s="41"/>
      <c r="L310" s="22"/>
    </row>
    <row r="311" spans="1:12">
      <c r="A311" s="16">
        <v>45597</v>
      </c>
      <c r="B311" s="45" t="s">
        <v>22</v>
      </c>
      <c r="C311" t="s">
        <v>35</v>
      </c>
      <c r="D311" s="25" t="s">
        <v>17</v>
      </c>
      <c r="E311" t="s">
        <v>70</v>
      </c>
      <c r="H311" s="6">
        <f t="shared" ref="H311:H312" si="5">SUM(I311*J311)+K311</f>
        <v>1840</v>
      </c>
      <c r="I311" s="10">
        <v>23</v>
      </c>
      <c r="J311" s="13">
        <v>80</v>
      </c>
      <c r="K311" s="43"/>
      <c r="L311" s="24"/>
    </row>
    <row r="312" spans="1:12">
      <c r="A312" s="16">
        <v>45597</v>
      </c>
      <c r="B312" s="45" t="s">
        <v>53</v>
      </c>
      <c r="C312" t="s">
        <v>11</v>
      </c>
      <c r="D312" t="s">
        <v>12</v>
      </c>
      <c r="E312" t="s">
        <v>66</v>
      </c>
      <c r="H312" s="6">
        <f t="shared" si="5"/>
        <v>2000</v>
      </c>
      <c r="I312" s="10">
        <v>25</v>
      </c>
      <c r="J312" s="13">
        <v>80</v>
      </c>
      <c r="K312" s="43"/>
      <c r="L312" s="24"/>
    </row>
    <row r="313" spans="1:12">
      <c r="A313" s="16">
        <v>45597</v>
      </c>
      <c r="B313" s="45" t="s">
        <v>35</v>
      </c>
      <c r="C313" t="s">
        <v>35</v>
      </c>
      <c r="D313" s="37" t="s">
        <v>17</v>
      </c>
      <c r="E313" t="s">
        <v>96</v>
      </c>
      <c r="H313" s="6">
        <v>2500</v>
      </c>
      <c r="K313" s="43"/>
      <c r="L313" s="24" t="s">
        <v>86</v>
      </c>
    </row>
    <row r="314" spans="1:12">
      <c r="A314" s="16">
        <v>45597</v>
      </c>
      <c r="B314" s="46" t="s">
        <v>90</v>
      </c>
      <c r="C314" s="28" t="s">
        <v>11</v>
      </c>
      <c r="D314" s="36" t="s">
        <v>91</v>
      </c>
      <c r="E314" s="28" t="s">
        <v>66</v>
      </c>
      <c r="F314" s="28"/>
      <c r="G314" s="28"/>
      <c r="H314" s="40">
        <f t="shared" ref="H314" si="6">SUM(I314*J314)+K314</f>
        <v>1300</v>
      </c>
      <c r="I314" s="29">
        <v>16.25</v>
      </c>
      <c r="J314" s="30">
        <v>80</v>
      </c>
      <c r="K314" s="42"/>
      <c r="L314" s="31"/>
    </row>
    <row r="315" spans="1:12">
      <c r="H315" s="6">
        <f>SUM(H310:H314)</f>
        <v>9080</v>
      </c>
    </row>
    <row r="316" spans="1:12">
      <c r="A316" s="16">
        <v>45611</v>
      </c>
      <c r="B316" s="17" t="s">
        <v>10</v>
      </c>
      <c r="C316" s="18" t="s">
        <v>11</v>
      </c>
      <c r="D316" s="19" t="s">
        <v>50</v>
      </c>
      <c r="E316" s="18" t="s">
        <v>66</v>
      </c>
      <c r="F316" s="18"/>
      <c r="G316" s="18"/>
      <c r="H316" s="20">
        <f>I316*J316</f>
        <v>1440</v>
      </c>
      <c r="I316" s="20">
        <v>18</v>
      </c>
      <c r="J316" s="21">
        <v>80</v>
      </c>
      <c r="K316" s="39"/>
      <c r="L316" s="22"/>
    </row>
    <row r="317" spans="1:12">
      <c r="A317" s="16">
        <v>45611</v>
      </c>
      <c r="B317" s="5" t="s">
        <v>22</v>
      </c>
      <c r="C317" t="s">
        <v>35</v>
      </c>
      <c r="D317" s="25" t="s">
        <v>17</v>
      </c>
      <c r="E317" t="s">
        <v>70</v>
      </c>
      <c r="H317" s="10">
        <f>I317*J317</f>
        <v>1840</v>
      </c>
      <c r="I317" s="10">
        <v>23</v>
      </c>
      <c r="J317" s="13">
        <v>80</v>
      </c>
      <c r="K317" s="6"/>
      <c r="L317" s="24"/>
    </row>
    <row r="318" spans="1:12">
      <c r="A318" s="16">
        <v>45611</v>
      </c>
      <c r="B318" s="5" t="s">
        <v>53</v>
      </c>
      <c r="C318" t="s">
        <v>11</v>
      </c>
      <c r="D318" t="s">
        <v>12</v>
      </c>
      <c r="E318" t="s">
        <v>66</v>
      </c>
      <c r="H318" s="10">
        <f>I318*J318</f>
        <v>2000</v>
      </c>
      <c r="I318" s="10">
        <v>25</v>
      </c>
      <c r="J318" s="13">
        <v>80</v>
      </c>
      <c r="K318" s="6"/>
      <c r="L318" s="24"/>
    </row>
    <row r="319" spans="1:12">
      <c r="A319" s="16">
        <v>45611</v>
      </c>
      <c r="B319" s="27" t="s">
        <v>90</v>
      </c>
      <c r="C319" s="28" t="s">
        <v>11</v>
      </c>
      <c r="D319" s="36" t="s">
        <v>91</v>
      </c>
      <c r="E319" s="28" t="s">
        <v>66</v>
      </c>
      <c r="F319" s="28"/>
      <c r="G319" s="28"/>
      <c r="H319" s="29">
        <f>I319*J319</f>
        <v>1300</v>
      </c>
      <c r="I319" s="29">
        <v>16.25</v>
      </c>
      <c r="J319" s="30">
        <v>80</v>
      </c>
      <c r="K319" s="40"/>
      <c r="L319" s="31"/>
    </row>
    <row r="321" spans="1:12">
      <c r="A321" s="16">
        <v>45625</v>
      </c>
      <c r="B321" s="44" t="s">
        <v>10</v>
      </c>
      <c r="C321" s="18" t="s">
        <v>11</v>
      </c>
      <c r="D321" s="19" t="s">
        <v>50</v>
      </c>
      <c r="E321" s="18" t="s">
        <v>66</v>
      </c>
      <c r="F321" s="18"/>
      <c r="G321" s="18"/>
      <c r="H321" s="39">
        <f>SUM(I321*J321)+K321</f>
        <v>1296</v>
      </c>
      <c r="I321" s="20">
        <v>18</v>
      </c>
      <c r="J321" s="21">
        <v>72</v>
      </c>
      <c r="K321" s="41"/>
      <c r="L321" s="22"/>
    </row>
    <row r="322" spans="1:12">
      <c r="A322" s="16">
        <v>45625</v>
      </c>
      <c r="B322" s="45" t="s">
        <v>22</v>
      </c>
      <c r="C322" t="s">
        <v>35</v>
      </c>
      <c r="D322" s="25" t="s">
        <v>17</v>
      </c>
      <c r="E322" t="s">
        <v>70</v>
      </c>
      <c r="H322" s="6">
        <f t="shared" ref="H322:H323" si="7">SUM(I322*J322)+K322</f>
        <v>1840</v>
      </c>
      <c r="I322" s="10">
        <v>23</v>
      </c>
      <c r="J322" s="13">
        <v>80</v>
      </c>
      <c r="K322" s="43"/>
      <c r="L322" s="24"/>
    </row>
    <row r="323" spans="1:12" ht="28.9">
      <c r="A323" s="16">
        <v>45625</v>
      </c>
      <c r="B323" s="45" t="s">
        <v>53</v>
      </c>
      <c r="C323" t="s">
        <v>11</v>
      </c>
      <c r="D323" t="s">
        <v>12</v>
      </c>
      <c r="E323" t="s">
        <v>66</v>
      </c>
      <c r="H323" s="6">
        <f t="shared" si="7"/>
        <v>1700</v>
      </c>
      <c r="I323" s="10">
        <v>25</v>
      </c>
      <c r="J323" s="13">
        <v>68</v>
      </c>
      <c r="K323" s="43"/>
      <c r="L323" s="24" t="s">
        <v>107</v>
      </c>
    </row>
    <row r="324" spans="1:12">
      <c r="A324" s="16">
        <v>45625</v>
      </c>
      <c r="B324" s="46" t="s">
        <v>90</v>
      </c>
      <c r="C324" s="28" t="s">
        <v>11</v>
      </c>
      <c r="D324" s="36" t="s">
        <v>91</v>
      </c>
      <c r="E324" s="28" t="s">
        <v>66</v>
      </c>
      <c r="F324" s="28"/>
      <c r="G324" s="28"/>
      <c r="H324" s="40">
        <f t="shared" ref="H324" si="8">SUM(I324*J324)+K324</f>
        <v>1300</v>
      </c>
      <c r="I324" s="29">
        <v>16.25</v>
      </c>
      <c r="J324" s="30">
        <v>80</v>
      </c>
      <c r="K324" s="42"/>
      <c r="L324" s="31"/>
    </row>
    <row r="325" spans="1:12">
      <c r="H325" s="6">
        <f>SUM(H321:H324)</f>
        <v>6136</v>
      </c>
    </row>
    <row r="326" spans="1:12">
      <c r="A326" s="16">
        <v>45639</v>
      </c>
      <c r="B326" s="17" t="s">
        <v>10</v>
      </c>
      <c r="C326" s="18" t="s">
        <v>11</v>
      </c>
      <c r="D326" s="19" t="s">
        <v>50</v>
      </c>
      <c r="E326" s="18" t="s">
        <v>66</v>
      </c>
      <c r="F326" s="18"/>
      <c r="G326" s="18"/>
      <c r="H326" s="20">
        <f>I326*J326</f>
        <v>1440</v>
      </c>
      <c r="I326" s="20">
        <v>18</v>
      </c>
      <c r="J326" s="21">
        <v>80</v>
      </c>
      <c r="K326" s="39"/>
      <c r="L326" s="22"/>
    </row>
    <row r="327" spans="1:12">
      <c r="A327" s="16">
        <v>45639</v>
      </c>
      <c r="B327" s="5" t="s">
        <v>22</v>
      </c>
      <c r="C327" t="s">
        <v>35</v>
      </c>
      <c r="D327" s="25" t="s">
        <v>17</v>
      </c>
      <c r="E327" t="s">
        <v>70</v>
      </c>
      <c r="H327" s="10">
        <f>I327*J327</f>
        <v>1840</v>
      </c>
      <c r="I327" s="10">
        <v>23</v>
      </c>
      <c r="J327" s="13">
        <v>80</v>
      </c>
      <c r="K327" s="6"/>
      <c r="L327" s="24"/>
    </row>
    <row r="328" spans="1:12">
      <c r="A328" s="16">
        <v>45639</v>
      </c>
      <c r="B328" s="5" t="s">
        <v>53</v>
      </c>
      <c r="C328" t="s">
        <v>11</v>
      </c>
      <c r="D328" t="s">
        <v>12</v>
      </c>
      <c r="E328" t="s">
        <v>66</v>
      </c>
      <c r="H328" s="10">
        <f>I328*J328</f>
        <v>2000</v>
      </c>
      <c r="I328" s="10">
        <v>25</v>
      </c>
      <c r="J328" s="13">
        <v>80</v>
      </c>
      <c r="K328" s="6"/>
      <c r="L328" s="24"/>
    </row>
    <row r="329" spans="1:12">
      <c r="A329" s="16">
        <v>45639</v>
      </c>
      <c r="B329" s="27" t="s">
        <v>90</v>
      </c>
      <c r="C329" s="28" t="s">
        <v>11</v>
      </c>
      <c r="D329" s="36" t="s">
        <v>91</v>
      </c>
      <c r="E329" s="28" t="s">
        <v>66</v>
      </c>
      <c r="F329" s="28"/>
      <c r="G329" s="28"/>
      <c r="H329" s="29">
        <f>I329*J329</f>
        <v>1300</v>
      </c>
      <c r="I329" s="29">
        <v>16.25</v>
      </c>
      <c r="J329" s="30">
        <v>80</v>
      </c>
      <c r="K329" s="40"/>
      <c r="L329" s="31"/>
    </row>
    <row r="330" spans="1:12">
      <c r="H330" s="10">
        <f>SUM(H326:H329)</f>
        <v>6580</v>
      </c>
    </row>
    <row r="331" spans="1:12">
      <c r="A331" s="16">
        <v>45653</v>
      </c>
      <c r="B331" s="44" t="s">
        <v>10</v>
      </c>
      <c r="C331" s="18" t="s">
        <v>11</v>
      </c>
      <c r="D331" s="19" t="s">
        <v>50</v>
      </c>
      <c r="E331" s="18" t="s">
        <v>66</v>
      </c>
      <c r="F331" s="18"/>
      <c r="G331" s="18"/>
      <c r="H331" s="39">
        <f>SUM(I331*J331)+K331</f>
        <v>1476</v>
      </c>
      <c r="I331" s="20">
        <v>18</v>
      </c>
      <c r="J331" s="21">
        <v>82</v>
      </c>
      <c r="K331" s="41"/>
      <c r="L331" s="22"/>
    </row>
    <row r="332" spans="1:12">
      <c r="A332" s="16">
        <v>45653</v>
      </c>
      <c r="B332" s="45" t="s">
        <v>22</v>
      </c>
      <c r="C332" t="s">
        <v>35</v>
      </c>
      <c r="D332" s="25" t="s">
        <v>17</v>
      </c>
      <c r="E332" t="s">
        <v>70</v>
      </c>
      <c r="H332" s="6">
        <f t="shared" ref="H332:H333" si="9">SUM(I332*J332)+K332</f>
        <v>1840</v>
      </c>
      <c r="I332" s="10">
        <v>23</v>
      </c>
      <c r="J332" s="13">
        <v>80</v>
      </c>
      <c r="K332" s="43"/>
      <c r="L332" s="24"/>
    </row>
    <row r="333" spans="1:12">
      <c r="A333" s="16">
        <v>45653</v>
      </c>
      <c r="B333" s="45" t="s">
        <v>53</v>
      </c>
      <c r="C333" t="s">
        <v>11</v>
      </c>
      <c r="D333" t="s">
        <v>12</v>
      </c>
      <c r="E333" t="s">
        <v>66</v>
      </c>
      <c r="H333" s="6">
        <f t="shared" si="9"/>
        <v>2000</v>
      </c>
      <c r="I333" s="10">
        <v>25</v>
      </c>
      <c r="J333" s="13">
        <v>80</v>
      </c>
      <c r="K333" s="43"/>
      <c r="L333" s="24"/>
    </row>
    <row r="334" spans="1:12">
      <c r="A334" s="16">
        <v>45653</v>
      </c>
      <c r="B334" s="45" t="s">
        <v>35</v>
      </c>
      <c r="C334" t="s">
        <v>35</v>
      </c>
      <c r="D334" s="4" t="s">
        <v>17</v>
      </c>
      <c r="E334" t="s">
        <v>96</v>
      </c>
      <c r="H334" s="6">
        <v>2500</v>
      </c>
      <c r="K334" s="43"/>
      <c r="L334" s="24" t="s">
        <v>52</v>
      </c>
    </row>
    <row r="335" spans="1:12">
      <c r="A335" s="16">
        <v>45653</v>
      </c>
      <c r="B335" s="46" t="s">
        <v>90</v>
      </c>
      <c r="C335" s="28" t="s">
        <v>11</v>
      </c>
      <c r="D335" s="36" t="s">
        <v>91</v>
      </c>
      <c r="E335" s="28" t="s">
        <v>66</v>
      </c>
      <c r="F335" s="28"/>
      <c r="G335" s="28"/>
      <c r="H335" s="40">
        <f t="shared" ref="H335" si="10">SUM(I335*J335)+K335</f>
        <v>1300</v>
      </c>
      <c r="I335" s="29">
        <v>16.25</v>
      </c>
      <c r="J335" s="30">
        <v>80</v>
      </c>
      <c r="K335" s="42"/>
      <c r="L335" s="31"/>
    </row>
    <row r="336" spans="1:12">
      <c r="H336" s="6">
        <f>SUM(H331:H335)</f>
        <v>9116</v>
      </c>
    </row>
    <row r="338" spans="1:12">
      <c r="A338" s="16">
        <v>45667</v>
      </c>
      <c r="B338" s="17" t="s">
        <v>10</v>
      </c>
      <c r="C338" s="18" t="s">
        <v>11</v>
      </c>
      <c r="D338" s="19" t="s">
        <v>50</v>
      </c>
      <c r="E338" s="18" t="s">
        <v>66</v>
      </c>
      <c r="F338" s="18"/>
      <c r="G338" s="18"/>
      <c r="H338" s="20">
        <f>I338*J338</f>
        <v>1440</v>
      </c>
      <c r="I338" s="20">
        <v>18</v>
      </c>
      <c r="J338" s="21">
        <v>80</v>
      </c>
      <c r="K338" s="39"/>
      <c r="L338" s="22"/>
    </row>
    <row r="339" spans="1:12">
      <c r="A339" s="16">
        <v>45667</v>
      </c>
      <c r="B339" s="5" t="s">
        <v>22</v>
      </c>
      <c r="C339" t="s">
        <v>35</v>
      </c>
      <c r="D339" s="25" t="s">
        <v>17</v>
      </c>
      <c r="E339" t="s">
        <v>70</v>
      </c>
      <c r="H339" s="10">
        <f>I339*J339</f>
        <v>1840</v>
      </c>
      <c r="I339" s="10">
        <v>23</v>
      </c>
      <c r="J339" s="13">
        <v>80</v>
      </c>
      <c r="K339" s="6"/>
      <c r="L339" s="24"/>
    </row>
    <row r="340" spans="1:12">
      <c r="A340" s="16">
        <v>45667</v>
      </c>
      <c r="B340" s="5" t="s">
        <v>53</v>
      </c>
      <c r="C340" t="s">
        <v>11</v>
      </c>
      <c r="D340" t="s">
        <v>12</v>
      </c>
      <c r="E340" t="s">
        <v>66</v>
      </c>
      <c r="H340" s="10">
        <f>I340*J340</f>
        <v>2000</v>
      </c>
      <c r="I340" s="10">
        <v>25</v>
      </c>
      <c r="J340" s="13">
        <v>80</v>
      </c>
      <c r="K340" s="6"/>
      <c r="L340" s="24"/>
    </row>
    <row r="341" spans="1:12">
      <c r="A341" s="16">
        <v>45667</v>
      </c>
      <c r="B341" s="27" t="s">
        <v>90</v>
      </c>
      <c r="C341" s="28" t="s">
        <v>11</v>
      </c>
      <c r="D341" s="36" t="s">
        <v>91</v>
      </c>
      <c r="E341" s="28" t="s">
        <v>66</v>
      </c>
      <c r="F341" s="28"/>
      <c r="G341" s="28"/>
      <c r="H341" s="29">
        <f>I341*J341</f>
        <v>1300</v>
      </c>
      <c r="I341" s="29">
        <v>16.25</v>
      </c>
      <c r="J341" s="30">
        <v>80</v>
      </c>
      <c r="K341" s="40"/>
      <c r="L341" s="31"/>
    </row>
    <row r="343" spans="1:12">
      <c r="A343" s="16">
        <v>45681</v>
      </c>
      <c r="B343" s="44" t="s">
        <v>10</v>
      </c>
      <c r="C343" s="18" t="s">
        <v>11</v>
      </c>
      <c r="D343" s="19" t="s">
        <v>50</v>
      </c>
      <c r="E343" s="18" t="s">
        <v>66</v>
      </c>
      <c r="F343" s="18"/>
      <c r="G343" s="18"/>
      <c r="H343" s="39">
        <f>SUM(I343*J343)+K343</f>
        <v>1440</v>
      </c>
      <c r="I343" s="20">
        <v>18</v>
      </c>
      <c r="J343" s="21">
        <v>80</v>
      </c>
      <c r="K343" s="41"/>
      <c r="L343" s="22"/>
    </row>
    <row r="344" spans="1:12">
      <c r="A344" s="16">
        <v>45681</v>
      </c>
      <c r="B344" s="45" t="s">
        <v>22</v>
      </c>
      <c r="C344" t="s">
        <v>35</v>
      </c>
      <c r="D344" s="25" t="s">
        <v>17</v>
      </c>
      <c r="E344" t="s">
        <v>70</v>
      </c>
      <c r="H344" s="6">
        <f t="shared" ref="H344:H345" si="11">SUM(I344*J344)+K344</f>
        <v>1840</v>
      </c>
      <c r="I344" s="10">
        <v>23</v>
      </c>
      <c r="J344" s="13">
        <v>80</v>
      </c>
      <c r="K344" s="43"/>
      <c r="L344" s="24"/>
    </row>
    <row r="345" spans="1:12">
      <c r="A345" s="16">
        <v>45681</v>
      </c>
      <c r="B345" s="45" t="s">
        <v>53</v>
      </c>
      <c r="C345" t="s">
        <v>11</v>
      </c>
      <c r="D345" t="s">
        <v>12</v>
      </c>
      <c r="E345" t="s">
        <v>66</v>
      </c>
      <c r="H345" s="6">
        <f t="shared" si="11"/>
        <v>2000</v>
      </c>
      <c r="I345" s="10">
        <v>25</v>
      </c>
      <c r="J345" s="13">
        <v>80</v>
      </c>
      <c r="K345" s="43"/>
      <c r="L345" s="24"/>
    </row>
    <row r="346" spans="1:12">
      <c r="A346" s="16">
        <v>45681</v>
      </c>
      <c r="B346" s="45" t="s">
        <v>35</v>
      </c>
      <c r="C346" t="s">
        <v>35</v>
      </c>
      <c r="D346" s="4" t="s">
        <v>17</v>
      </c>
      <c r="E346" t="s">
        <v>96</v>
      </c>
      <c r="H346" s="6">
        <v>2500</v>
      </c>
      <c r="K346" s="43"/>
      <c r="L346" s="24" t="s">
        <v>87</v>
      </c>
    </row>
    <row r="347" spans="1:12">
      <c r="A347" s="16">
        <v>45681</v>
      </c>
      <c r="B347" s="46" t="s">
        <v>90</v>
      </c>
      <c r="C347" s="28" t="s">
        <v>11</v>
      </c>
      <c r="D347" s="36" t="s">
        <v>91</v>
      </c>
      <c r="E347" s="28" t="s">
        <v>66</v>
      </c>
      <c r="F347" s="28"/>
      <c r="G347" s="28"/>
      <c r="H347" s="40">
        <f t="shared" ref="H347" si="12">SUM(I347*J347)+K347</f>
        <v>1300</v>
      </c>
      <c r="I347" s="29">
        <v>16.25</v>
      </c>
      <c r="J347" s="30">
        <v>80</v>
      </c>
      <c r="K347" s="42"/>
      <c r="L347" s="31"/>
    </row>
    <row r="348" spans="1:12">
      <c r="H348" s="6">
        <f>SUM(H343:H347)</f>
        <v>9080</v>
      </c>
    </row>
    <row r="349" spans="1:12">
      <c r="A349" s="16">
        <v>45695</v>
      </c>
      <c r="B349" s="17" t="s">
        <v>10</v>
      </c>
      <c r="C349" s="18" t="s">
        <v>11</v>
      </c>
      <c r="D349" s="19" t="s">
        <v>50</v>
      </c>
      <c r="E349" s="18" t="s">
        <v>66</v>
      </c>
      <c r="F349" s="18"/>
      <c r="G349" s="18"/>
      <c r="H349" s="20">
        <f>I349*J349</f>
        <v>1440</v>
      </c>
      <c r="I349" s="20">
        <v>18</v>
      </c>
      <c r="J349" s="21">
        <v>80</v>
      </c>
      <c r="K349" s="39"/>
      <c r="L349" s="22"/>
    </row>
    <row r="350" spans="1:12">
      <c r="A350" s="16">
        <v>45695</v>
      </c>
      <c r="B350" s="5" t="s">
        <v>22</v>
      </c>
      <c r="C350" t="s">
        <v>35</v>
      </c>
      <c r="D350" s="25" t="s">
        <v>17</v>
      </c>
      <c r="E350" t="s">
        <v>70</v>
      </c>
      <c r="H350" s="10">
        <f>I350*J350</f>
        <v>1840</v>
      </c>
      <c r="I350" s="10">
        <v>23</v>
      </c>
      <c r="J350" s="13">
        <v>80</v>
      </c>
      <c r="K350" s="6"/>
      <c r="L350" s="24"/>
    </row>
    <row r="351" spans="1:12">
      <c r="A351" s="16">
        <v>45695</v>
      </c>
      <c r="B351" s="5" t="s">
        <v>53</v>
      </c>
      <c r="C351" t="s">
        <v>11</v>
      </c>
      <c r="D351" t="s">
        <v>12</v>
      </c>
      <c r="E351" t="s">
        <v>66</v>
      </c>
      <c r="H351" s="10">
        <f>I351*J351</f>
        <v>2000</v>
      </c>
      <c r="I351" s="10">
        <v>25</v>
      </c>
      <c r="J351" s="13">
        <v>80</v>
      </c>
      <c r="K351" s="6"/>
      <c r="L351" s="24"/>
    </row>
    <row r="352" spans="1:12">
      <c r="A352" s="16">
        <v>45695</v>
      </c>
      <c r="B352" s="27" t="s">
        <v>90</v>
      </c>
      <c r="C352" s="28" t="s">
        <v>11</v>
      </c>
      <c r="D352" s="36" t="s">
        <v>91</v>
      </c>
      <c r="E352" s="28" t="s">
        <v>66</v>
      </c>
      <c r="F352" s="28"/>
      <c r="G352" s="28"/>
      <c r="H352" s="29">
        <f>I352*J352</f>
        <v>1300</v>
      </c>
      <c r="I352" s="29">
        <v>16.25</v>
      </c>
      <c r="J352" s="30">
        <v>80</v>
      </c>
      <c r="K352" s="40"/>
      <c r="L352" s="31"/>
    </row>
    <row r="353" spans="1:13">
      <c r="H353" s="10">
        <f>SUM(H349:H352)</f>
        <v>6580</v>
      </c>
    </row>
    <row r="354" spans="1:13">
      <c r="A354" s="16">
        <v>45709</v>
      </c>
      <c r="B354" s="44" t="s">
        <v>10</v>
      </c>
      <c r="C354" s="18" t="s">
        <v>11</v>
      </c>
      <c r="D354" s="19" t="s">
        <v>50</v>
      </c>
      <c r="E354" s="18" t="s">
        <v>66</v>
      </c>
      <c r="F354" s="18"/>
      <c r="G354" s="18"/>
      <c r="H354" s="39">
        <f>SUM(I354*J354)+K354</f>
        <v>1760</v>
      </c>
      <c r="I354" s="20">
        <v>20</v>
      </c>
      <c r="J354" s="21">
        <v>80</v>
      </c>
      <c r="K354" s="41">
        <v>160</v>
      </c>
      <c r="L354" s="22" t="s">
        <v>108</v>
      </c>
      <c r="M354" s="6"/>
    </row>
    <row r="355" spans="1:13">
      <c r="A355" s="16">
        <v>45709</v>
      </c>
      <c r="B355" s="45" t="s">
        <v>22</v>
      </c>
      <c r="C355" t="s">
        <v>35</v>
      </c>
      <c r="D355" s="25" t="s">
        <v>17</v>
      </c>
      <c r="E355" t="s">
        <v>70</v>
      </c>
      <c r="H355" s="6">
        <f t="shared" ref="H355:H356" si="13">SUM(I355*J355)+K355</f>
        <v>1840</v>
      </c>
      <c r="I355" s="10">
        <v>23</v>
      </c>
      <c r="J355" s="13">
        <v>80</v>
      </c>
      <c r="K355" s="43"/>
      <c r="L355" s="24"/>
    </row>
    <row r="356" spans="1:13">
      <c r="A356" s="16">
        <v>45709</v>
      </c>
      <c r="B356" s="45" t="s">
        <v>53</v>
      </c>
      <c r="C356" t="s">
        <v>11</v>
      </c>
      <c r="D356" t="s">
        <v>12</v>
      </c>
      <c r="E356" t="s">
        <v>66</v>
      </c>
      <c r="H356" s="6">
        <f t="shared" si="13"/>
        <v>2000</v>
      </c>
      <c r="I356" s="10">
        <v>25</v>
      </c>
      <c r="J356" s="13">
        <v>80</v>
      </c>
      <c r="K356" s="43"/>
      <c r="L356" s="24"/>
    </row>
    <row r="357" spans="1:13">
      <c r="A357" s="16">
        <v>45709</v>
      </c>
      <c r="B357" s="45" t="s">
        <v>35</v>
      </c>
      <c r="C357" t="s">
        <v>35</v>
      </c>
      <c r="D357" s="4" t="s">
        <v>17</v>
      </c>
      <c r="E357" t="s">
        <v>96</v>
      </c>
      <c r="H357" s="6">
        <v>2500</v>
      </c>
      <c r="K357" s="43"/>
      <c r="L357" s="24" t="s">
        <v>88</v>
      </c>
    </row>
    <row r="358" spans="1:13">
      <c r="A358" s="16">
        <v>45709</v>
      </c>
      <c r="B358" s="46" t="s">
        <v>90</v>
      </c>
      <c r="C358" s="28" t="s">
        <v>11</v>
      </c>
      <c r="D358" s="36" t="s">
        <v>91</v>
      </c>
      <c r="E358" s="28" t="s">
        <v>66</v>
      </c>
      <c r="F358" s="28"/>
      <c r="G358" s="28"/>
      <c r="H358" s="40">
        <f t="shared" ref="H358" si="14">SUM(I358*J358)+K358</f>
        <v>1300</v>
      </c>
      <c r="I358" s="29">
        <v>16.25</v>
      </c>
      <c r="J358" s="30">
        <v>80</v>
      </c>
      <c r="K358" s="42"/>
      <c r="L358" s="31"/>
    </row>
    <row r="359" spans="1:13">
      <c r="H359" s="51">
        <f>SUM(H354:H358)</f>
        <v>9400</v>
      </c>
    </row>
    <row r="360" spans="1:13">
      <c r="A360" s="47">
        <v>45723</v>
      </c>
      <c r="B360" s="48" t="s">
        <v>10</v>
      </c>
      <c r="C360" s="49" t="s">
        <v>11</v>
      </c>
      <c r="D360" s="50" t="s">
        <v>50</v>
      </c>
      <c r="E360" s="49" t="s">
        <v>66</v>
      </c>
      <c r="F360" s="49"/>
      <c r="G360" s="49"/>
      <c r="H360" s="51">
        <f>SUM(I360*J360)+K360</f>
        <v>1600</v>
      </c>
      <c r="I360" s="52">
        <v>20</v>
      </c>
      <c r="J360" s="53">
        <v>80</v>
      </c>
      <c r="K360" s="54"/>
      <c r="L360" s="48"/>
      <c r="M360" s="6"/>
    </row>
    <row r="361" spans="1:13">
      <c r="A361" s="47">
        <v>45723</v>
      </c>
      <c r="B361" s="48" t="s">
        <v>22</v>
      </c>
      <c r="C361" s="49" t="s">
        <v>35</v>
      </c>
      <c r="D361" s="50" t="s">
        <v>17</v>
      </c>
      <c r="E361" s="49" t="s">
        <v>70</v>
      </c>
      <c r="F361" s="49"/>
      <c r="G361" s="49"/>
      <c r="H361" s="51">
        <f t="shared" ref="H361:H362" si="15">SUM(I361*J361)+K361</f>
        <v>1840</v>
      </c>
      <c r="I361" s="52">
        <v>23</v>
      </c>
      <c r="J361" s="53">
        <v>80</v>
      </c>
      <c r="K361" s="54"/>
      <c r="L361" s="48"/>
    </row>
    <row r="362" spans="1:13">
      <c r="A362" s="47">
        <v>45723</v>
      </c>
      <c r="B362" s="48" t="s">
        <v>53</v>
      </c>
      <c r="C362" s="49" t="s">
        <v>11</v>
      </c>
      <c r="D362" s="49" t="s">
        <v>12</v>
      </c>
      <c r="E362" s="49" t="s">
        <v>66</v>
      </c>
      <c r="F362" s="49"/>
      <c r="G362" s="49"/>
      <c r="H362" s="51">
        <f t="shared" si="15"/>
        <v>2000</v>
      </c>
      <c r="I362" s="52">
        <v>25</v>
      </c>
      <c r="J362" s="53">
        <v>80</v>
      </c>
      <c r="K362" s="54"/>
      <c r="L362" s="48"/>
    </row>
    <row r="363" spans="1:13">
      <c r="A363" s="47">
        <v>45723</v>
      </c>
      <c r="B363" s="48" t="s">
        <v>90</v>
      </c>
      <c r="C363" s="49" t="s">
        <v>11</v>
      </c>
      <c r="D363" s="50" t="s">
        <v>91</v>
      </c>
      <c r="E363" s="49" t="s">
        <v>66</v>
      </c>
      <c r="F363" s="49"/>
      <c r="G363" s="49"/>
      <c r="H363" s="51">
        <f t="shared" ref="H363" si="16">SUM(I363*J363)+K363</f>
        <v>650</v>
      </c>
      <c r="I363" s="52">
        <v>16.25</v>
      </c>
      <c r="J363" s="53">
        <v>40</v>
      </c>
      <c r="K363" s="54"/>
      <c r="L363" s="48" t="s">
        <v>109</v>
      </c>
    </row>
    <row r="365" spans="1:13">
      <c r="A365" s="56">
        <v>45737</v>
      </c>
      <c r="B365" s="17" t="s">
        <v>10</v>
      </c>
      <c r="C365" s="18" t="s">
        <v>11</v>
      </c>
      <c r="D365" s="19" t="s">
        <v>50</v>
      </c>
      <c r="E365" s="18" t="s">
        <v>66</v>
      </c>
      <c r="F365" s="18"/>
      <c r="G365" s="18"/>
      <c r="H365" s="39">
        <v>1600</v>
      </c>
      <c r="I365" s="20">
        <v>20</v>
      </c>
      <c r="J365" s="21">
        <v>80</v>
      </c>
      <c r="K365" s="41"/>
      <c r="L365" s="22"/>
    </row>
    <row r="366" spans="1:13">
      <c r="A366" s="57">
        <v>45737</v>
      </c>
      <c r="B366" s="5" t="s">
        <v>22</v>
      </c>
      <c r="C366" t="s">
        <v>35</v>
      </c>
      <c r="D366" s="25" t="s">
        <v>17</v>
      </c>
      <c r="E366" t="s">
        <v>70</v>
      </c>
      <c r="H366" s="6">
        <f t="shared" ref="H366:H367" si="17">SUM(I366*J366)+K366</f>
        <v>1840</v>
      </c>
      <c r="I366" s="10">
        <v>23</v>
      </c>
      <c r="J366" s="13">
        <v>80</v>
      </c>
      <c r="K366" s="43"/>
      <c r="L366" s="24"/>
    </row>
    <row r="367" spans="1:13">
      <c r="A367" s="57">
        <v>45737</v>
      </c>
      <c r="B367" s="5" t="s">
        <v>53</v>
      </c>
      <c r="C367" t="s">
        <v>11</v>
      </c>
      <c r="D367" t="s">
        <v>12</v>
      </c>
      <c r="E367" t="s">
        <v>66</v>
      </c>
      <c r="H367" s="6">
        <f t="shared" si="17"/>
        <v>2000</v>
      </c>
      <c r="I367" s="10">
        <v>25</v>
      </c>
      <c r="J367" s="13">
        <v>80</v>
      </c>
      <c r="K367" s="43"/>
      <c r="L367" s="24"/>
    </row>
    <row r="368" spans="1:13">
      <c r="H368" s="55">
        <f>SUM(H365:H367)</f>
        <v>5440</v>
      </c>
    </row>
    <row r="369" spans="1:10">
      <c r="H369" s="55"/>
    </row>
    <row r="370" spans="1:10">
      <c r="A370" s="47">
        <v>45740</v>
      </c>
      <c r="B370" s="48" t="s">
        <v>110</v>
      </c>
      <c r="C370" s="49" t="s">
        <v>35</v>
      </c>
      <c r="D370" s="50" t="s">
        <v>17</v>
      </c>
      <c r="E370" s="49" t="s">
        <v>70</v>
      </c>
      <c r="F370" s="49"/>
      <c r="G370" s="49"/>
      <c r="H370" s="58">
        <v>1920</v>
      </c>
      <c r="I370" s="52"/>
      <c r="J370" s="53"/>
    </row>
    <row r="372" spans="1:10">
      <c r="A372" s="47">
        <v>45751</v>
      </c>
      <c r="B372" s="48" t="s">
        <v>10</v>
      </c>
      <c r="C372" s="49" t="s">
        <v>11</v>
      </c>
      <c r="D372" s="50" t="s">
        <v>50</v>
      </c>
      <c r="E372" s="49" t="s">
        <v>66</v>
      </c>
      <c r="F372" s="49"/>
      <c r="G372" s="49"/>
      <c r="H372" s="51">
        <v>1600</v>
      </c>
      <c r="I372" s="52">
        <v>20</v>
      </c>
      <c r="J372" s="53">
        <v>80</v>
      </c>
    </row>
    <row r="373" spans="1:10">
      <c r="A373" s="47">
        <v>45751</v>
      </c>
      <c r="B373" s="48" t="s">
        <v>22</v>
      </c>
      <c r="C373" s="49" t="s">
        <v>35</v>
      </c>
      <c r="D373" s="50" t="s">
        <v>17</v>
      </c>
      <c r="E373" s="49" t="s">
        <v>70</v>
      </c>
      <c r="F373" s="49"/>
      <c r="G373" s="49"/>
      <c r="H373" s="51">
        <f t="shared" ref="H373:H374" si="18">SUM(I373*J373)+K373</f>
        <v>1840</v>
      </c>
      <c r="I373" s="52">
        <v>23</v>
      </c>
      <c r="J373" s="53">
        <v>80</v>
      </c>
    </row>
    <row r="374" spans="1:10">
      <c r="A374" s="47">
        <v>45751</v>
      </c>
      <c r="B374" s="48" t="s">
        <v>53</v>
      </c>
      <c r="C374" s="49" t="s">
        <v>11</v>
      </c>
      <c r="D374" s="49" t="s">
        <v>12</v>
      </c>
      <c r="E374" s="49" t="s">
        <v>66</v>
      </c>
      <c r="F374" s="49"/>
      <c r="G374" s="49"/>
      <c r="H374" s="51">
        <f t="shared" si="18"/>
        <v>2000</v>
      </c>
      <c r="I374" s="52">
        <v>25</v>
      </c>
      <c r="J374" s="53">
        <v>80</v>
      </c>
    </row>
    <row r="375" spans="1:10">
      <c r="H375" s="55">
        <f>SUM(H372:H374)</f>
        <v>5440</v>
      </c>
    </row>
    <row r="376" spans="1:10">
      <c r="H376" s="55"/>
    </row>
    <row r="377" spans="1:10">
      <c r="A377" s="47">
        <v>45764</v>
      </c>
      <c r="B377" s="48" t="s">
        <v>10</v>
      </c>
      <c r="C377" s="49" t="s">
        <v>11</v>
      </c>
      <c r="D377" s="50" t="s">
        <v>50</v>
      </c>
      <c r="E377" s="49" t="s">
        <v>66</v>
      </c>
      <c r="F377" s="49"/>
      <c r="G377" s="49"/>
      <c r="H377" s="51">
        <v>1600</v>
      </c>
      <c r="I377" s="52">
        <v>20</v>
      </c>
      <c r="J377" s="53">
        <v>80</v>
      </c>
    </row>
    <row r="378" spans="1:10">
      <c r="A378" s="47">
        <v>45764</v>
      </c>
      <c r="B378" s="48" t="s">
        <v>22</v>
      </c>
      <c r="C378" s="49" t="s">
        <v>35</v>
      </c>
      <c r="D378" s="50" t="s">
        <v>17</v>
      </c>
      <c r="E378" s="49" t="s">
        <v>70</v>
      </c>
      <c r="F378" s="49"/>
      <c r="G378" s="49"/>
      <c r="H378" s="51">
        <f t="shared" ref="H378:H379" si="19">SUM(I378*J378)+K378</f>
        <v>1840</v>
      </c>
      <c r="I378" s="52">
        <v>23</v>
      </c>
      <c r="J378" s="53">
        <v>80</v>
      </c>
    </row>
    <row r="379" spans="1:10">
      <c r="A379" s="47">
        <v>45764</v>
      </c>
      <c r="B379" s="48" t="s">
        <v>53</v>
      </c>
      <c r="C379" s="49" t="s">
        <v>11</v>
      </c>
      <c r="D379" s="49" t="s">
        <v>12</v>
      </c>
      <c r="E379" s="49" t="s">
        <v>66</v>
      </c>
      <c r="F379" s="49"/>
      <c r="G379" s="49"/>
      <c r="H379" s="51">
        <f t="shared" si="19"/>
        <v>1875</v>
      </c>
      <c r="I379" s="52">
        <v>25</v>
      </c>
      <c r="J379" s="53">
        <v>75</v>
      </c>
    </row>
    <row r="380" spans="1:10">
      <c r="H380" s="55">
        <f>SUM(H377:H379)</f>
        <v>5315</v>
      </c>
    </row>
    <row r="382" spans="1:10">
      <c r="A382" s="47">
        <v>45779</v>
      </c>
      <c r="B382" s="48" t="s">
        <v>10</v>
      </c>
      <c r="C382" s="49" t="s">
        <v>11</v>
      </c>
      <c r="D382" s="50" t="s">
        <v>50</v>
      </c>
      <c r="E382" s="49" t="s">
        <v>66</v>
      </c>
      <c r="F382" s="49"/>
      <c r="G382" s="49"/>
      <c r="H382" s="51">
        <v>1700</v>
      </c>
      <c r="I382" s="52">
        <v>20</v>
      </c>
      <c r="J382" s="53">
        <v>85</v>
      </c>
    </row>
    <row r="383" spans="1:10">
      <c r="A383" s="47">
        <v>45779</v>
      </c>
      <c r="B383" s="48" t="s">
        <v>22</v>
      </c>
      <c r="C383" s="49" t="s">
        <v>35</v>
      </c>
      <c r="D383" s="50" t="s">
        <v>17</v>
      </c>
      <c r="E383" s="49" t="s">
        <v>70</v>
      </c>
      <c r="F383" s="49"/>
      <c r="G383" s="49"/>
      <c r="H383" s="51">
        <f t="shared" ref="H383:H384" si="20">SUM(I383*J383)+K383</f>
        <v>1840</v>
      </c>
      <c r="I383" s="52">
        <v>23</v>
      </c>
      <c r="J383" s="53">
        <v>80</v>
      </c>
    </row>
    <row r="384" spans="1:10">
      <c r="A384" s="47">
        <v>45779</v>
      </c>
      <c r="B384" s="48" t="s">
        <v>53</v>
      </c>
      <c r="C384" s="49" t="s">
        <v>11</v>
      </c>
      <c r="D384" s="49" t="s">
        <v>12</v>
      </c>
      <c r="E384" s="49" t="s">
        <v>66</v>
      </c>
      <c r="F384" s="49"/>
      <c r="G384" s="49"/>
      <c r="H384" s="51">
        <f t="shared" si="20"/>
        <v>2000</v>
      </c>
      <c r="I384" s="52">
        <v>25</v>
      </c>
      <c r="J384" s="53">
        <v>80</v>
      </c>
    </row>
    <row r="385" spans="1:10">
      <c r="H385" s="55">
        <f>SUM(H382:H384)</f>
        <v>5540</v>
      </c>
    </row>
    <row r="387" spans="1:10">
      <c r="A387" s="47">
        <v>45793</v>
      </c>
      <c r="B387" s="48" t="s">
        <v>10</v>
      </c>
      <c r="C387" s="49" t="s">
        <v>11</v>
      </c>
      <c r="D387" s="50" t="s">
        <v>50</v>
      </c>
      <c r="E387" s="49" t="s">
        <v>66</v>
      </c>
      <c r="F387" s="49"/>
      <c r="G387" s="49"/>
      <c r="H387" s="51">
        <v>1600</v>
      </c>
      <c r="I387" s="52">
        <v>20</v>
      </c>
      <c r="J387" s="53">
        <v>80</v>
      </c>
    </row>
    <row r="388" spans="1:10">
      <c r="A388" s="47">
        <v>45793</v>
      </c>
      <c r="B388" s="48" t="s">
        <v>22</v>
      </c>
      <c r="C388" s="49" t="s">
        <v>35</v>
      </c>
      <c r="D388" s="50" t="s">
        <v>17</v>
      </c>
      <c r="E388" s="49" t="s">
        <v>70</v>
      </c>
      <c r="F388" s="49"/>
      <c r="G388" s="49"/>
      <c r="H388" s="51">
        <f t="shared" ref="H388:H389" si="21">SUM(I388*J388)+K388</f>
        <v>1840</v>
      </c>
      <c r="I388" s="52">
        <v>23</v>
      </c>
      <c r="J388" s="53">
        <v>80</v>
      </c>
    </row>
    <row r="389" spans="1:10">
      <c r="A389" s="47">
        <v>45793</v>
      </c>
      <c r="B389" s="48" t="s">
        <v>53</v>
      </c>
      <c r="C389" s="49" t="s">
        <v>11</v>
      </c>
      <c r="D389" s="49" t="s">
        <v>12</v>
      </c>
      <c r="E389" s="49" t="s">
        <v>66</v>
      </c>
      <c r="F389" s="49"/>
      <c r="G389" s="49"/>
      <c r="H389" s="51">
        <f t="shared" si="21"/>
        <v>2000</v>
      </c>
      <c r="I389" s="52">
        <v>25</v>
      </c>
      <c r="J389" s="53">
        <v>80</v>
      </c>
    </row>
    <row r="391" spans="1:10">
      <c r="H391" s="55">
        <f>SUM(H387:H390)</f>
        <v>5440</v>
      </c>
    </row>
    <row r="393" spans="1:10">
      <c r="A393" s="47">
        <v>45807</v>
      </c>
      <c r="B393" s="48" t="s">
        <v>10</v>
      </c>
      <c r="C393" s="49" t="s">
        <v>11</v>
      </c>
      <c r="D393" s="50" t="s">
        <v>50</v>
      </c>
      <c r="E393" s="49" t="s">
        <v>66</v>
      </c>
      <c r="F393" s="49"/>
      <c r="G393" s="49"/>
      <c r="H393" s="51">
        <v>1600</v>
      </c>
      <c r="I393" s="52">
        <v>20</v>
      </c>
      <c r="J393" s="53">
        <v>80</v>
      </c>
    </row>
    <row r="394" spans="1:10">
      <c r="A394" s="47">
        <v>45807</v>
      </c>
      <c r="B394" s="48" t="s">
        <v>22</v>
      </c>
      <c r="C394" s="49" t="s">
        <v>35</v>
      </c>
      <c r="D394" s="50" t="s">
        <v>17</v>
      </c>
      <c r="E394" s="49" t="s">
        <v>70</v>
      </c>
      <c r="F394" s="49"/>
      <c r="G394" s="49"/>
      <c r="H394" s="51">
        <f t="shared" ref="H394:H395" si="22">SUM(I394*J394)+K394</f>
        <v>1840</v>
      </c>
      <c r="I394" s="52">
        <v>23</v>
      </c>
      <c r="J394" s="53">
        <v>80</v>
      </c>
    </row>
    <row r="395" spans="1:10">
      <c r="A395" s="47">
        <v>45807</v>
      </c>
      <c r="B395" s="48" t="s">
        <v>53</v>
      </c>
      <c r="C395" s="49" t="s">
        <v>11</v>
      </c>
      <c r="D395" s="49" t="s">
        <v>12</v>
      </c>
      <c r="E395" s="49" t="s">
        <v>66</v>
      </c>
      <c r="F395" s="49"/>
      <c r="G395" s="49"/>
      <c r="H395" s="51">
        <f t="shared" si="22"/>
        <v>1000</v>
      </c>
      <c r="I395" s="52">
        <v>25</v>
      </c>
      <c r="J395" s="53">
        <v>40</v>
      </c>
    </row>
    <row r="396" spans="1:10">
      <c r="H396" s="55">
        <f>SUM(H393:H395)</f>
        <v>4440</v>
      </c>
    </row>
    <row r="398" spans="1:10">
      <c r="A398" s="47">
        <v>45821</v>
      </c>
      <c r="B398" s="48" t="s">
        <v>10</v>
      </c>
      <c r="C398" s="49" t="s">
        <v>11</v>
      </c>
      <c r="D398" s="50" t="s">
        <v>50</v>
      </c>
      <c r="E398" s="49" t="s">
        <v>66</v>
      </c>
      <c r="F398" s="49"/>
      <c r="G398" s="49"/>
      <c r="H398" s="51">
        <v>1600</v>
      </c>
      <c r="I398" s="52">
        <v>20</v>
      </c>
      <c r="J398" s="53">
        <v>80</v>
      </c>
    </row>
    <row r="399" spans="1:10">
      <c r="A399" s="47">
        <v>45821</v>
      </c>
      <c r="B399" s="48" t="s">
        <v>22</v>
      </c>
      <c r="C399" s="49" t="s">
        <v>35</v>
      </c>
      <c r="D399" s="50" t="s">
        <v>17</v>
      </c>
      <c r="E399" s="49" t="s">
        <v>70</v>
      </c>
      <c r="F399" s="49"/>
      <c r="G399" s="49"/>
      <c r="H399" s="51">
        <f t="shared" ref="H399:H400" si="23">SUM(I399*J399)+K399</f>
        <v>1840</v>
      </c>
      <c r="I399" s="52">
        <v>23</v>
      </c>
      <c r="J399" s="53">
        <v>80</v>
      </c>
    </row>
    <row r="400" spans="1:10">
      <c r="A400" s="47">
        <v>45821</v>
      </c>
      <c r="B400" s="48" t="s">
        <v>53</v>
      </c>
      <c r="C400" s="49" t="s">
        <v>11</v>
      </c>
      <c r="D400" s="49" t="s">
        <v>12</v>
      </c>
      <c r="E400" s="49" t="s">
        <v>66</v>
      </c>
      <c r="F400" s="49"/>
      <c r="G400" s="49"/>
      <c r="H400" s="51">
        <f t="shared" si="23"/>
        <v>2000</v>
      </c>
      <c r="I400" s="52">
        <v>25</v>
      </c>
      <c r="J400" s="53">
        <v>80</v>
      </c>
    </row>
    <row r="402" spans="1:10">
      <c r="H402" s="55">
        <f>SUM(H398:H401)</f>
        <v>5440</v>
      </c>
    </row>
    <row r="403" spans="1:10">
      <c r="A403" s="47">
        <v>45835</v>
      </c>
      <c r="B403" s="48" t="s">
        <v>10</v>
      </c>
      <c r="C403" s="49" t="s">
        <v>11</v>
      </c>
      <c r="D403" s="50" t="s">
        <v>50</v>
      </c>
      <c r="E403" s="49" t="s">
        <v>66</v>
      </c>
      <c r="F403" s="49"/>
      <c r="G403" s="49"/>
      <c r="H403" s="51">
        <v>1600</v>
      </c>
      <c r="I403" s="52">
        <v>20</v>
      </c>
      <c r="J403" s="53">
        <v>80</v>
      </c>
    </row>
    <row r="404" spans="1:10">
      <c r="A404" s="47">
        <v>45835</v>
      </c>
      <c r="B404" s="48" t="s">
        <v>22</v>
      </c>
      <c r="C404" s="49" t="s">
        <v>35</v>
      </c>
      <c r="D404" s="50" t="s">
        <v>17</v>
      </c>
      <c r="E404" s="49" t="s">
        <v>70</v>
      </c>
      <c r="F404" s="49"/>
      <c r="G404" s="49"/>
      <c r="H404" s="51">
        <f t="shared" ref="H404:H406" si="24">SUM(I404*J404)+K404</f>
        <v>1840</v>
      </c>
      <c r="I404" s="52">
        <v>23</v>
      </c>
      <c r="J404" s="53">
        <v>80</v>
      </c>
    </row>
    <row r="405" spans="1:10">
      <c r="A405" s="47">
        <v>45835</v>
      </c>
      <c r="B405" s="48" t="s">
        <v>111</v>
      </c>
      <c r="C405" s="49" t="s">
        <v>35</v>
      </c>
      <c r="D405" s="50" t="s">
        <v>17</v>
      </c>
      <c r="E405" s="49" t="s">
        <v>70</v>
      </c>
      <c r="F405" s="49"/>
      <c r="G405" s="49"/>
      <c r="H405" s="51">
        <v>77</v>
      </c>
      <c r="I405" s="52"/>
      <c r="J405" s="53"/>
    </row>
    <row r="406" spans="1:10">
      <c r="A406" s="47">
        <v>45835</v>
      </c>
      <c r="B406" s="48" t="s">
        <v>53</v>
      </c>
      <c r="C406" s="49" t="s">
        <v>11</v>
      </c>
      <c r="D406" s="49" t="s">
        <v>12</v>
      </c>
      <c r="E406" s="49" t="s">
        <v>66</v>
      </c>
      <c r="F406" s="49"/>
      <c r="G406" s="49"/>
      <c r="H406" s="51">
        <f t="shared" si="24"/>
        <v>2000</v>
      </c>
      <c r="I406" s="52">
        <v>25</v>
      </c>
      <c r="J406" s="53">
        <v>80</v>
      </c>
    </row>
    <row r="407" spans="1:10">
      <c r="H407" s="55">
        <f>SUM(H403:H406)</f>
        <v>5517</v>
      </c>
    </row>
    <row r="409" spans="1:10">
      <c r="A409" s="47">
        <v>45849</v>
      </c>
      <c r="B409" s="48" t="s">
        <v>10</v>
      </c>
      <c r="C409" s="49" t="s">
        <v>11</v>
      </c>
      <c r="D409" s="50" t="s">
        <v>50</v>
      </c>
      <c r="E409" s="49" t="s">
        <v>66</v>
      </c>
      <c r="F409" s="49"/>
      <c r="G409" s="49"/>
      <c r="H409" s="51">
        <v>1600</v>
      </c>
      <c r="I409" s="52">
        <v>20</v>
      </c>
      <c r="J409" s="53">
        <v>80</v>
      </c>
    </row>
    <row r="410" spans="1:10">
      <c r="A410" s="47">
        <v>45849</v>
      </c>
      <c r="B410" s="48" t="s">
        <v>22</v>
      </c>
      <c r="C410" s="49" t="s">
        <v>35</v>
      </c>
      <c r="D410" s="50" t="s">
        <v>17</v>
      </c>
      <c r="E410" s="49" t="s">
        <v>70</v>
      </c>
      <c r="F410" s="49"/>
      <c r="G410" s="49"/>
      <c r="H410" s="51">
        <f t="shared" ref="H410" si="25">SUM(I410*J410)+K410</f>
        <v>1840</v>
      </c>
      <c r="I410" s="52">
        <v>23</v>
      </c>
      <c r="J410" s="53">
        <v>80</v>
      </c>
    </row>
    <row r="411" spans="1:10">
      <c r="A411" s="47">
        <v>45849</v>
      </c>
      <c r="B411" s="48" t="s">
        <v>112</v>
      </c>
      <c r="C411" s="49" t="s">
        <v>11</v>
      </c>
      <c r="D411" s="50" t="s">
        <v>50</v>
      </c>
      <c r="E411" s="49" t="s">
        <v>66</v>
      </c>
      <c r="F411" s="49"/>
      <c r="G411" s="49"/>
      <c r="H411" s="51">
        <v>100</v>
      </c>
      <c r="I411" s="52"/>
      <c r="J411" s="53"/>
    </row>
    <row r="412" spans="1:10">
      <c r="A412" s="47">
        <v>45849</v>
      </c>
      <c r="B412" s="48" t="s">
        <v>53</v>
      </c>
      <c r="C412" s="49" t="s">
        <v>11</v>
      </c>
      <c r="D412" s="49" t="s">
        <v>12</v>
      </c>
      <c r="E412" s="49" t="s">
        <v>66</v>
      </c>
      <c r="F412" s="49"/>
      <c r="G412" s="49"/>
      <c r="H412" s="51">
        <f t="shared" ref="H412" si="26">SUM(I412*J412)+K412</f>
        <v>2000</v>
      </c>
      <c r="I412" s="52">
        <v>25</v>
      </c>
      <c r="J412" s="53">
        <v>80</v>
      </c>
    </row>
    <row r="413" spans="1:10">
      <c r="H413" s="55">
        <f>SUM(H409:H412)</f>
        <v>5540</v>
      </c>
    </row>
    <row r="415" spans="1:10">
      <c r="A415" s="47">
        <v>45863</v>
      </c>
      <c r="B415" s="48" t="s">
        <v>10</v>
      </c>
      <c r="C415" s="49" t="s">
        <v>11</v>
      </c>
      <c r="D415" s="50" t="s">
        <v>50</v>
      </c>
      <c r="E415" s="49" t="s">
        <v>66</v>
      </c>
      <c r="F415" s="49"/>
      <c r="G415" s="49"/>
      <c r="H415" s="51">
        <v>1620</v>
      </c>
      <c r="I415" s="52">
        <v>20</v>
      </c>
      <c r="J415" s="53">
        <v>80</v>
      </c>
    </row>
    <row r="416" spans="1:10">
      <c r="A416" s="47">
        <v>45863</v>
      </c>
      <c r="B416" s="48" t="s">
        <v>22</v>
      </c>
      <c r="C416" s="49" t="s">
        <v>35</v>
      </c>
      <c r="D416" s="50" t="s">
        <v>17</v>
      </c>
      <c r="E416" s="49" t="s">
        <v>70</v>
      </c>
      <c r="F416" s="49"/>
      <c r="G416" s="49"/>
      <c r="H416" s="51">
        <f t="shared" ref="H416" si="27">SUM(I416*J416)+K416</f>
        <v>1840</v>
      </c>
      <c r="I416" s="52">
        <v>23</v>
      </c>
      <c r="J416" s="53">
        <v>80</v>
      </c>
    </row>
    <row r="417" spans="1:10">
      <c r="A417" s="47">
        <v>45863</v>
      </c>
      <c r="B417" s="48" t="s">
        <v>53</v>
      </c>
      <c r="C417" s="49" t="s">
        <v>11</v>
      </c>
      <c r="D417" s="49" t="s">
        <v>12</v>
      </c>
      <c r="E417" s="49" t="s">
        <v>66</v>
      </c>
      <c r="F417" s="49"/>
      <c r="G417" s="49"/>
      <c r="H417" s="51">
        <f t="shared" ref="H417" si="28">SUM(I417*J417)+K417</f>
        <v>2000</v>
      </c>
      <c r="I417" s="52">
        <v>25</v>
      </c>
      <c r="J417" s="53">
        <v>80</v>
      </c>
    </row>
    <row r="418" spans="1:10">
      <c r="H418" s="55">
        <f>SUM(H415:H417)</f>
        <v>5460</v>
      </c>
    </row>
    <row r="420" spans="1:10">
      <c r="A420" s="47">
        <v>45877</v>
      </c>
      <c r="B420" s="48" t="s">
        <v>10</v>
      </c>
      <c r="C420" s="49" t="s">
        <v>11</v>
      </c>
      <c r="D420" s="50" t="s">
        <v>50</v>
      </c>
      <c r="E420" s="49" t="s">
        <v>66</v>
      </c>
      <c r="F420" s="49"/>
      <c r="G420" s="49"/>
      <c r="H420" s="51">
        <v>1600</v>
      </c>
      <c r="I420" s="52">
        <v>20</v>
      </c>
      <c r="J420" s="53">
        <v>80</v>
      </c>
    </row>
    <row r="421" spans="1:10">
      <c r="A421" s="47">
        <v>45877</v>
      </c>
      <c r="B421" s="48" t="s">
        <v>22</v>
      </c>
      <c r="C421" s="49" t="s">
        <v>35</v>
      </c>
      <c r="D421" s="50" t="s">
        <v>17</v>
      </c>
      <c r="E421" s="49" t="s">
        <v>70</v>
      </c>
      <c r="F421" s="49"/>
      <c r="G421" s="49"/>
      <c r="H421" s="51">
        <f t="shared" ref="H421" si="29">SUM(I421*J421)+K421</f>
        <v>1840</v>
      </c>
      <c r="I421" s="52">
        <v>23</v>
      </c>
      <c r="J421" s="53">
        <v>80</v>
      </c>
    </row>
    <row r="422" spans="1:10">
      <c r="A422" s="47">
        <v>45877</v>
      </c>
      <c r="B422" s="48" t="s">
        <v>112</v>
      </c>
      <c r="C422" s="49" t="s">
        <v>11</v>
      </c>
      <c r="D422" s="50" t="s">
        <v>50</v>
      </c>
      <c r="E422" s="49" t="s">
        <v>66</v>
      </c>
      <c r="F422" s="49"/>
      <c r="G422" s="49"/>
      <c r="H422" s="51">
        <v>100</v>
      </c>
      <c r="I422" s="52"/>
      <c r="J422" s="53"/>
    </row>
    <row r="423" spans="1:10">
      <c r="A423" s="47">
        <v>45877</v>
      </c>
      <c r="B423" s="48" t="s">
        <v>53</v>
      </c>
      <c r="C423" s="49" t="s">
        <v>11</v>
      </c>
      <c r="D423" s="49" t="s">
        <v>12</v>
      </c>
      <c r="E423" s="49" t="s">
        <v>66</v>
      </c>
      <c r="F423" s="49"/>
      <c r="G423" s="49"/>
      <c r="H423" s="51">
        <f t="shared" ref="H423" si="30">SUM(I423*J423)+K423</f>
        <v>2025</v>
      </c>
      <c r="I423" s="52">
        <v>25</v>
      </c>
      <c r="J423" s="53">
        <v>81</v>
      </c>
    </row>
    <row r="424" spans="1:10">
      <c r="H424" s="55">
        <f>SUM(H420:H423)</f>
        <v>5565</v>
      </c>
    </row>
    <row r="426" spans="1:10">
      <c r="A426" s="47">
        <v>45891</v>
      </c>
      <c r="B426" s="48" t="s">
        <v>10</v>
      </c>
      <c r="C426" s="49" t="s">
        <v>11</v>
      </c>
      <c r="D426" s="50" t="s">
        <v>50</v>
      </c>
      <c r="E426" s="49" t="s">
        <v>66</v>
      </c>
      <c r="F426" s="49"/>
      <c r="G426" s="49"/>
      <c r="H426" s="51">
        <v>1600</v>
      </c>
      <c r="I426" s="52">
        <v>20</v>
      </c>
      <c r="J426" s="53">
        <v>82</v>
      </c>
    </row>
    <row r="427" spans="1:10">
      <c r="A427" s="47">
        <v>45891</v>
      </c>
      <c r="B427" s="48" t="s">
        <v>22</v>
      </c>
      <c r="C427" s="49" t="s">
        <v>35</v>
      </c>
      <c r="D427" s="50" t="s">
        <v>17</v>
      </c>
      <c r="E427" s="49" t="s">
        <v>70</v>
      </c>
      <c r="F427" s="49"/>
      <c r="G427" s="49"/>
      <c r="H427" s="51">
        <f t="shared" ref="H427" si="31">SUM(I427*J427)+K427</f>
        <v>1840</v>
      </c>
      <c r="I427" s="52">
        <v>23</v>
      </c>
      <c r="J427" s="53">
        <v>80</v>
      </c>
    </row>
    <row r="428" spans="1:10">
      <c r="A428" s="47">
        <v>45891</v>
      </c>
      <c r="B428" s="48" t="s">
        <v>112</v>
      </c>
      <c r="C428" s="49" t="s">
        <v>11</v>
      </c>
      <c r="D428" s="50" t="s">
        <v>50</v>
      </c>
      <c r="E428" s="49" t="s">
        <v>66</v>
      </c>
      <c r="F428" s="49"/>
      <c r="G428" s="49"/>
      <c r="H428" s="51">
        <v>100</v>
      </c>
      <c r="I428" s="52"/>
      <c r="J428" s="53"/>
    </row>
    <row r="429" spans="1:10">
      <c r="A429" s="47">
        <v>45891</v>
      </c>
      <c r="B429" s="48" t="s">
        <v>53</v>
      </c>
      <c r="C429" s="49" t="s">
        <v>11</v>
      </c>
      <c r="D429" s="49" t="s">
        <v>12</v>
      </c>
      <c r="E429" s="49" t="s">
        <v>66</v>
      </c>
      <c r="F429" s="49"/>
      <c r="G429" s="49"/>
      <c r="H429" s="51">
        <f t="shared" ref="H429" si="32">SUM(I429*J429)+K429</f>
        <v>1900</v>
      </c>
      <c r="I429" s="52">
        <v>25</v>
      </c>
      <c r="J429" s="53">
        <v>76</v>
      </c>
    </row>
    <row r="430" spans="1:10">
      <c r="A430" s="47">
        <v>45891</v>
      </c>
      <c r="B430" s="48" t="s">
        <v>113</v>
      </c>
      <c r="C430" s="49" t="s">
        <v>11</v>
      </c>
      <c r="D430" s="50" t="s">
        <v>114</v>
      </c>
      <c r="E430" s="49" t="s">
        <v>66</v>
      </c>
      <c r="F430" s="49"/>
      <c r="G430" s="49"/>
      <c r="H430" s="51">
        <v>2080</v>
      </c>
      <c r="I430" s="52">
        <v>26</v>
      </c>
      <c r="J430" s="53">
        <v>80</v>
      </c>
    </row>
    <row r="431" spans="1:10">
      <c r="H431" s="55">
        <f>SUM(H426:H430)</f>
        <v>7520</v>
      </c>
    </row>
    <row r="433" spans="1:10">
      <c r="A433" s="47">
        <v>45905</v>
      </c>
      <c r="B433" s="48" t="s">
        <v>10</v>
      </c>
      <c r="C433" s="49" t="s">
        <v>11</v>
      </c>
      <c r="D433" s="50" t="s">
        <v>50</v>
      </c>
      <c r="E433" s="49" t="s">
        <v>66</v>
      </c>
      <c r="F433" s="49"/>
      <c r="G433" s="49"/>
      <c r="H433" s="59">
        <v>1600</v>
      </c>
      <c r="I433" s="52">
        <v>20</v>
      </c>
      <c r="J433" s="53">
        <v>80</v>
      </c>
    </row>
    <row r="434" spans="1:10">
      <c r="A434" s="47">
        <v>45905</v>
      </c>
      <c r="B434" s="48" t="s">
        <v>22</v>
      </c>
      <c r="C434" s="49" t="s">
        <v>35</v>
      </c>
      <c r="D434" s="50" t="s">
        <v>17</v>
      </c>
      <c r="E434" s="49" t="s">
        <v>70</v>
      </c>
      <c r="F434" s="49"/>
      <c r="G434" s="49"/>
      <c r="H434" s="59">
        <f t="shared" ref="H434" si="33">SUM(I434*J434)+K434</f>
        <v>1840</v>
      </c>
      <c r="I434" s="52">
        <v>23</v>
      </c>
      <c r="J434" s="53">
        <v>80</v>
      </c>
    </row>
    <row r="435" spans="1:10">
      <c r="A435" s="47">
        <v>45905</v>
      </c>
      <c r="B435" s="48" t="s">
        <v>53</v>
      </c>
      <c r="C435" s="49" t="s">
        <v>11</v>
      </c>
      <c r="D435" s="49" t="s">
        <v>12</v>
      </c>
      <c r="E435" s="49" t="s">
        <v>66</v>
      </c>
      <c r="F435" s="49"/>
      <c r="G435" s="49"/>
      <c r="H435" s="59">
        <f t="shared" ref="H435" si="34">SUM(I435*J435)+K435</f>
        <v>1750</v>
      </c>
      <c r="I435" s="52">
        <v>25</v>
      </c>
      <c r="J435" s="53">
        <v>70</v>
      </c>
    </row>
    <row r="436" spans="1:10">
      <c r="A436" s="47">
        <v>45905</v>
      </c>
      <c r="B436" s="48" t="s">
        <v>113</v>
      </c>
      <c r="C436" s="49" t="s">
        <v>11</v>
      </c>
      <c r="D436" s="50" t="s">
        <v>114</v>
      </c>
      <c r="E436" s="49" t="s">
        <v>66</v>
      </c>
      <c r="F436" s="49"/>
      <c r="G436" s="49"/>
      <c r="H436" s="51">
        <v>2080</v>
      </c>
      <c r="I436" s="52">
        <v>26</v>
      </c>
      <c r="J436" s="53">
        <v>80</v>
      </c>
    </row>
    <row r="437" spans="1:10">
      <c r="H437" s="55">
        <f>SUM(H433:H436)</f>
        <v>7270</v>
      </c>
    </row>
    <row r="439" spans="1:10">
      <c r="A439" s="47">
        <v>45919</v>
      </c>
      <c r="B439" s="48" t="s">
        <v>10</v>
      </c>
      <c r="C439" s="49" t="s">
        <v>11</v>
      </c>
      <c r="D439" s="50" t="s">
        <v>50</v>
      </c>
      <c r="E439" s="49" t="s">
        <v>66</v>
      </c>
      <c r="F439" s="49"/>
      <c r="G439" s="49"/>
      <c r="H439" s="51">
        <v>1700</v>
      </c>
      <c r="I439" s="52">
        <v>20</v>
      </c>
      <c r="J439" s="53">
        <v>85</v>
      </c>
    </row>
    <row r="440" spans="1:10">
      <c r="A440" s="47">
        <v>45919</v>
      </c>
      <c r="B440" s="48" t="s">
        <v>22</v>
      </c>
      <c r="C440" s="49" t="s">
        <v>35</v>
      </c>
      <c r="D440" s="50" t="s">
        <v>17</v>
      </c>
      <c r="E440" s="49" t="s">
        <v>70</v>
      </c>
      <c r="F440" s="49"/>
      <c r="G440" s="49"/>
      <c r="H440" s="51">
        <f t="shared" ref="H440" si="35">SUM(I440*J440)+K440</f>
        <v>1840</v>
      </c>
      <c r="I440" s="52">
        <v>23</v>
      </c>
      <c r="J440" s="53">
        <v>80</v>
      </c>
    </row>
    <row r="441" spans="1:10">
      <c r="A441" s="47">
        <v>45919</v>
      </c>
      <c r="B441" s="48" t="s">
        <v>112</v>
      </c>
      <c r="C441" s="49" t="s">
        <v>11</v>
      </c>
      <c r="D441" s="50" t="s">
        <v>50</v>
      </c>
      <c r="E441" s="49" t="s">
        <v>66</v>
      </c>
      <c r="F441" s="49"/>
      <c r="G441" s="49"/>
      <c r="H441" s="51">
        <v>100</v>
      </c>
      <c r="I441" s="52"/>
      <c r="J441" s="53"/>
    </row>
    <row r="442" spans="1:10">
      <c r="A442" s="47">
        <v>45919</v>
      </c>
      <c r="B442" s="48" t="s">
        <v>53</v>
      </c>
      <c r="C442" s="49" t="s">
        <v>11</v>
      </c>
      <c r="D442" s="49" t="s">
        <v>12</v>
      </c>
      <c r="E442" s="49" t="s">
        <v>66</v>
      </c>
      <c r="F442" s="49"/>
      <c r="G442" s="49"/>
      <c r="H442" s="51">
        <f t="shared" ref="H442" si="36">SUM(I442*J442)+K442</f>
        <v>2000</v>
      </c>
      <c r="I442" s="52">
        <v>25</v>
      </c>
      <c r="J442" s="53">
        <v>80</v>
      </c>
    </row>
    <row r="443" spans="1:10">
      <c r="A443" s="47">
        <v>45919</v>
      </c>
      <c r="B443" s="48" t="s">
        <v>113</v>
      </c>
      <c r="C443" s="49" t="s">
        <v>11</v>
      </c>
      <c r="D443" s="50" t="s">
        <v>114</v>
      </c>
      <c r="E443" s="49" t="s">
        <v>66</v>
      </c>
      <c r="F443" s="49"/>
      <c r="G443" s="49"/>
      <c r="H443" s="51">
        <v>2080</v>
      </c>
      <c r="I443" s="52">
        <v>26</v>
      </c>
      <c r="J443" s="53">
        <v>80</v>
      </c>
    </row>
    <row r="444" spans="1:10">
      <c r="H444" s="55">
        <f>SUM(H439:H443)</f>
        <v>7720</v>
      </c>
    </row>
    <row r="446" spans="1:10">
      <c r="A446" s="47">
        <v>45933</v>
      </c>
      <c r="B446" s="48" t="s">
        <v>10</v>
      </c>
      <c r="C446" s="49" t="s">
        <v>11</v>
      </c>
      <c r="D446" s="50" t="s">
        <v>50</v>
      </c>
      <c r="E446" s="49" t="s">
        <v>66</v>
      </c>
      <c r="F446" s="49"/>
      <c r="G446" s="49"/>
      <c r="H446" s="59">
        <v>1720</v>
      </c>
      <c r="I446" s="52">
        <v>20</v>
      </c>
      <c r="J446" s="53">
        <v>86</v>
      </c>
    </row>
    <row r="447" spans="1:10">
      <c r="A447" s="47">
        <v>45933</v>
      </c>
      <c r="B447" s="48" t="s">
        <v>22</v>
      </c>
      <c r="C447" s="49" t="s">
        <v>35</v>
      </c>
      <c r="D447" s="50" t="s">
        <v>17</v>
      </c>
      <c r="E447" s="49" t="s">
        <v>70</v>
      </c>
      <c r="F447" s="49"/>
      <c r="G447" s="49"/>
      <c r="H447" s="59">
        <f t="shared" ref="H447" si="37">SUM(I447*J447)+K447</f>
        <v>1840</v>
      </c>
      <c r="I447" s="52">
        <v>23</v>
      </c>
      <c r="J447" s="53">
        <v>80</v>
      </c>
    </row>
    <row r="448" spans="1:10">
      <c r="A448" s="47">
        <v>45933</v>
      </c>
      <c r="B448" s="48" t="s">
        <v>112</v>
      </c>
      <c r="C448" s="49" t="s">
        <v>11</v>
      </c>
      <c r="D448" s="50" t="s">
        <v>50</v>
      </c>
      <c r="E448" s="49" t="s">
        <v>66</v>
      </c>
      <c r="F448" s="49"/>
      <c r="G448" s="49"/>
      <c r="H448" s="59">
        <v>100</v>
      </c>
      <c r="I448" s="52"/>
      <c r="J448" s="53"/>
    </row>
    <row r="449" spans="1:10">
      <c r="A449" s="47">
        <v>45933</v>
      </c>
      <c r="B449" s="48" t="s">
        <v>53</v>
      </c>
      <c r="C449" s="49" t="s">
        <v>11</v>
      </c>
      <c r="D449" s="49" t="s">
        <v>12</v>
      </c>
      <c r="E449" s="49" t="s">
        <v>66</v>
      </c>
      <c r="F449" s="49"/>
      <c r="G449" s="49"/>
      <c r="H449" s="59">
        <f>SUM(I449*J449)+K449</f>
        <v>2025</v>
      </c>
      <c r="I449" s="52">
        <v>25</v>
      </c>
      <c r="J449" s="53">
        <v>81</v>
      </c>
    </row>
    <row r="450" spans="1:10">
      <c r="A450" s="47">
        <v>45933</v>
      </c>
      <c r="B450" s="48" t="s">
        <v>113</v>
      </c>
      <c r="C450" s="49" t="s">
        <v>11</v>
      </c>
      <c r="D450" s="50" t="s">
        <v>114</v>
      </c>
      <c r="E450" s="49" t="s">
        <v>66</v>
      </c>
      <c r="F450" s="49"/>
      <c r="G450" s="49"/>
      <c r="H450" s="59">
        <v>2080</v>
      </c>
      <c r="I450" s="52">
        <v>26</v>
      </c>
      <c r="J450" s="53">
        <v>80</v>
      </c>
    </row>
    <row r="451" spans="1:10">
      <c r="H451" s="55">
        <f>SUM(H446:H450)</f>
        <v>7765</v>
      </c>
    </row>
    <row r="453" spans="1:10">
      <c r="A453" s="47">
        <v>45947</v>
      </c>
      <c r="B453" s="48" t="s">
        <v>10</v>
      </c>
      <c r="C453" s="49" t="s">
        <v>11</v>
      </c>
      <c r="D453" s="50" t="s">
        <v>50</v>
      </c>
      <c r="E453" s="49" t="s">
        <v>66</v>
      </c>
      <c r="F453" s="49"/>
      <c r="G453" s="49"/>
      <c r="H453" s="59">
        <v>1600</v>
      </c>
      <c r="I453" s="52">
        <v>20</v>
      </c>
      <c r="J453" s="53">
        <v>80</v>
      </c>
    </row>
    <row r="454" spans="1:10">
      <c r="A454" s="47">
        <v>45947</v>
      </c>
      <c r="B454" s="48" t="s">
        <v>22</v>
      </c>
      <c r="C454" s="49" t="s">
        <v>35</v>
      </c>
      <c r="D454" s="50" t="s">
        <v>17</v>
      </c>
      <c r="E454" s="49" t="s">
        <v>70</v>
      </c>
      <c r="F454" s="49"/>
      <c r="G454" s="49"/>
      <c r="H454" s="59" t="e">
        <f>D455+D455+C460=SUM(I454*J454)+K454</f>
        <v>#VALUE!</v>
      </c>
      <c r="I454" s="52">
        <v>23</v>
      </c>
      <c r="J454" s="53">
        <v>80</v>
      </c>
    </row>
    <row r="455" spans="1:10">
      <c r="A455" s="47">
        <v>45947</v>
      </c>
      <c r="B455" s="48" t="s">
        <v>53</v>
      </c>
      <c r="C455" s="49" t="s">
        <v>11</v>
      </c>
      <c r="D455" s="50" t="s">
        <v>12</v>
      </c>
      <c r="E455" s="49" t="s">
        <v>66</v>
      </c>
      <c r="F455" s="49"/>
      <c r="G455" s="49"/>
      <c r="H455" s="51">
        <f>SUM(I455*J455)+K455</f>
        <v>2000</v>
      </c>
      <c r="I455" s="52">
        <v>25</v>
      </c>
      <c r="J455" s="53">
        <v>80</v>
      </c>
    </row>
    <row r="456" spans="1:10">
      <c r="A456" s="47">
        <v>45947</v>
      </c>
      <c r="B456" s="48" t="s">
        <v>113</v>
      </c>
      <c r="C456" s="49" t="s">
        <v>11</v>
      </c>
      <c r="D456" s="50" t="s">
        <v>114</v>
      </c>
      <c r="E456" s="49" t="s">
        <v>66</v>
      </c>
      <c r="F456" s="49"/>
      <c r="G456" s="49"/>
      <c r="H456" s="59">
        <v>2080</v>
      </c>
      <c r="I456" s="52">
        <v>26</v>
      </c>
      <c r="J456" s="53">
        <v>80</v>
      </c>
    </row>
    <row r="457" spans="1:10">
      <c r="H457" s="55" t="e">
        <f>SUM(H453:H456)</f>
        <v>#VALUE!</v>
      </c>
    </row>
    <row r="459" spans="1:10">
      <c r="A459" s="47">
        <v>45961</v>
      </c>
      <c r="B459" s="48" t="s">
        <v>10</v>
      </c>
      <c r="C459" s="49" t="s">
        <v>11</v>
      </c>
      <c r="D459" s="50" t="s">
        <v>50</v>
      </c>
      <c r="E459" s="49" t="s">
        <v>66</v>
      </c>
      <c r="F459" s="49"/>
      <c r="G459" s="49"/>
      <c r="H459" s="59">
        <v>1600</v>
      </c>
      <c r="I459" s="52">
        <v>20</v>
      </c>
      <c r="J459" s="53">
        <v>80</v>
      </c>
    </row>
    <row r="460" spans="1:10">
      <c r="A460" s="47">
        <v>45961</v>
      </c>
      <c r="B460" s="48" t="s">
        <v>22</v>
      </c>
      <c r="C460" s="49" t="s">
        <v>35</v>
      </c>
      <c r="D460" s="50" t="s">
        <v>17</v>
      </c>
      <c r="E460" s="49" t="s">
        <v>70</v>
      </c>
      <c r="F460" s="49"/>
      <c r="G460" s="49"/>
      <c r="H460" s="59">
        <f t="shared" ref="H460" si="38">SUM(I460*J460)+K460</f>
        <v>1840</v>
      </c>
      <c r="I460" s="52">
        <v>23</v>
      </c>
      <c r="J460" s="53">
        <v>80</v>
      </c>
    </row>
    <row r="461" spans="1:10">
      <c r="A461" s="47">
        <v>45961</v>
      </c>
      <c r="B461" s="48" t="s">
        <v>112</v>
      </c>
      <c r="C461" s="49" t="s">
        <v>11</v>
      </c>
      <c r="D461" s="50" t="s">
        <v>50</v>
      </c>
      <c r="E461" s="49" t="s">
        <v>66</v>
      </c>
      <c r="F461" s="49"/>
      <c r="G461" s="49"/>
      <c r="H461" s="59">
        <v>100</v>
      </c>
      <c r="I461" s="52"/>
      <c r="J461" s="53"/>
    </row>
    <row r="462" spans="1:10">
      <c r="A462" s="47">
        <v>45961</v>
      </c>
      <c r="B462" s="48" t="s">
        <v>53</v>
      </c>
      <c r="C462" s="49" t="s">
        <v>11</v>
      </c>
      <c r="D462" s="49" t="s">
        <v>12</v>
      </c>
      <c r="E462" s="49" t="s">
        <v>66</v>
      </c>
      <c r="F462" s="49"/>
      <c r="G462" s="49"/>
      <c r="H462" s="59">
        <f>SUM(I462*J462)+K462</f>
        <v>2000</v>
      </c>
      <c r="I462" s="52">
        <v>25</v>
      </c>
      <c r="J462" s="53">
        <v>80</v>
      </c>
    </row>
    <row r="463" spans="1:10">
      <c r="A463" s="47">
        <v>45961</v>
      </c>
      <c r="B463" s="48" t="s">
        <v>113</v>
      </c>
      <c r="C463" s="49" t="s">
        <v>11</v>
      </c>
      <c r="D463" s="50" t="s">
        <v>114</v>
      </c>
      <c r="E463" s="49" t="s">
        <v>66</v>
      </c>
      <c r="F463" s="49"/>
      <c r="G463" s="49"/>
      <c r="H463" s="59">
        <v>2080</v>
      </c>
      <c r="I463" s="52">
        <v>26</v>
      </c>
      <c r="J463" s="53">
        <v>80</v>
      </c>
    </row>
    <row r="464" spans="1:10">
      <c r="H464" s="55">
        <f>SUM(H459:H463)</f>
        <v>7620</v>
      </c>
    </row>
    <row r="466" spans="1:10">
      <c r="A466" s="47">
        <v>45975</v>
      </c>
      <c r="B466" s="48" t="s">
        <v>10</v>
      </c>
      <c r="C466" s="49" t="s">
        <v>11</v>
      </c>
      <c r="D466" s="50" t="s">
        <v>50</v>
      </c>
      <c r="E466" s="49" t="s">
        <v>66</v>
      </c>
      <c r="F466" s="49"/>
      <c r="G466" s="49"/>
      <c r="H466" s="59">
        <v>1600</v>
      </c>
      <c r="I466" s="52">
        <v>20</v>
      </c>
      <c r="J466" s="53">
        <v>80</v>
      </c>
    </row>
    <row r="467" spans="1:10">
      <c r="A467" s="47">
        <v>45975</v>
      </c>
      <c r="B467" s="48" t="s">
        <v>22</v>
      </c>
      <c r="C467" s="49" t="s">
        <v>35</v>
      </c>
      <c r="D467" s="50" t="s">
        <v>17</v>
      </c>
      <c r="E467" s="49" t="s">
        <v>70</v>
      </c>
      <c r="F467" s="49"/>
      <c r="G467" s="49"/>
      <c r="H467" s="59">
        <f t="shared" ref="H467" si="39">SUM(I467*J467)+K467</f>
        <v>1840</v>
      </c>
      <c r="I467" s="52">
        <v>23</v>
      </c>
      <c r="J467" s="53">
        <v>80</v>
      </c>
    </row>
    <row r="468" spans="1:10">
      <c r="A468" s="47">
        <v>45975</v>
      </c>
      <c r="B468" s="48" t="s">
        <v>112</v>
      </c>
      <c r="C468" s="49" t="s">
        <v>11</v>
      </c>
      <c r="D468" s="50" t="s">
        <v>50</v>
      </c>
      <c r="E468" s="49" t="s">
        <v>66</v>
      </c>
      <c r="F468" s="49"/>
      <c r="G468" s="49"/>
      <c r="H468" s="59">
        <v>100</v>
      </c>
      <c r="I468" s="52"/>
      <c r="J468" s="53"/>
    </row>
    <row r="469" spans="1:10">
      <c r="A469" s="47">
        <v>45975</v>
      </c>
      <c r="B469" s="48" t="s">
        <v>53</v>
      </c>
      <c r="C469" s="49" t="s">
        <v>11</v>
      </c>
      <c r="D469" s="50" t="s">
        <v>12</v>
      </c>
      <c r="E469" s="49" t="s">
        <v>66</v>
      </c>
      <c r="F469" s="49"/>
      <c r="G469" s="49"/>
      <c r="H469" s="59">
        <f>SUM(I469*J469)+K469</f>
        <v>1600</v>
      </c>
      <c r="I469" s="52">
        <v>25</v>
      </c>
      <c r="J469" s="53">
        <v>64</v>
      </c>
    </row>
    <row r="470" spans="1:10">
      <c r="A470" s="47">
        <v>45975</v>
      </c>
      <c r="B470" s="48" t="s">
        <v>113</v>
      </c>
      <c r="C470" s="49" t="s">
        <v>11</v>
      </c>
      <c r="D470" s="50" t="s">
        <v>114</v>
      </c>
      <c r="E470" s="49" t="s">
        <v>66</v>
      </c>
      <c r="F470" s="49"/>
      <c r="G470" s="49"/>
      <c r="H470" s="59">
        <v>2080</v>
      </c>
      <c r="I470" s="52">
        <v>26</v>
      </c>
      <c r="J470" s="53">
        <v>80</v>
      </c>
    </row>
    <row r="471" spans="1:10">
      <c r="H471" s="55">
        <f>SUM(H466:H470)</f>
        <v>7220</v>
      </c>
    </row>
    <row r="473" spans="1:10">
      <c r="A473" s="47">
        <v>45989</v>
      </c>
      <c r="B473" s="48" t="s">
        <v>10</v>
      </c>
      <c r="C473" s="49" t="s">
        <v>11</v>
      </c>
      <c r="D473" s="50" t="s">
        <v>50</v>
      </c>
      <c r="E473" s="49" t="s">
        <v>66</v>
      </c>
      <c r="F473" s="49"/>
      <c r="G473" s="49"/>
      <c r="H473" s="59">
        <v>1600</v>
      </c>
      <c r="I473" s="52">
        <v>20</v>
      </c>
      <c r="J473" s="53">
        <v>80</v>
      </c>
    </row>
    <row r="474" spans="1:10">
      <c r="A474" s="47">
        <v>45989</v>
      </c>
      <c r="B474" s="48" t="s">
        <v>22</v>
      </c>
      <c r="C474" s="49" t="s">
        <v>35</v>
      </c>
      <c r="D474" s="50" t="s">
        <v>17</v>
      </c>
      <c r="E474" s="49" t="s">
        <v>70</v>
      </c>
      <c r="F474" s="49"/>
      <c r="G474" s="49"/>
      <c r="H474" s="59">
        <f t="shared" ref="H474" si="40">SUM(I474*J474)+K474</f>
        <v>1840</v>
      </c>
      <c r="I474" s="52">
        <v>23</v>
      </c>
      <c r="J474" s="53">
        <v>80</v>
      </c>
    </row>
    <row r="475" spans="1:10">
      <c r="A475" s="47">
        <v>45989</v>
      </c>
      <c r="B475" s="48" t="s">
        <v>53</v>
      </c>
      <c r="C475" s="49" t="s">
        <v>11</v>
      </c>
      <c r="D475" s="50" t="s">
        <v>12</v>
      </c>
      <c r="E475" s="49" t="s">
        <v>66</v>
      </c>
      <c r="F475" s="49"/>
      <c r="G475" s="49"/>
      <c r="H475" s="59">
        <f>SUM(I475*J475)+K475</f>
        <v>2000</v>
      </c>
      <c r="I475" s="52">
        <v>25</v>
      </c>
      <c r="J475" s="53">
        <v>80</v>
      </c>
    </row>
    <row r="476" spans="1:10">
      <c r="A476" s="47">
        <v>45989</v>
      </c>
      <c r="B476" s="48" t="s">
        <v>113</v>
      </c>
      <c r="C476" s="49" t="s">
        <v>11</v>
      </c>
      <c r="D476" s="50" t="s">
        <v>114</v>
      </c>
      <c r="E476" s="49" t="s">
        <v>66</v>
      </c>
      <c r="F476" s="49"/>
      <c r="G476" s="49"/>
      <c r="H476" s="59">
        <v>2080</v>
      </c>
      <c r="I476" s="52">
        <v>26</v>
      </c>
      <c r="J476" s="53">
        <v>80</v>
      </c>
    </row>
    <row r="477" spans="1:10">
      <c r="H477" s="55">
        <f>SUM(H473:H476)</f>
        <v>7520</v>
      </c>
    </row>
    <row r="479" spans="1:10">
      <c r="A479" s="47">
        <v>46003</v>
      </c>
      <c r="B479" s="48" t="s">
        <v>10</v>
      </c>
      <c r="C479" s="49" t="s">
        <v>11</v>
      </c>
      <c r="D479" s="50" t="s">
        <v>50</v>
      </c>
      <c r="E479" s="49" t="s">
        <v>66</v>
      </c>
      <c r="F479" s="49"/>
      <c r="G479" s="49"/>
      <c r="H479" s="59">
        <v>1600</v>
      </c>
      <c r="I479" s="52">
        <v>20</v>
      </c>
      <c r="J479" s="53">
        <v>80</v>
      </c>
    </row>
    <row r="480" spans="1:10">
      <c r="A480" s="47">
        <v>46003</v>
      </c>
      <c r="B480" s="48" t="s">
        <v>22</v>
      </c>
      <c r="C480" s="49" t="s">
        <v>35</v>
      </c>
      <c r="D480" s="50" t="s">
        <v>17</v>
      </c>
      <c r="E480" s="49" t="s">
        <v>70</v>
      </c>
      <c r="F480" s="49"/>
      <c r="G480" s="49"/>
      <c r="H480" s="51">
        <f t="shared" ref="H480" si="41">SUM(I480*J480)+K480</f>
        <v>1840</v>
      </c>
      <c r="I480" s="52">
        <v>23</v>
      </c>
      <c r="J480" s="53">
        <v>80</v>
      </c>
    </row>
    <row r="481" spans="1:10">
      <c r="A481" s="47">
        <v>46003</v>
      </c>
      <c r="B481" s="48" t="s">
        <v>112</v>
      </c>
      <c r="C481" s="49" t="s">
        <v>11</v>
      </c>
      <c r="D481" s="50" t="s">
        <v>50</v>
      </c>
      <c r="E481" s="49" t="s">
        <v>66</v>
      </c>
      <c r="F481" s="49"/>
      <c r="G481" s="49"/>
      <c r="H481" s="59">
        <v>100</v>
      </c>
      <c r="I481" s="52"/>
      <c r="J481" s="53"/>
    </row>
    <row r="482" spans="1:10">
      <c r="A482" s="47">
        <v>46003</v>
      </c>
      <c r="B482" s="48" t="s">
        <v>53</v>
      </c>
      <c r="C482" s="49" t="s">
        <v>11</v>
      </c>
      <c r="D482" s="50" t="s">
        <v>12</v>
      </c>
      <c r="E482" s="49" t="s">
        <v>66</v>
      </c>
      <c r="F482" s="49"/>
      <c r="G482" s="49"/>
      <c r="H482" s="51">
        <f>SUM(I482*J482)+K482</f>
        <v>2000</v>
      </c>
      <c r="I482" s="52">
        <v>25</v>
      </c>
      <c r="J482" s="53">
        <v>80</v>
      </c>
    </row>
    <row r="483" spans="1:10">
      <c r="A483" s="47">
        <v>46003</v>
      </c>
      <c r="B483" s="48" t="s">
        <v>113</v>
      </c>
      <c r="C483" s="49" t="s">
        <v>11</v>
      </c>
      <c r="D483" s="50" t="s">
        <v>114</v>
      </c>
      <c r="E483" s="49" t="s">
        <v>66</v>
      </c>
      <c r="F483" s="49"/>
      <c r="G483" s="49"/>
      <c r="H483" s="51">
        <v>2080</v>
      </c>
      <c r="I483" s="52">
        <v>26</v>
      </c>
      <c r="J483" s="53">
        <v>80</v>
      </c>
    </row>
    <row r="484" spans="1:10">
      <c r="H484" s="55">
        <f>SUM(H479:H483)</f>
        <v>7620</v>
      </c>
    </row>
    <row r="486" spans="1:10">
      <c r="A486" s="47">
        <v>46017</v>
      </c>
      <c r="B486" s="48" t="s">
        <v>10</v>
      </c>
      <c r="C486" s="49" t="s">
        <v>11</v>
      </c>
      <c r="D486" s="50" t="s">
        <v>50</v>
      </c>
      <c r="E486" s="49" t="s">
        <v>66</v>
      </c>
      <c r="F486" s="49"/>
      <c r="G486" s="49"/>
      <c r="H486" s="51">
        <v>1600</v>
      </c>
      <c r="I486" s="52">
        <v>20</v>
      </c>
      <c r="J486" s="53">
        <v>80</v>
      </c>
    </row>
    <row r="487" spans="1:10">
      <c r="A487" s="47">
        <v>46017</v>
      </c>
      <c r="B487" s="48" t="s">
        <v>22</v>
      </c>
      <c r="C487" s="49" t="s">
        <v>35</v>
      </c>
      <c r="D487" s="50" t="s">
        <v>17</v>
      </c>
      <c r="E487" s="49" t="s">
        <v>70</v>
      </c>
      <c r="F487" s="49"/>
      <c r="G487" s="49"/>
      <c r="H487" s="59">
        <f t="shared" ref="H487" si="42">SUM(I487*J487)+K487</f>
        <v>1840</v>
      </c>
      <c r="I487" s="52">
        <v>23</v>
      </c>
      <c r="J487" s="53">
        <v>80</v>
      </c>
    </row>
    <row r="488" spans="1:10">
      <c r="A488" s="47">
        <v>46017</v>
      </c>
      <c r="B488" s="48" t="s">
        <v>112</v>
      </c>
      <c r="C488" s="49" t="s">
        <v>11</v>
      </c>
      <c r="D488" s="50" t="s">
        <v>50</v>
      </c>
      <c r="E488" s="49" t="s">
        <v>66</v>
      </c>
      <c r="F488" s="49"/>
      <c r="G488" s="49"/>
      <c r="H488" s="51">
        <v>100</v>
      </c>
      <c r="I488" s="52"/>
      <c r="J488" s="53"/>
    </row>
    <row r="489" spans="1:10">
      <c r="A489" s="47">
        <v>46017</v>
      </c>
      <c r="B489" s="48" t="s">
        <v>115</v>
      </c>
      <c r="C489" s="49" t="s">
        <v>116</v>
      </c>
      <c r="D489" s="50" t="s">
        <v>50</v>
      </c>
      <c r="E489" s="49" t="s">
        <v>66</v>
      </c>
      <c r="F489" s="49"/>
      <c r="G489" s="49"/>
      <c r="H489" s="51">
        <v>500</v>
      </c>
      <c r="I489" s="52"/>
      <c r="J489" s="53"/>
    </row>
    <row r="490" spans="1:10">
      <c r="A490" s="47">
        <v>46017</v>
      </c>
      <c r="B490" s="48" t="s">
        <v>53</v>
      </c>
      <c r="C490" s="49" t="s">
        <v>11</v>
      </c>
      <c r="D490" s="50" t="s">
        <v>12</v>
      </c>
      <c r="E490" s="49" t="s">
        <v>66</v>
      </c>
      <c r="F490" s="49"/>
      <c r="G490" s="49"/>
      <c r="H490" s="51">
        <f>SUM(I490*J490)+K490</f>
        <v>2000</v>
      </c>
      <c r="I490" s="52">
        <v>25</v>
      </c>
      <c r="J490" s="53">
        <v>80</v>
      </c>
    </row>
    <row r="491" spans="1:10">
      <c r="A491" s="47">
        <v>46017</v>
      </c>
      <c r="B491" s="48" t="s">
        <v>113</v>
      </c>
      <c r="C491" s="49" t="s">
        <v>11</v>
      </c>
      <c r="D491" s="50" t="s">
        <v>114</v>
      </c>
      <c r="E491" s="49" t="s">
        <v>66</v>
      </c>
      <c r="F491" s="49"/>
      <c r="G491" s="49"/>
      <c r="H491" s="59">
        <v>2080</v>
      </c>
      <c r="I491" s="52">
        <v>26</v>
      </c>
      <c r="J491" s="53">
        <v>80</v>
      </c>
    </row>
    <row r="492" spans="1:10">
      <c r="H492" s="55">
        <f>SUM(H486:H491)</f>
        <v>8120</v>
      </c>
    </row>
  </sheetData>
  <autoFilter ref="A1:M18" xr:uid="{CB188202-A6FE-4247-92D5-60CFD95A499E}">
    <sortState xmlns:xlrd2="http://schemas.microsoft.com/office/spreadsheetml/2017/richdata2" ref="A2:M18">
      <sortCondition ref="A1:A18"/>
    </sortState>
  </autoFilter>
  <hyperlinks>
    <hyperlink ref="D7" r:id="rId1" xr:uid="{4FBFBA33-AEEC-4D11-86FB-C7F44309ADFB}"/>
    <hyperlink ref="D69" r:id="rId2" xr:uid="{F5B11160-D8D2-4A24-9030-FEBAB855CE8A}"/>
    <hyperlink ref="D67" r:id="rId3" xr:uid="{41020B11-B53D-416F-90D1-DC619FC812AE}"/>
    <hyperlink ref="D72" r:id="rId4" xr:uid="{BC442919-2F4D-4B6F-9E7D-F78F962DCA54}"/>
    <hyperlink ref="D73" r:id="rId5" xr:uid="{5856A6BB-1223-4DE9-9314-3301A1E25C4A}"/>
    <hyperlink ref="D76" r:id="rId6" xr:uid="{28F233F4-5A2F-4AF5-93DA-C89A95B744E2}"/>
    <hyperlink ref="D77" r:id="rId7" xr:uid="{2D7CAEEC-D193-416B-9CB3-2B98FAA715D2}"/>
    <hyperlink ref="D80" r:id="rId8" xr:uid="{0ADE68F8-1149-4C97-839C-05FC0E96918E}"/>
    <hyperlink ref="D82" r:id="rId9" xr:uid="{2AA0D13B-DC3E-4DEF-8A33-CC502B49D21D}"/>
    <hyperlink ref="D81" r:id="rId10" xr:uid="{0F925208-32CF-45D0-A722-FBDBD30CFF66}"/>
    <hyperlink ref="D84" r:id="rId11" xr:uid="{5D639DCF-4BCA-4363-92AC-12ADE0C4A144}"/>
    <hyperlink ref="D87" r:id="rId12" xr:uid="{7538D8AD-3B53-409E-92C7-64D1D87731ED}"/>
    <hyperlink ref="D88" r:id="rId13" xr:uid="{89F2B442-1E7E-4422-A36B-990856D6E5F7}"/>
    <hyperlink ref="D91" r:id="rId14" xr:uid="{A1E97333-6F61-4E4B-8267-D6918A5551BB}"/>
    <hyperlink ref="D92" r:id="rId15" xr:uid="{80A35FDF-97A9-4946-A6D0-FFCC2F56DE67}"/>
    <hyperlink ref="D96" r:id="rId16" xr:uid="{77A7F1F2-4B0D-4A2B-A0CC-43811658BAE6}"/>
    <hyperlink ref="D97" r:id="rId17" xr:uid="{57BCFDA8-8A75-4CDE-8A33-726D179981FF}"/>
    <hyperlink ref="D102" r:id="rId18" xr:uid="{2885C95B-BC05-4BF6-BC18-71064F32C3E9}"/>
    <hyperlink ref="D100" r:id="rId19" xr:uid="{9A59A966-0A14-404C-AC84-2FB3500732AA}"/>
    <hyperlink ref="D106" r:id="rId20" xr:uid="{589D9367-263B-448D-B49B-0E80913CB2F2}"/>
    <hyperlink ref="D105" r:id="rId21" xr:uid="{31786961-918E-4EE4-A4F7-4F447BFB82C1}"/>
    <hyperlink ref="D111" r:id="rId22" xr:uid="{6936A9FC-30DD-4A08-BE5F-65E6C3C73DAD}"/>
    <hyperlink ref="D112" r:id="rId23" xr:uid="{F4F9976E-E505-4F39-A8AD-5B47C65AA415}"/>
    <hyperlink ref="D113" r:id="rId24" xr:uid="{F6BC8A3F-11AB-435F-B095-AC3C1BF787B7}"/>
    <hyperlink ref="D117" r:id="rId25" xr:uid="{CDF6F8E7-3A17-4CAB-9E0E-893B6BD46F77}"/>
    <hyperlink ref="D119" r:id="rId26" xr:uid="{AD95CB1F-425B-4465-9E50-19A89162F864}"/>
    <hyperlink ref="D122" r:id="rId27" xr:uid="{112990BB-C534-4281-B08D-B3F5A3125DB9}"/>
    <hyperlink ref="D123" r:id="rId28" xr:uid="{2B9B1C5B-FBC5-483A-B283-A28FAADB530D}"/>
    <hyperlink ref="D129" r:id="rId29" xr:uid="{5982722D-9C4A-4D95-927C-9BD96A63495A}"/>
    <hyperlink ref="D130" r:id="rId30" xr:uid="{D59A1D7A-4578-43E1-AB27-73A665A4CF83}"/>
    <hyperlink ref="D133" r:id="rId31" xr:uid="{91D5EC19-C19A-4F5F-86BF-3F657EDD70CE}"/>
    <hyperlink ref="D134" r:id="rId32" xr:uid="{FC1881FE-D51E-4DF9-A67C-EB34E0985940}"/>
    <hyperlink ref="D137" r:id="rId33" xr:uid="{EEF1CB1A-F65B-436D-978B-26AA89F79BB5}"/>
    <hyperlink ref="D138" r:id="rId34" xr:uid="{AA7AF907-B215-44B8-A596-4B978074B5CD}"/>
    <hyperlink ref="D142" r:id="rId35" xr:uid="{39BF0135-E179-477B-8895-58654B98576F}"/>
    <hyperlink ref="D143" r:id="rId36" xr:uid="{DC6BD67B-1B89-452B-ACE2-FC9B150C2C74}"/>
    <hyperlink ref="D146" r:id="rId37" xr:uid="{046D3A55-E8CB-42DB-A24D-4A4D71B425EC}"/>
    <hyperlink ref="D147" r:id="rId38" xr:uid="{1F5D39CB-ED58-427D-A961-64391EEC01CD}"/>
    <hyperlink ref="D151" r:id="rId39" xr:uid="{72EC28D6-C73D-4E72-A38D-6771A2C4B6FA}"/>
    <hyperlink ref="D152" r:id="rId40" xr:uid="{CDB62AAF-9A90-43F0-BFDD-CDB33CC4C945}"/>
    <hyperlink ref="D155" r:id="rId41" xr:uid="{ABC60241-F573-476B-99F1-BFB30220C02F}"/>
    <hyperlink ref="D156" r:id="rId42" xr:uid="{CCD4A5B6-74CA-47DD-92CA-ED462BD198DD}"/>
    <hyperlink ref="D159" r:id="rId43" xr:uid="{19DE9AD3-5F7E-4C85-AB79-DBE2E8B93AC1}"/>
    <hyperlink ref="D161" r:id="rId44" xr:uid="{BF59C50F-BF7D-4DBC-800A-C0FD81FC18BF}"/>
    <hyperlink ref="D162" r:id="rId45" xr:uid="{F05D3732-4288-4A44-9423-9382268E17E3}"/>
    <hyperlink ref="D165" r:id="rId46" xr:uid="{5D6A3F8D-363A-4606-85B2-4246574394DF}"/>
    <hyperlink ref="D166" r:id="rId47" xr:uid="{3BE851D5-02FB-428D-A2B3-1D769318B878}"/>
    <hyperlink ref="D168" r:id="rId48" xr:uid="{F7C23167-D4D9-4488-98CC-DB3658940783}"/>
    <hyperlink ref="D170" r:id="rId49" xr:uid="{2634E5C5-86EE-4235-98E8-035EB0796624}"/>
    <hyperlink ref="D171" r:id="rId50" xr:uid="{F8CA6A46-1E97-4340-8866-92A5ACFE302C}"/>
    <hyperlink ref="D174" r:id="rId51" xr:uid="{A8CAA276-A561-4156-B4D3-361723DA637F}"/>
    <hyperlink ref="D175" r:id="rId52" xr:uid="{9FC2DF19-9A61-490B-9E9F-B72A0A208364}"/>
    <hyperlink ref="D177" r:id="rId53" xr:uid="{59631CAC-2F3A-4927-A37E-E84DC2B35BAE}"/>
    <hyperlink ref="D179" r:id="rId54" xr:uid="{C2DF5E48-069E-489C-B7F4-FE644F0F99CF}"/>
    <hyperlink ref="D180" r:id="rId55" xr:uid="{C2FC87B4-2AC3-4C2B-A7A6-358B835C7B6B}"/>
    <hyperlink ref="D183" r:id="rId56" xr:uid="{9E4DB000-0711-4CD7-AC24-EFAEA1DCBC81}"/>
    <hyperlink ref="D184" r:id="rId57" xr:uid="{E32DE9FE-B7ED-455E-BF44-3F28C8ED2364}"/>
    <hyperlink ref="D186" r:id="rId58" xr:uid="{AEC1B22C-1A50-4EBC-BF2B-C4FDD8588D9E}"/>
    <hyperlink ref="D188" r:id="rId59" xr:uid="{50595B1D-FDDD-44B8-B1CC-FE4CB3F70AD5}"/>
    <hyperlink ref="D189" r:id="rId60" xr:uid="{C11E4E25-7A35-4359-9A5A-CAC20DA06C49}"/>
    <hyperlink ref="D192" r:id="rId61" xr:uid="{D07A0CEF-8036-4AC0-BFAD-B142A1DA71D2}"/>
    <hyperlink ref="D193" r:id="rId62" xr:uid="{FAE7EB95-B161-438B-9C3F-74DB340DEE86}"/>
    <hyperlink ref="D195" r:id="rId63" xr:uid="{E2D204DE-5546-4F24-B1AB-0F3C4451C7D3}"/>
    <hyperlink ref="D197" r:id="rId64" xr:uid="{E8CDE3DA-63D3-457F-969A-8C5058B41C5C}"/>
    <hyperlink ref="D198" r:id="rId65" xr:uid="{7609C9BB-6F73-4373-A563-4204584C277F}"/>
    <hyperlink ref="D201" r:id="rId66" xr:uid="{9F1CB8CD-2070-4D9B-9432-1257846B9B41}"/>
    <hyperlink ref="D202" r:id="rId67" xr:uid="{03E4ABAB-20DE-4A57-9FDD-F0575F8DD450}"/>
    <hyperlink ref="D204" r:id="rId68" xr:uid="{64ED0885-7B00-416F-8670-FD35D8D2D01D}"/>
    <hyperlink ref="D206" r:id="rId69" xr:uid="{8A40955C-978B-4C8F-B5FA-7D2422084D76}"/>
    <hyperlink ref="D207" r:id="rId70" xr:uid="{02A8E220-51F8-45C1-8767-553F7853CA67}"/>
    <hyperlink ref="D210" r:id="rId71" xr:uid="{EA4F1F9D-BC5A-43F2-8EE0-85EE1FEB878F}"/>
    <hyperlink ref="D211" r:id="rId72" xr:uid="{5D21871A-E351-4681-A4DF-B0BFBD21AD3C}"/>
    <hyperlink ref="D213" r:id="rId73" xr:uid="{BDB5366D-E524-41B1-892B-C8FD5CF09E32}"/>
    <hyperlink ref="D215" r:id="rId74" xr:uid="{F6630C69-8B55-48DC-9400-6CB9F1EABD30}"/>
    <hyperlink ref="D216" r:id="rId75" xr:uid="{C104D04C-379A-4085-9C6A-304E459AF9BE}"/>
    <hyperlink ref="D218" r:id="rId76" xr:uid="{F226EC33-7724-4C41-980D-BDB05ACB2B0E}"/>
    <hyperlink ref="D220" r:id="rId77" xr:uid="{600B8079-E69A-4D93-9B06-33E460CDAFCC}"/>
    <hyperlink ref="D221" r:id="rId78" xr:uid="{2B297C62-6B53-4D3A-A2C0-96EA7BDD45BD}"/>
    <hyperlink ref="D223" r:id="rId79" xr:uid="{95BAF40E-79EE-4F3A-B1E1-1DE0E42DAAD8}"/>
    <hyperlink ref="D224" r:id="rId80" xr:uid="{5B86C017-6B70-4B51-8BDB-24A53F91D82B}"/>
    <hyperlink ref="D226" r:id="rId81" xr:uid="{F7191272-97C5-43D4-8553-87E021461088}"/>
    <hyperlink ref="D227" r:id="rId82" xr:uid="{CFEF4675-ED3E-48B5-A694-282975055320}"/>
    <hyperlink ref="D229" r:id="rId83" xr:uid="{040FF4E1-7E28-4C8F-B2B7-62F940E863A3}"/>
    <hyperlink ref="D231" r:id="rId84" xr:uid="{4AB9ADEB-BA1C-49A2-B622-2876646FC168}"/>
    <hyperlink ref="D232" r:id="rId85" xr:uid="{43AA70A1-3B29-43D4-AE61-4EAA3EE73C96}"/>
    <hyperlink ref="D234" r:id="rId86" xr:uid="{EED10768-94F2-4785-BF26-C44269E4D87A}"/>
    <hyperlink ref="D235" r:id="rId87" xr:uid="{05E61750-E512-49BE-8123-A8E727FBE072}"/>
    <hyperlink ref="D237" r:id="rId88" xr:uid="{B121ABF2-AD42-434C-BFE1-62EA8EDAD47F}"/>
    <hyperlink ref="D238" r:id="rId89" xr:uid="{63B5CE6D-8988-477D-ACBD-3097752C7E4E}"/>
    <hyperlink ref="D240" r:id="rId90" xr:uid="{D3280357-F98D-4601-BF04-5FB2FCD89F8F}"/>
    <hyperlink ref="D242" r:id="rId91" xr:uid="{88720B40-1F7A-485C-9FCA-0AFDD4E5C6E2}"/>
    <hyperlink ref="D243" r:id="rId92" xr:uid="{452299BF-96A0-485D-91F8-B7DB4378B9B0}"/>
    <hyperlink ref="D245" r:id="rId93" xr:uid="{9BCF33D9-CA00-45F0-858F-DF317F813016}"/>
    <hyperlink ref="D246" r:id="rId94" xr:uid="{D532F1EB-BEBC-4D03-8FB1-BF259FCC77FA}"/>
    <hyperlink ref="D248" r:id="rId95" xr:uid="{3223A1C5-ECFB-4E39-ADC8-749EF1669894}"/>
    <hyperlink ref="D249" r:id="rId96" xr:uid="{F02BAF16-9611-4C46-8116-22FB0339352B}"/>
    <hyperlink ref="D251" r:id="rId97" xr:uid="{312B6769-CE40-4FFD-BA50-7CAC029CA881}"/>
    <hyperlink ref="D252" r:id="rId98" xr:uid="{B27DF05E-0D9B-4CDE-9976-95BB27A5454B}"/>
    <hyperlink ref="D254" r:id="rId99" xr:uid="{6B675926-FF13-4FC8-9563-380A05737502}"/>
    <hyperlink ref="D255" r:id="rId100" xr:uid="{37D775A6-0A61-4278-B75F-BD670330E5F3}"/>
    <hyperlink ref="D257" r:id="rId101" xr:uid="{98A43D0B-C417-49A6-B091-37FBA45E3FBD}"/>
    <hyperlink ref="D258" r:id="rId102" xr:uid="{5F7308BA-B20E-46F1-858A-8B9E2BBA671A}"/>
    <hyperlink ref="D260" r:id="rId103" xr:uid="{5A5F373E-58E7-4AC9-9ACA-7067FF81A060}"/>
    <hyperlink ref="D261" r:id="rId104" xr:uid="{BCB2D70C-8F3A-479D-A690-EEEFB19C9646}"/>
    <hyperlink ref="D263" r:id="rId105" xr:uid="{11B3B118-25FC-4184-AB19-C9AD2FE0E8E9}"/>
    <hyperlink ref="D264" r:id="rId106" xr:uid="{22E2D9F9-010A-4187-B1CB-A31C3124E03B}"/>
    <hyperlink ref="D266" r:id="rId107" xr:uid="{FC9C3946-D971-4B14-B1B6-EE409DA42ACC}"/>
    <hyperlink ref="D267" r:id="rId108" xr:uid="{D93B8A2F-DA2B-4495-A9CF-8A4A27ACE56F}"/>
    <hyperlink ref="D269" r:id="rId109" xr:uid="{A5AAE650-5147-49AF-A1AD-7C1B4E3668D9}"/>
    <hyperlink ref="D270" r:id="rId110" xr:uid="{A1C1299D-C551-4849-93CE-39605B9D4026}"/>
    <hyperlink ref="D272" r:id="rId111" xr:uid="{B889A2DA-CA73-4A2E-BC2E-2029177E5E29}"/>
    <hyperlink ref="D273" r:id="rId112" xr:uid="{13FEB810-D9A8-4863-9105-5C1A86C4C658}"/>
    <hyperlink ref="D275" r:id="rId113" xr:uid="{AB7D3C6C-160B-48CC-AFC2-58A0A9B98E3A}"/>
    <hyperlink ref="D277" r:id="rId114" xr:uid="{A5823C5A-8D17-4484-9A74-EFBF3FD12E83}"/>
    <hyperlink ref="D278" r:id="rId115" xr:uid="{9F00C9CC-FE28-4123-A577-7BE3DC44694C}"/>
    <hyperlink ref="D280" r:id="rId116" xr:uid="{5CECE348-71CD-41C0-A2A1-7BF71EDEDBAB}"/>
    <hyperlink ref="D281" r:id="rId117" xr:uid="{661B110B-734E-410F-92B0-E5F104BE281D}"/>
    <hyperlink ref="D283" r:id="rId118" xr:uid="{0AA7BAA7-757B-40D1-A485-7DA6F314DEB6}"/>
    <hyperlink ref="D284" r:id="rId119" xr:uid="{6C43EFAF-CA30-4D55-AC2E-DC0765F28BD8}"/>
    <hyperlink ref="D286" r:id="rId120" xr:uid="{8E8E2F90-0D0C-471E-8DAE-E88772E31153}"/>
    <hyperlink ref="D288" r:id="rId121" xr:uid="{D6A8EC0B-8F70-4F3C-90C3-D08FAE5F84D6}"/>
    <hyperlink ref="D289" r:id="rId122" xr:uid="{0CD125DC-C9EF-4E12-8CFD-9FFD4E1C14D1}"/>
    <hyperlink ref="D291" r:id="rId123" xr:uid="{3C0C3352-9805-432B-98E1-B8FC1E6DB4CD}"/>
    <hyperlink ref="D292" r:id="rId124" xr:uid="{0E8AEB69-72DE-4925-90DC-AFEB7A63618C}"/>
    <hyperlink ref="D294" r:id="rId125" xr:uid="{7EFB06E9-00A4-47BD-8130-D9B32E35CE78}"/>
    <hyperlink ref="D295" r:id="rId126" xr:uid="{2BB1499F-8F25-420A-863B-B29257784FCE}"/>
    <hyperlink ref="D297" r:id="rId127" xr:uid="{98583B9A-90C8-4665-91D8-F750B92F4485}"/>
    <hyperlink ref="D299" r:id="rId128" xr:uid="{3A61BF89-0988-4828-8E5A-D495B566C3BE}"/>
    <hyperlink ref="D300" r:id="rId129" xr:uid="{FF0D0AF1-F089-4E83-924D-E81631C7AFBF}"/>
    <hyperlink ref="D302" r:id="rId130" xr:uid="{B25CBAE8-3C16-4990-88D1-C96BB6E89C9C}"/>
    <hyperlink ref="D303" r:id="rId131" xr:uid="{5E422385-3136-4073-B4AF-BA6E634342B0}"/>
    <hyperlink ref="D305" r:id="rId132" xr:uid="{F09BA8FF-9790-446C-9317-90A41193ABA7}"/>
    <hyperlink ref="D306" r:id="rId133" xr:uid="{740902E8-96AA-46E6-B7D1-6366D64DCCE4}"/>
    <hyperlink ref="D308" r:id="rId134" xr:uid="{715C26C0-3067-4E26-B0EC-803508C7EAEC}"/>
    <hyperlink ref="D310" r:id="rId135" xr:uid="{20D4A5C3-B754-4AAF-B648-2231C59C2C42}"/>
    <hyperlink ref="D311" r:id="rId136" xr:uid="{804DD579-4F95-4A30-96E3-45E5CCC4EEA3}"/>
    <hyperlink ref="D313" r:id="rId137" xr:uid="{3615CFB0-210F-4187-92BC-280245F063D6}"/>
    <hyperlink ref="D314" r:id="rId138" xr:uid="{38A3BD12-DD82-4011-9350-2A7870E06B18}"/>
    <hyperlink ref="D316" r:id="rId139" xr:uid="{FF351C66-928B-439A-81A3-806C9541B47F}"/>
    <hyperlink ref="D317" r:id="rId140" xr:uid="{A80E3CCB-7378-4DDA-B237-1B9F16C541CB}"/>
    <hyperlink ref="D319" r:id="rId141" xr:uid="{83C8D57F-BA59-47F2-8CB5-49B0C5701648}"/>
    <hyperlink ref="D321" r:id="rId142" xr:uid="{7F2764C1-19F7-4C30-B7FB-6963C48D56B6}"/>
    <hyperlink ref="D322" r:id="rId143" xr:uid="{2A988FFA-835B-45B6-A165-1E569FE12AF5}"/>
    <hyperlink ref="D324" r:id="rId144" xr:uid="{93F83524-6040-47AC-A9F8-5152A5D13390}"/>
    <hyperlink ref="D326" r:id="rId145" xr:uid="{467328CE-B5EE-43A7-AB95-A54318AD3F6C}"/>
    <hyperlink ref="D327" r:id="rId146" xr:uid="{A2F2F1E4-C51F-4D41-982A-FD5DA137E94D}"/>
    <hyperlink ref="D329" r:id="rId147" xr:uid="{C7A55AA0-E248-4B7A-AEB9-E39EABD48917}"/>
    <hyperlink ref="D331" r:id="rId148" xr:uid="{E6E0F878-78B9-4FFF-B5B9-8615C6327F56}"/>
    <hyperlink ref="D332" r:id="rId149" xr:uid="{D01745B1-E191-48C0-AB00-DB8A4C7BD816}"/>
    <hyperlink ref="D335" r:id="rId150" xr:uid="{E2793D9C-49BA-4CF7-851F-6C4CA3511D55}"/>
    <hyperlink ref="D334" r:id="rId151" xr:uid="{D77C3835-387D-478D-BECA-248B7EBA19AA}"/>
    <hyperlink ref="D338" r:id="rId152" xr:uid="{558C46A0-C622-4DCC-82B1-51FDBFBA5122}"/>
    <hyperlink ref="D339" r:id="rId153" xr:uid="{DD9CA148-9DBE-48D0-BC15-0D8FD8AF05ED}"/>
    <hyperlink ref="D341" r:id="rId154" xr:uid="{8DBE3207-ADA4-499B-8F87-7D82806E1D38}"/>
    <hyperlink ref="D343" r:id="rId155" xr:uid="{9B6192FA-22EE-4450-A6CF-8B334AE4F802}"/>
    <hyperlink ref="D344" r:id="rId156" xr:uid="{B922FD5B-7804-4971-A36D-6F4B61910B1A}"/>
    <hyperlink ref="D347" r:id="rId157" xr:uid="{2EBD2B53-F587-4F2E-B793-47A811FFCAD4}"/>
    <hyperlink ref="D346" r:id="rId158" xr:uid="{57A45467-A7D3-4693-A168-22135C4E07B8}"/>
    <hyperlink ref="D349" r:id="rId159" xr:uid="{CF046F2C-E036-4DAA-B3F6-FBAE27A43856}"/>
    <hyperlink ref="D350" r:id="rId160" xr:uid="{3AA77D8A-C5C4-450F-848E-5FFFD231FD37}"/>
    <hyperlink ref="D352" r:id="rId161" xr:uid="{7F8FF780-BD9B-4C16-A833-73F032C8B1FA}"/>
    <hyperlink ref="D354" r:id="rId162" xr:uid="{C61C5D7F-A181-48E6-BB94-B3BDE1AADE4C}"/>
    <hyperlink ref="D355" r:id="rId163" xr:uid="{D16106EC-CEE4-4063-AE51-8CE5C6A7DE5D}"/>
    <hyperlink ref="D358" r:id="rId164" xr:uid="{80948B15-29AB-42BD-A7E8-34DB2C8ED16F}"/>
    <hyperlink ref="D357" r:id="rId165" xr:uid="{87D37D25-5B6C-40DA-8901-5EDF29C94B50}"/>
    <hyperlink ref="D360" r:id="rId166" xr:uid="{02E4B624-2C96-4A29-B233-4B6CC2D57967}"/>
    <hyperlink ref="D361" r:id="rId167" xr:uid="{C3EB5508-1E7B-45F1-A8E8-DFA525961A7A}"/>
    <hyperlink ref="D363" r:id="rId168" xr:uid="{38286633-E465-4DE7-8CDD-7408E191BDEE}"/>
    <hyperlink ref="D365" r:id="rId169" xr:uid="{06F5ECA6-73C8-4C57-BD32-E43379D7280F}"/>
    <hyperlink ref="D366" r:id="rId170" xr:uid="{545CAF6A-9D05-4516-9B9E-8C8119F71E49}"/>
    <hyperlink ref="D372" r:id="rId171" xr:uid="{E27CF594-8ED0-4C2E-B83C-A1D707F4DA54}"/>
    <hyperlink ref="D373" r:id="rId172" xr:uid="{31DD2F0A-CFE3-4993-96EA-E21C79F211EF}"/>
    <hyperlink ref="D370" r:id="rId173" xr:uid="{EC70F2BF-C28F-439F-B9FD-B0405B863945}"/>
    <hyperlink ref="D377" r:id="rId174" xr:uid="{D99E3483-3315-4C7F-AA2C-4761C73A7A0A}"/>
    <hyperlink ref="D378" r:id="rId175" xr:uid="{7E463335-C31A-4BA6-AC23-70A41AE23CB1}"/>
    <hyperlink ref="D382" r:id="rId176" xr:uid="{9A6FFD20-5A10-44A8-93A7-0204013F0A81}"/>
    <hyperlink ref="D383" r:id="rId177" xr:uid="{16A87DC9-AC98-44E3-A486-8D4BC900B24E}"/>
    <hyperlink ref="D387" r:id="rId178" xr:uid="{916C152F-EE37-4B3E-B70C-C34AD8EB48E1}"/>
    <hyperlink ref="D388" r:id="rId179" xr:uid="{E293E593-295C-426B-81E4-3B4E4C2E7B9B}"/>
    <hyperlink ref="D393" r:id="rId180" xr:uid="{CA8797AC-7117-4A4E-B7D6-E912689C55BB}"/>
    <hyperlink ref="D394" r:id="rId181" xr:uid="{128AFD6A-B6B2-4341-B259-0B9AD0F5C882}"/>
    <hyperlink ref="D398" r:id="rId182" xr:uid="{E04A9068-D323-4EC0-A3A8-E399559C2D67}"/>
    <hyperlink ref="D399" r:id="rId183" xr:uid="{D6C9B1B8-5A5B-4B53-81B2-D34CFABCEAF1}"/>
    <hyperlink ref="D403" r:id="rId184" xr:uid="{0A42B488-9AE3-4F7E-800C-258D13F809D3}"/>
    <hyperlink ref="D404" r:id="rId185" xr:uid="{2A048E22-F203-4857-AB75-F6FB54BB2AF7}"/>
    <hyperlink ref="D405" r:id="rId186" xr:uid="{8F3685A0-D955-4519-ADAB-F443D515E410}"/>
    <hyperlink ref="D409" r:id="rId187" xr:uid="{28E214DA-CE54-4733-83DA-CF4B7F6EAA7F}"/>
    <hyperlink ref="D410" r:id="rId188" xr:uid="{1759841A-666E-4189-BCA6-E71CF95B162C}"/>
    <hyperlink ref="D415" r:id="rId189" xr:uid="{5BF34640-3022-4CE2-9E73-B1FBED1215A9}"/>
    <hyperlink ref="D416" r:id="rId190" xr:uid="{A30BABD7-76F7-499A-A724-81235A0305A3}"/>
    <hyperlink ref="D420" r:id="rId191" xr:uid="{E859205E-43D4-4AA5-963F-7AC87BF4273E}"/>
    <hyperlink ref="D421" r:id="rId192" xr:uid="{ACB9723C-2559-4CA5-9C1F-4345938FB4BA}"/>
    <hyperlink ref="D426" r:id="rId193" xr:uid="{8AC1B281-8D7A-4316-A95B-2C5B5AC14B92}"/>
    <hyperlink ref="D427" r:id="rId194" xr:uid="{82A937AB-BF89-4CE2-98B9-78541D55C031}"/>
    <hyperlink ref="D430" r:id="rId195" xr:uid="{6AB3200B-74BA-494E-ADF3-7B2BBE3CA664}"/>
    <hyperlink ref="D433" r:id="rId196" xr:uid="{D9B2247C-61ED-434B-A13F-3046B9669F49}"/>
    <hyperlink ref="D434" r:id="rId197" xr:uid="{7AE3760B-55A3-4A36-8C1E-FC095A5B091C}"/>
    <hyperlink ref="D436" r:id="rId198" xr:uid="{A8C77FB3-2A14-4C59-82E1-508C88FC08DD}"/>
    <hyperlink ref="D439" r:id="rId199" xr:uid="{01A6E950-6A7D-4F88-82C1-86883FD1E7EC}"/>
    <hyperlink ref="D440" r:id="rId200" xr:uid="{A228FF96-55CA-40C6-90D6-457082532879}"/>
    <hyperlink ref="D443" r:id="rId201" xr:uid="{E2A7AA98-5559-4A0F-8334-E8D9A46A199B}"/>
    <hyperlink ref="D446" r:id="rId202" xr:uid="{906CB060-ED9C-40CF-9DA9-833EB7F23809}"/>
    <hyperlink ref="D447" r:id="rId203" xr:uid="{D9E4BD8D-E656-47BE-B80F-7CA359F77DF5}"/>
    <hyperlink ref="D450" r:id="rId204" xr:uid="{98144B2B-1871-4C47-ABE5-A7A1FBCD8AD1}"/>
    <hyperlink ref="D453" r:id="rId205" xr:uid="{AF7D55EE-20E5-42E3-93D0-68C764913D76}"/>
    <hyperlink ref="D454" r:id="rId206" xr:uid="{B6E53C87-37C1-418F-8479-BF971F702885}"/>
    <hyperlink ref="D456" r:id="rId207" xr:uid="{ECAFC43A-057B-4EFA-95C5-2939B7C615CA}"/>
    <hyperlink ref="D455" r:id="rId208" xr:uid="{AA699E24-B217-4DAF-9393-F0D2BD0DC3D8}"/>
    <hyperlink ref="D459" r:id="rId209" xr:uid="{6905E96C-4E93-4E57-8F93-0AD34AE1066A}"/>
    <hyperlink ref="D460" r:id="rId210" xr:uid="{DC435836-1A5C-4B5D-9933-E4439BC9B03D}"/>
    <hyperlink ref="D463" r:id="rId211" xr:uid="{DA5818D5-EE93-48EA-BD25-0E9F976337E5}"/>
    <hyperlink ref="D466" r:id="rId212" xr:uid="{AE56E594-D044-471C-8854-0AD72B40704B}"/>
    <hyperlink ref="D467" r:id="rId213" xr:uid="{89E5D318-DC8D-42D1-92B7-6E1BE1216948}"/>
    <hyperlink ref="D470" r:id="rId214" xr:uid="{A10D5989-C14F-4072-8779-F5E2043E45C2}"/>
    <hyperlink ref="D469" r:id="rId215" xr:uid="{23CC136F-DBD3-4848-AEC9-0DAA469605B4}"/>
    <hyperlink ref="D473" r:id="rId216" xr:uid="{10EA6F46-059F-444F-B0B5-B76BA8C10407}"/>
    <hyperlink ref="D474" r:id="rId217" xr:uid="{2067C352-DF82-4C5C-9313-CC864A9A3D51}"/>
    <hyperlink ref="D476" r:id="rId218" xr:uid="{191D0482-F685-43C0-8E0C-64CEE4D79E66}"/>
    <hyperlink ref="D475" r:id="rId219" xr:uid="{0D286254-3F86-4CD3-AA0B-5B9DA4DEA12F}"/>
    <hyperlink ref="D479" r:id="rId220" xr:uid="{3CD17D58-B1AF-436A-B6C8-43A47893C974}"/>
    <hyperlink ref="D480" r:id="rId221" xr:uid="{CBE87102-F811-46F0-82E7-51A252000BD5}"/>
    <hyperlink ref="D483" r:id="rId222" xr:uid="{5D6DA2CB-C502-41D7-84C7-305C966B1E92}"/>
    <hyperlink ref="D482" r:id="rId223" xr:uid="{5D1509C9-8915-4114-AF2A-8D168281257E}"/>
    <hyperlink ref="D486" r:id="rId224" xr:uid="{C4E6B6B9-BBFA-4121-B9A0-D2445E6E897D}"/>
    <hyperlink ref="D487" r:id="rId225" xr:uid="{3F01FAA3-1D30-4DB8-B00D-53B9E14BFBD3}"/>
    <hyperlink ref="D491" r:id="rId226" xr:uid="{78CF8B18-D106-4677-9F85-EC2BCC5BC706}"/>
    <hyperlink ref="D490" r:id="rId227" xr:uid="{198B111E-5F0F-4AA4-A759-A4A3BC04C153}"/>
    <hyperlink ref="D489" r:id="rId228" xr:uid="{72CFA271-2526-4A64-A958-077FB03D238A}"/>
  </hyperlinks>
  <pageMargins left="0.7" right="0.7" top="0.75" bottom="0.75" header="0.3" footer="0.3"/>
  <pageSetup orientation="portrait" r:id="rId2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DC37-0DB4-423E-9187-0F8249D99022}">
  <dimension ref="A1:M61"/>
  <sheetViews>
    <sheetView tabSelected="1" topLeftCell="A24" workbookViewId="0">
      <selection activeCell="E67" sqref="E67"/>
    </sheetView>
  </sheetViews>
  <sheetFormatPr defaultRowHeight="14.45"/>
  <cols>
    <col min="1" max="1" width="13.85546875" customWidth="1"/>
    <col min="2" max="2" width="34.7109375" style="5" customWidth="1"/>
    <col min="3" max="3" width="15.28515625" customWidth="1"/>
    <col min="4" max="4" width="28.85546875" customWidth="1"/>
    <col min="5" max="5" width="20.85546875" customWidth="1"/>
    <col min="6" max="6" width="0" hidden="1" customWidth="1"/>
    <col min="7" max="7" width="19" hidden="1" customWidth="1"/>
    <col min="8" max="8" width="14.5703125" customWidth="1"/>
    <col min="9" max="9" width="9.28515625" style="10" customWidth="1"/>
    <col min="10" max="11" width="9.140625" style="13" customWidth="1"/>
    <col min="12" max="12" width="37.140625" style="5" customWidth="1"/>
  </cols>
  <sheetData>
    <row r="1" spans="1:13" s="1" customFormat="1" ht="5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2" t="s">
        <v>6</v>
      </c>
      <c r="K1" s="12"/>
      <c r="L1" s="1" t="s">
        <v>4</v>
      </c>
      <c r="M1" s="1" t="s">
        <v>9</v>
      </c>
    </row>
    <row r="2" spans="1:13">
      <c r="A2" s="47">
        <v>46031</v>
      </c>
      <c r="B2" s="48" t="s">
        <v>10</v>
      </c>
      <c r="C2" s="49" t="s">
        <v>11</v>
      </c>
      <c r="D2" s="50" t="s">
        <v>50</v>
      </c>
      <c r="E2" s="49" t="s">
        <v>66</v>
      </c>
      <c r="F2" s="49"/>
      <c r="G2" s="49"/>
      <c r="H2" s="51">
        <v>1600</v>
      </c>
      <c r="I2" s="52">
        <v>20</v>
      </c>
      <c r="J2" s="53">
        <v>80</v>
      </c>
    </row>
    <row r="3" spans="1:13">
      <c r="A3" s="47">
        <v>46031</v>
      </c>
      <c r="B3" s="48" t="s">
        <v>22</v>
      </c>
      <c r="C3" s="49" t="s">
        <v>35</v>
      </c>
      <c r="D3" s="50" t="s">
        <v>17</v>
      </c>
      <c r="E3" s="49" t="s">
        <v>70</v>
      </c>
      <c r="F3" s="49"/>
      <c r="G3" s="49"/>
      <c r="H3" s="51">
        <f t="shared" ref="H3" si="0">SUM(I3*J3)+K3</f>
        <v>1840</v>
      </c>
      <c r="I3" s="52">
        <v>23</v>
      </c>
      <c r="J3" s="53">
        <v>80</v>
      </c>
    </row>
    <row r="4" spans="1:13">
      <c r="A4" s="47">
        <v>46031</v>
      </c>
      <c r="B4" s="48" t="s">
        <v>112</v>
      </c>
      <c r="C4" s="49" t="s">
        <v>11</v>
      </c>
      <c r="D4" s="50" t="s">
        <v>50</v>
      </c>
      <c r="E4" s="49" t="s">
        <v>66</v>
      </c>
      <c r="F4" s="49"/>
      <c r="G4" s="49"/>
      <c r="H4" s="51">
        <v>100</v>
      </c>
      <c r="I4" s="52"/>
      <c r="J4" s="53"/>
    </row>
    <row r="5" spans="1:13">
      <c r="A5" s="47">
        <v>46031</v>
      </c>
      <c r="B5" s="48" t="s">
        <v>53</v>
      </c>
      <c r="C5" s="49" t="s">
        <v>11</v>
      </c>
      <c r="D5" s="50" t="s">
        <v>12</v>
      </c>
      <c r="E5" s="49" t="s">
        <v>66</v>
      </c>
      <c r="F5" s="49"/>
      <c r="G5" s="49"/>
      <c r="H5" s="51">
        <f>SUM(I5*J5)+K5</f>
        <v>2000</v>
      </c>
      <c r="I5" s="52">
        <v>25</v>
      </c>
      <c r="J5" s="53">
        <v>80</v>
      </c>
    </row>
    <row r="6" spans="1:13">
      <c r="A6" s="47">
        <v>46031</v>
      </c>
      <c r="B6" s="48" t="s">
        <v>113</v>
      </c>
      <c r="C6" s="49" t="s">
        <v>117</v>
      </c>
      <c r="D6" s="50" t="s">
        <v>114</v>
      </c>
      <c r="E6" s="49" t="s">
        <v>66</v>
      </c>
      <c r="F6" s="49"/>
      <c r="G6" s="49"/>
      <c r="H6" s="51">
        <v>2080</v>
      </c>
      <c r="I6" s="52">
        <v>26</v>
      </c>
      <c r="J6" s="53">
        <v>80</v>
      </c>
    </row>
    <row r="7" spans="1:13">
      <c r="H7" s="55">
        <f>SUM(H2:H6)</f>
        <v>7620</v>
      </c>
    </row>
    <row r="9" spans="1:13">
      <c r="A9" s="47">
        <v>46045</v>
      </c>
      <c r="B9" s="48" t="s">
        <v>10</v>
      </c>
      <c r="C9" s="49" t="s">
        <v>11</v>
      </c>
      <c r="D9" s="50" t="s">
        <v>50</v>
      </c>
      <c r="E9" s="49" t="s">
        <v>66</v>
      </c>
      <c r="F9" s="49"/>
      <c r="G9" s="49"/>
      <c r="H9" s="51">
        <v>1600</v>
      </c>
      <c r="I9" s="52">
        <v>20</v>
      </c>
      <c r="J9" s="53">
        <v>80</v>
      </c>
    </row>
    <row r="10" spans="1:13">
      <c r="A10" s="47">
        <v>46045</v>
      </c>
      <c r="B10" s="48" t="s">
        <v>22</v>
      </c>
      <c r="C10" s="49" t="s">
        <v>35</v>
      </c>
      <c r="D10" s="50" t="s">
        <v>17</v>
      </c>
      <c r="E10" s="49" t="s">
        <v>70</v>
      </c>
      <c r="F10" s="49"/>
      <c r="G10" s="49"/>
      <c r="H10" s="51">
        <f t="shared" ref="H10" si="1">SUM(I10*J10)+K10</f>
        <v>1840</v>
      </c>
      <c r="I10" s="52">
        <v>23</v>
      </c>
      <c r="J10" s="53">
        <v>80</v>
      </c>
    </row>
    <row r="11" spans="1:13">
      <c r="A11" s="47">
        <v>46045</v>
      </c>
      <c r="B11" s="48" t="s">
        <v>112</v>
      </c>
      <c r="C11" s="49" t="s">
        <v>11</v>
      </c>
      <c r="D11" s="50" t="s">
        <v>50</v>
      </c>
      <c r="E11" s="49" t="s">
        <v>66</v>
      </c>
      <c r="F11" s="49"/>
      <c r="G11" s="49"/>
      <c r="H11" s="51">
        <v>100</v>
      </c>
      <c r="I11" s="52"/>
      <c r="J11" s="53"/>
    </row>
    <row r="12" spans="1:13">
      <c r="A12" s="47">
        <v>46045</v>
      </c>
      <c r="B12" s="48" t="s">
        <v>53</v>
      </c>
      <c r="C12" s="49" t="s">
        <v>11</v>
      </c>
      <c r="D12" s="50" t="s">
        <v>12</v>
      </c>
      <c r="E12" s="49" t="s">
        <v>66</v>
      </c>
      <c r="F12" s="49"/>
      <c r="G12" s="49"/>
      <c r="H12" s="51">
        <f>SUM(I12*J12)+K12</f>
        <v>2000</v>
      </c>
      <c r="I12" s="52">
        <v>25</v>
      </c>
      <c r="J12" s="53">
        <v>80</v>
      </c>
    </row>
    <row r="13" spans="1:13">
      <c r="A13" s="47">
        <v>46045</v>
      </c>
      <c r="B13" s="48" t="s">
        <v>113</v>
      </c>
      <c r="C13" s="49" t="s">
        <v>117</v>
      </c>
      <c r="D13" s="50" t="s">
        <v>114</v>
      </c>
      <c r="E13" s="49" t="s">
        <v>66</v>
      </c>
      <c r="F13" s="49"/>
      <c r="G13" s="49"/>
      <c r="H13" s="51">
        <v>2080</v>
      </c>
      <c r="I13" s="52">
        <v>26</v>
      </c>
      <c r="J13" s="53">
        <v>80</v>
      </c>
    </row>
    <row r="14" spans="1:13">
      <c r="H14" s="55">
        <f>SUM(H9:H13)</f>
        <v>7620</v>
      </c>
    </row>
    <row r="16" spans="1:13">
      <c r="A16" s="47">
        <v>46059</v>
      </c>
      <c r="B16" s="48" t="s">
        <v>10</v>
      </c>
      <c r="C16" s="49" t="s">
        <v>11</v>
      </c>
      <c r="D16" s="50" t="s">
        <v>50</v>
      </c>
      <c r="E16" s="49" t="s">
        <v>66</v>
      </c>
      <c r="F16" s="49"/>
      <c r="G16" s="49"/>
      <c r="H16" s="51">
        <v>1600</v>
      </c>
      <c r="I16" s="52">
        <v>20</v>
      </c>
      <c r="J16" s="53">
        <v>80</v>
      </c>
    </row>
    <row r="17" spans="1:12">
      <c r="A17" s="47">
        <v>46059</v>
      </c>
      <c r="B17" s="48" t="s">
        <v>22</v>
      </c>
      <c r="C17" s="49" t="s">
        <v>35</v>
      </c>
      <c r="D17" s="50" t="s">
        <v>17</v>
      </c>
      <c r="E17" s="49" t="s">
        <v>70</v>
      </c>
      <c r="F17" s="49"/>
      <c r="G17" s="49"/>
      <c r="H17" s="51">
        <f t="shared" ref="H17" si="2">SUM(I17*J17)+K17</f>
        <v>1840</v>
      </c>
      <c r="I17" s="52">
        <v>23</v>
      </c>
      <c r="J17" s="53">
        <v>80</v>
      </c>
    </row>
    <row r="18" spans="1:12">
      <c r="A18" s="47">
        <v>46059</v>
      </c>
      <c r="B18" s="48" t="s">
        <v>112</v>
      </c>
      <c r="C18" s="49" t="s">
        <v>11</v>
      </c>
      <c r="D18" s="50" t="s">
        <v>50</v>
      </c>
      <c r="E18" s="49" t="s">
        <v>66</v>
      </c>
      <c r="F18" s="49"/>
      <c r="G18" s="49"/>
      <c r="H18" s="51">
        <v>100</v>
      </c>
      <c r="I18" s="52"/>
      <c r="J18" s="53"/>
    </row>
    <row r="19" spans="1:12">
      <c r="A19" s="47">
        <v>46059</v>
      </c>
      <c r="B19" s="48" t="s">
        <v>53</v>
      </c>
      <c r="C19" s="49" t="s">
        <v>11</v>
      </c>
      <c r="D19" s="50" t="s">
        <v>12</v>
      </c>
      <c r="E19" s="49" t="s">
        <v>66</v>
      </c>
      <c r="F19" s="49"/>
      <c r="G19" s="49"/>
      <c r="H19" s="51">
        <f>SUM(I19*J19)+K19</f>
        <v>2000</v>
      </c>
      <c r="I19" s="52">
        <v>25</v>
      </c>
      <c r="J19" s="53">
        <v>80</v>
      </c>
    </row>
    <row r="20" spans="1:12">
      <c r="A20" s="47">
        <v>46059</v>
      </c>
      <c r="B20" s="48" t="s">
        <v>113</v>
      </c>
      <c r="C20" s="49" t="s">
        <v>117</v>
      </c>
      <c r="D20" s="50" t="s">
        <v>114</v>
      </c>
      <c r="E20" s="49" t="s">
        <v>66</v>
      </c>
      <c r="F20" s="49"/>
      <c r="G20" s="49"/>
      <c r="H20" s="51">
        <v>2080</v>
      </c>
      <c r="I20" s="52">
        <v>26</v>
      </c>
      <c r="J20" s="53">
        <v>80</v>
      </c>
    </row>
    <row r="21" spans="1:12">
      <c r="H21" s="55">
        <f>SUM(H16:H20)</f>
        <v>7620</v>
      </c>
    </row>
    <row r="23" spans="1:12">
      <c r="A23" s="47">
        <v>46071</v>
      </c>
      <c r="B23" s="48" t="s">
        <v>10</v>
      </c>
      <c r="C23" s="49" t="s">
        <v>11</v>
      </c>
      <c r="D23" s="50" t="s">
        <v>50</v>
      </c>
      <c r="E23" s="49" t="s">
        <v>66</v>
      </c>
      <c r="F23" s="49"/>
      <c r="G23" s="49"/>
      <c r="H23" s="51">
        <v>1600</v>
      </c>
      <c r="I23" s="52">
        <v>20</v>
      </c>
      <c r="J23" s="53">
        <v>80</v>
      </c>
      <c r="L23" s="61">
        <v>16</v>
      </c>
    </row>
    <row r="24" spans="1:12">
      <c r="A24" s="47">
        <v>46071</v>
      </c>
      <c r="B24" s="48" t="s">
        <v>22</v>
      </c>
      <c r="C24" s="49" t="s">
        <v>35</v>
      </c>
      <c r="D24" s="50" t="s">
        <v>17</v>
      </c>
      <c r="E24" s="49" t="s">
        <v>70</v>
      </c>
      <c r="F24" s="49"/>
      <c r="G24" s="49"/>
      <c r="H24" s="51">
        <f t="shared" ref="H24" si="3">SUM(I24*J24)+K24</f>
        <v>1840</v>
      </c>
      <c r="I24" s="52">
        <v>23</v>
      </c>
      <c r="J24" s="53">
        <v>80</v>
      </c>
      <c r="L24" s="60">
        <v>18.399999999999999</v>
      </c>
    </row>
    <row r="25" spans="1:12">
      <c r="A25" s="47">
        <v>46071</v>
      </c>
      <c r="B25" s="48" t="s">
        <v>53</v>
      </c>
      <c r="C25" s="49" t="s">
        <v>11</v>
      </c>
      <c r="D25" s="50" t="s">
        <v>12</v>
      </c>
      <c r="E25" s="49" t="s">
        <v>66</v>
      </c>
      <c r="F25" s="49"/>
      <c r="G25" s="49"/>
      <c r="H25" s="51">
        <f>SUM(I25*J25)+K25</f>
        <v>2000</v>
      </c>
      <c r="I25" s="52">
        <v>25</v>
      </c>
      <c r="J25" s="53">
        <v>80</v>
      </c>
      <c r="L25" s="61">
        <v>20</v>
      </c>
    </row>
    <row r="26" spans="1:12">
      <c r="A26" s="47">
        <v>46071</v>
      </c>
      <c r="B26" s="48" t="s">
        <v>113</v>
      </c>
      <c r="C26" s="49" t="s">
        <v>117</v>
      </c>
      <c r="D26" s="50" t="s">
        <v>114</v>
      </c>
      <c r="E26" s="49" t="s">
        <v>66</v>
      </c>
      <c r="F26" s="49"/>
      <c r="G26" s="49"/>
      <c r="H26" s="51">
        <v>2080</v>
      </c>
      <c r="I26" s="52">
        <v>26</v>
      </c>
      <c r="J26" s="53">
        <v>80</v>
      </c>
      <c r="L26" s="61">
        <v>20.8</v>
      </c>
    </row>
    <row r="27" spans="1:12" ht="15" customHeight="1">
      <c r="A27" s="47">
        <v>46071</v>
      </c>
      <c r="B27" s="48" t="s">
        <v>117</v>
      </c>
      <c r="C27" s="49" t="s">
        <v>117</v>
      </c>
      <c r="D27" s="4" t="s">
        <v>118</v>
      </c>
      <c r="E27" s="49" t="s">
        <v>66</v>
      </c>
      <c r="F27" s="49"/>
      <c r="G27" s="49"/>
      <c r="H27" s="58">
        <v>600</v>
      </c>
      <c r="I27" s="52">
        <v>7.5</v>
      </c>
      <c r="J27" s="53">
        <v>80</v>
      </c>
      <c r="L27" s="61">
        <v>6</v>
      </c>
    </row>
    <row r="28" spans="1:12">
      <c r="H28" s="55">
        <f>SUM(H23:H27)</f>
        <v>8120</v>
      </c>
      <c r="L28" s="62">
        <f>SUM(L23:L27)</f>
        <v>81.2</v>
      </c>
    </row>
    <row r="30" spans="1:12">
      <c r="A30" s="47">
        <v>46087</v>
      </c>
      <c r="B30" s="48" t="s">
        <v>10</v>
      </c>
      <c r="C30" s="49" t="s">
        <v>11</v>
      </c>
      <c r="D30" s="50" t="s">
        <v>50</v>
      </c>
      <c r="E30" s="49" t="s">
        <v>66</v>
      </c>
      <c r="F30" s="49"/>
      <c r="G30" s="49"/>
      <c r="H30" s="59">
        <v>1600</v>
      </c>
      <c r="I30" s="52">
        <v>20</v>
      </c>
      <c r="J30" s="53">
        <v>80</v>
      </c>
    </row>
    <row r="31" spans="1:12">
      <c r="A31" s="47">
        <v>46059</v>
      </c>
      <c r="B31" s="48" t="s">
        <v>112</v>
      </c>
      <c r="C31" s="49" t="s">
        <v>11</v>
      </c>
      <c r="D31" s="50" t="s">
        <v>50</v>
      </c>
      <c r="E31" s="49" t="s">
        <v>66</v>
      </c>
      <c r="F31" s="49"/>
      <c r="G31" s="49"/>
      <c r="H31" s="59">
        <v>100</v>
      </c>
      <c r="I31" s="52"/>
      <c r="J31" s="53"/>
    </row>
    <row r="32" spans="1:12">
      <c r="A32" s="47">
        <v>46087</v>
      </c>
      <c r="B32" s="48" t="s">
        <v>22</v>
      </c>
      <c r="C32" s="49" t="s">
        <v>35</v>
      </c>
      <c r="D32" s="50" t="s">
        <v>17</v>
      </c>
      <c r="E32" s="49" t="s">
        <v>70</v>
      </c>
      <c r="F32" s="49"/>
      <c r="G32" s="49"/>
      <c r="H32" s="59">
        <f>SUM(I32*J32)+K31</f>
        <v>1840</v>
      </c>
      <c r="I32" s="52">
        <v>23</v>
      </c>
      <c r="J32" s="53">
        <v>80</v>
      </c>
    </row>
    <row r="33" spans="1:12">
      <c r="A33" s="47">
        <v>46087</v>
      </c>
      <c r="B33" s="48" t="s">
        <v>53</v>
      </c>
      <c r="C33" s="49" t="s">
        <v>11</v>
      </c>
      <c r="D33" s="50" t="s">
        <v>12</v>
      </c>
      <c r="E33" s="49" t="s">
        <v>66</v>
      </c>
      <c r="F33" s="49"/>
      <c r="G33" s="49"/>
      <c r="H33" s="59">
        <f>SUM(I33*J33)+K32</f>
        <v>2000</v>
      </c>
      <c r="I33" s="52">
        <v>25</v>
      </c>
      <c r="J33" s="53">
        <v>80</v>
      </c>
    </row>
    <row r="34" spans="1:12">
      <c r="A34" s="47">
        <v>46087</v>
      </c>
      <c r="B34" s="48" t="s">
        <v>113</v>
      </c>
      <c r="C34" s="49" t="s">
        <v>117</v>
      </c>
      <c r="D34" s="50" t="s">
        <v>114</v>
      </c>
      <c r="E34" s="49" t="s">
        <v>66</v>
      </c>
      <c r="F34" s="49"/>
      <c r="G34" s="49"/>
      <c r="H34" s="59">
        <v>2080</v>
      </c>
      <c r="I34" s="52">
        <v>26</v>
      </c>
      <c r="J34" s="53">
        <v>80</v>
      </c>
    </row>
    <row r="35" spans="1:12">
      <c r="A35" s="47">
        <v>46087</v>
      </c>
      <c r="B35" s="48" t="s">
        <v>117</v>
      </c>
      <c r="C35" s="49" t="s">
        <v>117</v>
      </c>
      <c r="D35" s="4" t="s">
        <v>118</v>
      </c>
      <c r="E35" s="49" t="s">
        <v>66</v>
      </c>
      <c r="F35" s="49"/>
      <c r="G35" s="49"/>
      <c r="H35" s="63">
        <v>600</v>
      </c>
      <c r="I35" s="52">
        <v>7.5</v>
      </c>
      <c r="J35" s="53">
        <v>80</v>
      </c>
      <c r="L35">
        <v>702509</v>
      </c>
    </row>
    <row r="36" spans="1:12">
      <c r="H36" s="55">
        <f>SUM(H30:H35)</f>
        <v>8220</v>
      </c>
    </row>
    <row r="38" spans="1:12">
      <c r="A38" s="47">
        <v>46101</v>
      </c>
      <c r="B38" s="48" t="s">
        <v>10</v>
      </c>
      <c r="C38" s="49" t="s">
        <v>11</v>
      </c>
      <c r="D38" s="50" t="s">
        <v>50</v>
      </c>
      <c r="E38" s="49" t="s">
        <v>66</v>
      </c>
      <c r="F38" s="49"/>
      <c r="G38" s="49"/>
      <c r="H38" s="51">
        <v>1600</v>
      </c>
      <c r="I38" s="52">
        <v>20</v>
      </c>
      <c r="J38" s="53">
        <v>80</v>
      </c>
    </row>
    <row r="39" spans="1:12">
      <c r="A39" s="47">
        <v>46101</v>
      </c>
      <c r="B39" s="48" t="s">
        <v>112</v>
      </c>
      <c r="C39" s="49" t="s">
        <v>11</v>
      </c>
      <c r="D39" s="50" t="s">
        <v>50</v>
      </c>
      <c r="E39" s="49" t="s">
        <v>66</v>
      </c>
      <c r="F39" s="49"/>
      <c r="G39" s="49"/>
      <c r="H39" s="51">
        <v>100</v>
      </c>
      <c r="I39" s="52"/>
      <c r="J39" s="53"/>
    </row>
    <row r="40" spans="1:12">
      <c r="A40" s="47">
        <v>46101</v>
      </c>
      <c r="B40" s="48" t="s">
        <v>22</v>
      </c>
      <c r="C40" s="49" t="s">
        <v>35</v>
      </c>
      <c r="D40" s="50" t="s">
        <v>17</v>
      </c>
      <c r="E40" s="49" t="s">
        <v>70</v>
      </c>
      <c r="F40" s="49"/>
      <c r="G40" s="49"/>
      <c r="H40" s="59">
        <f>SUM(I40*J40)+K39</f>
        <v>1840</v>
      </c>
      <c r="I40" s="52">
        <v>23</v>
      </c>
      <c r="J40" s="53">
        <v>80</v>
      </c>
    </row>
    <row r="41" spans="1:12">
      <c r="A41" s="47">
        <v>46101</v>
      </c>
      <c r="B41" s="48" t="s">
        <v>53</v>
      </c>
      <c r="C41" s="49" t="s">
        <v>11</v>
      </c>
      <c r="D41" s="50" t="s">
        <v>12</v>
      </c>
      <c r="E41" s="49" t="s">
        <v>66</v>
      </c>
      <c r="F41" s="49"/>
      <c r="G41" s="49"/>
      <c r="H41" s="59">
        <f>SUM(I41*J41)+K40</f>
        <v>2000</v>
      </c>
      <c r="I41" s="52">
        <v>25</v>
      </c>
      <c r="J41" s="53">
        <v>80</v>
      </c>
    </row>
    <row r="42" spans="1:12">
      <c r="A42" s="47">
        <v>46101</v>
      </c>
      <c r="B42" s="48" t="s">
        <v>113</v>
      </c>
      <c r="C42" s="49" t="s">
        <v>117</v>
      </c>
      <c r="D42" s="50" t="s">
        <v>114</v>
      </c>
      <c r="E42" s="49" t="s">
        <v>66</v>
      </c>
      <c r="F42" s="49"/>
      <c r="G42" s="49"/>
      <c r="H42" s="59">
        <v>2080</v>
      </c>
      <c r="I42" s="52">
        <v>26</v>
      </c>
      <c r="J42" s="53">
        <v>80</v>
      </c>
    </row>
    <row r="43" spans="1:12">
      <c r="A43" s="47">
        <v>46101</v>
      </c>
      <c r="B43" s="48" t="s">
        <v>117</v>
      </c>
      <c r="C43" s="49" t="s">
        <v>117</v>
      </c>
      <c r="D43" s="50" t="s">
        <v>118</v>
      </c>
      <c r="E43" s="49" t="s">
        <v>66</v>
      </c>
      <c r="F43" s="49"/>
      <c r="G43" s="49"/>
      <c r="H43" s="58">
        <v>600</v>
      </c>
      <c r="I43" s="52">
        <v>7.5</v>
      </c>
      <c r="J43" s="53">
        <v>80</v>
      </c>
    </row>
    <row r="44" spans="1:12">
      <c r="A44" s="47">
        <v>46101</v>
      </c>
      <c r="B44" s="48" t="s">
        <v>117</v>
      </c>
      <c r="C44" s="49" t="s">
        <v>117</v>
      </c>
      <c r="D44" s="49"/>
      <c r="E44" s="49" t="s">
        <v>119</v>
      </c>
      <c r="F44" s="49"/>
      <c r="G44" s="49"/>
      <c r="H44" s="64">
        <v>76.7</v>
      </c>
      <c r="I44" s="52"/>
      <c r="J44" s="53"/>
    </row>
    <row r="45" spans="1:12">
      <c r="H45" s="55">
        <f>SUM(H38:H44)</f>
        <v>8296.7000000000007</v>
      </c>
    </row>
    <row r="47" spans="1:12">
      <c r="A47" s="47">
        <v>46115</v>
      </c>
      <c r="B47" s="48" t="s">
        <v>10</v>
      </c>
      <c r="C47" s="49" t="s">
        <v>11</v>
      </c>
      <c r="D47" s="50" t="s">
        <v>50</v>
      </c>
      <c r="E47" s="49" t="s">
        <v>66</v>
      </c>
      <c r="F47" s="49"/>
      <c r="G47" s="49"/>
      <c r="H47" s="51">
        <v>1600</v>
      </c>
      <c r="I47" s="52">
        <v>20</v>
      </c>
      <c r="J47" s="53">
        <v>80</v>
      </c>
    </row>
    <row r="48" spans="1:12">
      <c r="A48" s="47">
        <v>46115</v>
      </c>
      <c r="B48" s="48" t="s">
        <v>112</v>
      </c>
      <c r="C48" s="49" t="s">
        <v>11</v>
      </c>
      <c r="D48" s="50" t="s">
        <v>50</v>
      </c>
      <c r="E48" s="49" t="s">
        <v>66</v>
      </c>
      <c r="F48" s="49"/>
      <c r="G48" s="49"/>
      <c r="H48" s="51">
        <v>100</v>
      </c>
      <c r="I48" s="52"/>
      <c r="J48" s="53"/>
    </row>
    <row r="49" spans="1:10">
      <c r="A49" s="47">
        <v>46115</v>
      </c>
      <c r="B49" s="48" t="s">
        <v>22</v>
      </c>
      <c r="C49" s="49" t="s">
        <v>35</v>
      </c>
      <c r="D49" s="50" t="s">
        <v>17</v>
      </c>
      <c r="E49" s="49" t="s">
        <v>70</v>
      </c>
      <c r="F49" s="49"/>
      <c r="G49" s="49"/>
      <c r="H49" s="51">
        <f>SUM(I49*J49)+K48</f>
        <v>1840</v>
      </c>
      <c r="I49" s="52">
        <v>23</v>
      </c>
      <c r="J49" s="53">
        <v>80</v>
      </c>
    </row>
    <row r="50" spans="1:10">
      <c r="A50" s="47">
        <v>46115</v>
      </c>
      <c r="B50" s="48" t="s">
        <v>53</v>
      </c>
      <c r="C50" s="49" t="s">
        <v>11</v>
      </c>
      <c r="D50" s="50" t="s">
        <v>12</v>
      </c>
      <c r="E50" s="49" t="s">
        <v>66</v>
      </c>
      <c r="F50" s="49"/>
      <c r="G50" s="49"/>
      <c r="H50" s="51">
        <f>SUM(I50*J50)+K49</f>
        <v>2050</v>
      </c>
      <c r="I50" s="52">
        <v>25</v>
      </c>
      <c r="J50" s="53">
        <v>82</v>
      </c>
    </row>
    <row r="51" spans="1:10">
      <c r="A51" s="47">
        <v>46115</v>
      </c>
      <c r="B51" s="48" t="s">
        <v>113</v>
      </c>
      <c r="C51" s="49" t="s">
        <v>117</v>
      </c>
      <c r="D51" s="50" t="s">
        <v>114</v>
      </c>
      <c r="E51" s="49" t="s">
        <v>66</v>
      </c>
      <c r="F51" s="49"/>
      <c r="G51" s="49"/>
      <c r="H51" s="51">
        <v>2080</v>
      </c>
      <c r="I51" s="52">
        <v>26</v>
      </c>
      <c r="J51" s="53">
        <v>80</v>
      </c>
    </row>
    <row r="52" spans="1:10">
      <c r="A52" s="47">
        <v>46115</v>
      </c>
      <c r="B52" s="48" t="s">
        <v>117</v>
      </c>
      <c r="C52" s="49" t="s">
        <v>117</v>
      </c>
      <c r="D52" s="50" t="s">
        <v>118</v>
      </c>
      <c r="E52" s="49" t="s">
        <v>66</v>
      </c>
      <c r="F52" s="49"/>
      <c r="G52" s="49"/>
      <c r="H52" s="58">
        <v>600</v>
      </c>
      <c r="I52" s="52">
        <v>7.5</v>
      </c>
      <c r="J52" s="53">
        <v>80</v>
      </c>
    </row>
    <row r="53" spans="1:10">
      <c r="H53" s="55">
        <f>SUM(H47:H52)</f>
        <v>8270</v>
      </c>
    </row>
    <row r="55" spans="1:10">
      <c r="A55" s="47">
        <v>46129</v>
      </c>
      <c r="B55" s="48" t="s">
        <v>10</v>
      </c>
      <c r="C55" s="49" t="s">
        <v>11</v>
      </c>
      <c r="D55" s="50" t="s">
        <v>50</v>
      </c>
      <c r="E55" s="49" t="s">
        <v>66</v>
      </c>
      <c r="F55" s="49"/>
      <c r="G55" s="49"/>
      <c r="H55" s="51">
        <v>1600</v>
      </c>
      <c r="I55" s="52">
        <v>20</v>
      </c>
      <c r="J55" s="53">
        <v>80</v>
      </c>
    </row>
    <row r="56" spans="1:10">
      <c r="A56" s="47">
        <v>46129</v>
      </c>
      <c r="B56" s="48" t="s">
        <v>112</v>
      </c>
      <c r="C56" s="49" t="s">
        <v>11</v>
      </c>
      <c r="D56" s="50" t="s">
        <v>50</v>
      </c>
      <c r="E56" s="49" t="s">
        <v>66</v>
      </c>
      <c r="F56" s="49"/>
      <c r="G56" s="49"/>
      <c r="H56" s="51">
        <v>100</v>
      </c>
      <c r="I56" s="52"/>
      <c r="J56" s="53"/>
    </row>
    <row r="57" spans="1:10">
      <c r="A57" s="47">
        <v>46129</v>
      </c>
      <c r="B57" s="48" t="s">
        <v>22</v>
      </c>
      <c r="C57" s="49" t="s">
        <v>35</v>
      </c>
      <c r="D57" s="50" t="s">
        <v>17</v>
      </c>
      <c r="E57" s="49" t="s">
        <v>70</v>
      </c>
      <c r="F57" s="49"/>
      <c r="G57" s="49"/>
      <c r="H57" s="51">
        <f>SUM(I57*J57)+K56</f>
        <v>1840</v>
      </c>
      <c r="I57" s="52">
        <v>23</v>
      </c>
      <c r="J57" s="53">
        <v>80</v>
      </c>
    </row>
    <row r="58" spans="1:10">
      <c r="A58" s="47">
        <v>46129</v>
      </c>
      <c r="B58" s="48" t="s">
        <v>53</v>
      </c>
      <c r="C58" s="49" t="s">
        <v>11</v>
      </c>
      <c r="D58" s="50" t="s">
        <v>12</v>
      </c>
      <c r="E58" s="49" t="s">
        <v>66</v>
      </c>
      <c r="F58" s="49"/>
      <c r="G58" s="49"/>
      <c r="H58" s="51">
        <f>SUM(I58*J58)+K57</f>
        <v>2050</v>
      </c>
      <c r="I58" s="52">
        <v>25</v>
      </c>
      <c r="J58" s="53">
        <v>82</v>
      </c>
    </row>
    <row r="59" spans="1:10">
      <c r="A59" s="47">
        <v>46129</v>
      </c>
      <c r="B59" s="48" t="s">
        <v>113</v>
      </c>
      <c r="C59" s="49" t="s">
        <v>117</v>
      </c>
      <c r="D59" s="50" t="s">
        <v>114</v>
      </c>
      <c r="E59" s="49" t="s">
        <v>66</v>
      </c>
      <c r="F59" s="49"/>
      <c r="G59" s="49"/>
      <c r="H59" s="51">
        <v>2080</v>
      </c>
      <c r="I59" s="52">
        <v>26</v>
      </c>
      <c r="J59" s="53">
        <v>80</v>
      </c>
    </row>
    <row r="60" spans="1:10">
      <c r="A60" s="47">
        <v>46129</v>
      </c>
      <c r="B60" s="48" t="s">
        <v>117</v>
      </c>
      <c r="C60" s="49" t="s">
        <v>117</v>
      </c>
      <c r="D60" s="50" t="s">
        <v>118</v>
      </c>
      <c r="E60" s="49" t="s">
        <v>66</v>
      </c>
      <c r="F60" s="49"/>
      <c r="G60" s="49"/>
      <c r="H60" s="58">
        <v>600</v>
      </c>
      <c r="I60" s="52">
        <v>7.5</v>
      </c>
      <c r="J60" s="53">
        <v>80</v>
      </c>
    </row>
    <row r="61" spans="1:10">
      <c r="H61" s="55">
        <f>SUM(H55:H60)</f>
        <v>8270</v>
      </c>
    </row>
  </sheetData>
  <hyperlinks>
    <hyperlink ref="D2" r:id="rId1" xr:uid="{0EF89D93-9E8A-442D-9B37-0A85E770E30D}"/>
    <hyperlink ref="D3" r:id="rId2" xr:uid="{3235153B-ADCA-4AAD-B962-9B11874EA090}"/>
    <hyperlink ref="D6" r:id="rId3" xr:uid="{8AAB3F55-3336-4F67-BECE-4C31FF035155}"/>
    <hyperlink ref="D5" r:id="rId4" xr:uid="{E0D54023-FA2B-4922-8447-D08A81353AA3}"/>
    <hyperlink ref="D9" r:id="rId5" xr:uid="{C9136815-1AD6-4A87-914B-E21E9891D901}"/>
    <hyperlink ref="D10" r:id="rId6" xr:uid="{244B4AD2-E88D-40A2-92C3-475689F1053F}"/>
    <hyperlink ref="D13" r:id="rId7" xr:uid="{847760F1-4412-42DE-96FE-AE981502277B}"/>
    <hyperlink ref="D12" r:id="rId8" xr:uid="{BDC4352A-73D1-464D-9523-0C9DD66C4AC8}"/>
    <hyperlink ref="D16" r:id="rId9" xr:uid="{FA5837F6-B520-49D4-8D70-A057AF537F75}"/>
    <hyperlink ref="D17" r:id="rId10" xr:uid="{E146EE67-ACBC-4A25-BA5F-696B58D6F221}"/>
    <hyperlink ref="D20" r:id="rId11" xr:uid="{6FE18683-D996-450A-B330-680CE3642D36}"/>
    <hyperlink ref="D19" r:id="rId12" xr:uid="{51950CB8-3CB0-498A-830B-F417580E6117}"/>
    <hyperlink ref="D23" r:id="rId13" xr:uid="{BD207FF1-3A8D-42ED-9764-19AD59BE4363}"/>
    <hyperlink ref="D24" r:id="rId14" xr:uid="{F674D544-0F4C-40E8-89A6-D9FA3B6B1DC9}"/>
    <hyperlink ref="D26" r:id="rId15" xr:uid="{A02B5D50-D4E6-4E52-9CC7-2F1106BE8A9F}"/>
    <hyperlink ref="D25" r:id="rId16" xr:uid="{593BCA51-74FA-491C-967C-2A4FE1109199}"/>
    <hyperlink ref="D27" r:id="rId17" tooltip="mailto:igianpaolo97@gmail.com" display="mailto:igianpaolo97@gmail.com" xr:uid="{0CCF4ABE-BDF5-4A87-9EA6-82D0886786B0}"/>
    <hyperlink ref="D30" r:id="rId18" xr:uid="{9D486A25-9ED6-47F1-BE84-0C2C3BF17F84}"/>
    <hyperlink ref="D32" r:id="rId19" xr:uid="{D07D905B-8BB4-4954-96DC-37A256D22B9A}"/>
    <hyperlink ref="D34" r:id="rId20" xr:uid="{466E5D7D-71FA-4C78-8B97-19DCE4BC7661}"/>
    <hyperlink ref="D33" r:id="rId21" xr:uid="{27D9191D-BF8E-4C43-912B-465C89B581FF}"/>
    <hyperlink ref="D35" r:id="rId22" tooltip="mailto:igianpaolo97@gmail.com" display="mailto:igianpaolo97@gmail.com" xr:uid="{7F9752FA-3FDC-4174-B54F-2C8EF7544A2E}"/>
    <hyperlink ref="D38" r:id="rId23" xr:uid="{3D16FC76-4C6F-40DF-9940-40A5FC783FFA}"/>
    <hyperlink ref="D40" r:id="rId24" xr:uid="{DBB7FE2D-1D6F-4337-ABF4-68AB19251482}"/>
    <hyperlink ref="D42" r:id="rId25" xr:uid="{6221982B-C0E3-4AB6-879D-F7080F1CA708}"/>
    <hyperlink ref="D41" r:id="rId26" xr:uid="{0193E3A4-806C-45F1-97B8-4BE61E9D5D3D}"/>
    <hyperlink ref="D43" r:id="rId27" xr:uid="{E7964C52-7E7A-48C0-9079-AF75388261B0}"/>
    <hyperlink ref="D47" r:id="rId28" xr:uid="{651631D5-8871-4D1C-AF66-6A2F860CD54D}"/>
    <hyperlink ref="D51" r:id="rId29" xr:uid="{0B4C5195-963F-443E-B27C-6E0C8E671F5F}"/>
    <hyperlink ref="D52" r:id="rId30" xr:uid="{BC45DD99-B245-4C29-9454-1ED875DC051A}"/>
    <hyperlink ref="D50" r:id="rId31" xr:uid="{13FA42BD-285D-4493-88F1-AA6D86B45760}"/>
    <hyperlink ref="D49" r:id="rId32" xr:uid="{7DECA556-8128-45F7-B213-C0BEB0F27ADB}"/>
    <hyperlink ref="D55" r:id="rId33" xr:uid="{DAC67D05-8E6D-4461-B9DB-C4BE82E7AECC}"/>
    <hyperlink ref="D59" r:id="rId34" xr:uid="{2C3E7078-63C2-4237-8C4E-C358CACEC66E}"/>
    <hyperlink ref="D60" r:id="rId35" xr:uid="{8BF0049C-41AD-4462-8448-2B63F8699971}"/>
    <hyperlink ref="D58" r:id="rId36" xr:uid="{4B3F3542-F183-4EDF-9656-5F0C8CAD1BC8}"/>
    <hyperlink ref="D57" r:id="rId37" xr:uid="{D59E3317-328C-4CE8-8D1E-C6AF4DFD98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4E78-E6B0-4FDA-BE9B-915AC384C8F2}">
  <dimension ref="B1:C4"/>
  <sheetViews>
    <sheetView workbookViewId="0">
      <selection activeCell="G15" sqref="G15"/>
    </sheetView>
  </sheetViews>
  <sheetFormatPr defaultRowHeight="14.45"/>
  <cols>
    <col min="1" max="1" width="14.7109375" customWidth="1"/>
    <col min="2" max="2" width="25.85546875" customWidth="1"/>
    <col min="3" max="3" width="13.5703125" customWidth="1"/>
    <col min="7" max="7" width="25.42578125" customWidth="1"/>
    <col min="8" max="8" width="13.85546875" customWidth="1"/>
  </cols>
  <sheetData>
    <row r="1" spans="2:3">
      <c r="B1" t="s">
        <v>120</v>
      </c>
      <c r="C1" t="s">
        <v>121</v>
      </c>
    </row>
    <row r="2" spans="2:3">
      <c r="B2" s="5" t="s">
        <v>122</v>
      </c>
      <c r="C2" s="8">
        <v>20</v>
      </c>
    </row>
    <row r="3" spans="2:3">
      <c r="B3" s="5" t="s">
        <v>123</v>
      </c>
      <c r="C3" s="8">
        <v>23</v>
      </c>
    </row>
    <row r="4" spans="2:3">
      <c r="B4" s="5" t="s">
        <v>124</v>
      </c>
      <c r="C4" s="8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60B4906F7C134BA3B632C45628155C" ma:contentTypeVersion="18" ma:contentTypeDescription="Create a new document." ma:contentTypeScope="" ma:versionID="61fae7d94cdcc7254f67842273ba3717">
  <xsd:schema xmlns:xsd="http://www.w3.org/2001/XMLSchema" xmlns:xs="http://www.w3.org/2001/XMLSchema" xmlns:p="http://schemas.microsoft.com/office/2006/metadata/properties" xmlns:ns2="cfb754c9-e7e1-47a6-a874-55e0bdd74861" xmlns:ns3="03e5da79-3bb3-4ce8-9305-2ec1c7160152" targetNamespace="http://schemas.microsoft.com/office/2006/metadata/properties" ma:root="true" ma:fieldsID="ed1c7ae614c58d0537430a9b135da41a" ns2:_="" ns3:_="">
    <xsd:import namespace="cfb754c9-e7e1-47a6-a874-55e0bdd74861"/>
    <xsd:import namespace="03e5da79-3bb3-4ce8-9305-2ec1c716015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754c9-e7e1-47a6-a874-55e0bdd748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37d1da-4d14-4fbd-9ed6-a085c6c6d704}" ma:internalName="TaxCatchAll" ma:showField="CatchAllData" ma:web="cfb754c9-e7e1-47a6-a874-55e0bdd74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5da79-3bb3-4ce8-9305-2ec1c71601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7a4434-80cb-4079-b7da-10560b6600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5da79-3bb3-4ce8-9305-2ec1c7160152">
      <Terms xmlns="http://schemas.microsoft.com/office/infopath/2007/PartnerControls"/>
    </lcf76f155ced4ddcb4097134ff3c332f>
    <TaxCatchAll xmlns="cfb754c9-e7e1-47a6-a874-55e0bdd74861" xsi:nil="true"/>
  </documentManagement>
</p:properties>
</file>

<file path=customXml/itemProps1.xml><?xml version="1.0" encoding="utf-8"?>
<ds:datastoreItem xmlns:ds="http://schemas.openxmlformats.org/officeDocument/2006/customXml" ds:itemID="{B0F2172D-5B26-419F-85BA-F66DE7933FD7}"/>
</file>

<file path=customXml/itemProps2.xml><?xml version="1.0" encoding="utf-8"?>
<ds:datastoreItem xmlns:ds="http://schemas.openxmlformats.org/officeDocument/2006/customXml" ds:itemID="{30B95920-7061-4C9D-B3BF-4C59C7C86769}"/>
</file>

<file path=customXml/itemProps3.xml><?xml version="1.0" encoding="utf-8"?>
<ds:datastoreItem xmlns:ds="http://schemas.openxmlformats.org/officeDocument/2006/customXml" ds:itemID="{B3AFD820-4D7E-4FAA-93CD-D3350FF2F1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lwalsh</dc:creator>
  <cp:keywords/>
  <dc:description/>
  <cp:lastModifiedBy/>
  <cp:revision/>
  <dcterms:created xsi:type="dcterms:W3CDTF">2022-05-23T22:00:15Z</dcterms:created>
  <dcterms:modified xsi:type="dcterms:W3CDTF">2026-04-16T16:11:38Z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0x0101004D60B4906F7C134BA3B632C45628155C</vt:lpwstr>
  </property>
  <property fmtid="{D5CDD505-2E9C-101B-9397-08002B2CF9AE}" pid="3" name="MediaServiceImageTags">
    <vt:lpwstr/>
  </property>
</Properties>
</file>