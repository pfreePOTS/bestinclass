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ree\Downloads\"/>
    </mc:Choice>
  </mc:AlternateContent>
  <xr:revisionPtr revIDLastSave="0" documentId="8_{7A9AEBD1-C774-48E9-B2A1-C3ADCAFEDAA9}" xr6:coauthVersionLast="47" xr6:coauthVersionMax="47" xr10:uidLastSave="{00000000-0000-0000-0000-000000000000}"/>
  <bookViews>
    <workbookView xWindow="-103" yWindow="-103" windowWidth="33120" windowHeight="18000" tabRatio="616" firstSheet="1" activeTab="2" xr2:uid="{00000000-000D-0000-FFFF-FFFF00000000}"/>
  </bookViews>
  <sheets>
    <sheet name="2026 sandbox)" sheetId="32" r:id="rId1"/>
    <sheet name="Profitablility" sheetId="33" r:id="rId2"/>
    <sheet name="2026" sheetId="3" r:id="rId3"/>
    <sheet name="2025" sheetId="31" r:id="rId4"/>
    <sheet name="2024" sheetId="30" r:id="rId5"/>
    <sheet name="2023" sheetId="29" r:id="rId6"/>
    <sheet name="Categories" sheetId="22" state="hidden" r:id="rId7"/>
    <sheet name="5.1.18" sheetId="4" state="hidden" r:id="rId8"/>
    <sheet name="5.1.18-2" sheetId="6" state="hidden" r:id="rId9"/>
    <sheet name="5.9.18" sheetId="7" state="hidden" r:id="rId10"/>
    <sheet name="5.22.18 v2" sheetId="12" state="hidden" r:id="rId11"/>
    <sheet name="Sales Campaign Pivot" sheetId="19" state="hidden" r:id="rId12"/>
    <sheet name="Sales Campaign Overview" sheetId="21" state="hidden" r:id="rId13"/>
    <sheet name="Campaign Pivot" sheetId="25" state="hidden" r:id="rId14"/>
    <sheet name="Sheet1" sheetId="28" state="hidden" r:id="rId15"/>
    <sheet name="Invoice by Line Item Categories" sheetId="26" state="hidden" r:id="rId16"/>
    <sheet name="7.3.18" sheetId="18" state="hidden" r:id="rId17"/>
    <sheet name="6.19.18" sheetId="17" state="hidden" r:id="rId18"/>
    <sheet name="6.12.18v2" sheetId="16" state="hidden" r:id="rId19"/>
    <sheet name="6.12.18" sheetId="15" state="hidden" r:id="rId20"/>
    <sheet name="5.29.18v2" sheetId="14" state="hidden" r:id="rId21"/>
    <sheet name="5.22.28" sheetId="11" state="hidden" r:id="rId22"/>
    <sheet name="5.15.18v2" sheetId="10" state="hidden" r:id="rId23"/>
    <sheet name="5.15.18" sheetId="9" state="hidden" r:id="rId24"/>
    <sheet name="5.9.18-2" sheetId="8" state="hidden" r:id="rId25"/>
  </sheets>
  <definedNames>
    <definedName name="_MailAutoSig" localSheetId="5">'2023'!$E$20</definedName>
    <definedName name="_MailAutoSig" localSheetId="4">'2024'!$E$20</definedName>
    <definedName name="_MailAutoSig" localSheetId="3">'2025'!$E$20</definedName>
    <definedName name="_MailAutoSig" localSheetId="2">'2026'!$E$20</definedName>
    <definedName name="_MailAutoSig" localSheetId="0">'2026 sandbox)'!$E$20</definedName>
  </definedNames>
  <calcPr calcId="191028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F15" i="33"/>
  <c r="F8" i="33"/>
  <c r="F7" i="33"/>
  <c r="I7" i="33" s="1"/>
  <c r="F4" i="33"/>
  <c r="F3" i="33"/>
  <c r="I3" i="33" s="1"/>
  <c r="F44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3" i="32"/>
  <c r="O4" i="32"/>
  <c r="O5" i="32"/>
  <c r="O6" i="32"/>
  <c r="O7" i="32"/>
  <c r="O8" i="32"/>
  <c r="O10" i="32"/>
  <c r="O11" i="32"/>
  <c r="O12" i="32"/>
  <c r="F14" i="32"/>
  <c r="G14" i="32"/>
  <c r="H14" i="32"/>
  <c r="H21" i="32" s="1"/>
  <c r="O15" i="32"/>
  <c r="C19" i="32"/>
  <c r="C32" i="32" s="1"/>
  <c r="D19" i="32"/>
  <c r="D22" i="32" s="1"/>
  <c r="E19" i="32"/>
  <c r="E22" i="32" s="1"/>
  <c r="F19" i="32"/>
  <c r="F21" i="32" s="1"/>
  <c r="G19" i="32"/>
  <c r="G58" i="32" s="1"/>
  <c r="H19" i="32"/>
  <c r="H22" i="32" s="1"/>
  <c r="I19" i="32"/>
  <c r="I22" i="32" s="1"/>
  <c r="J19" i="32"/>
  <c r="J58" i="32" s="1"/>
  <c r="K19" i="32"/>
  <c r="K58" i="32" s="1"/>
  <c r="L19" i="32"/>
  <c r="L58" i="32" s="1"/>
  <c r="M19" i="32"/>
  <c r="M22" i="32" s="1"/>
  <c r="N19" i="32"/>
  <c r="C20" i="32"/>
  <c r="D20" i="32"/>
  <c r="E20" i="32"/>
  <c r="G20" i="32"/>
  <c r="I20" i="32"/>
  <c r="J20" i="32"/>
  <c r="K20" i="32"/>
  <c r="L20" i="32"/>
  <c r="M20" i="32"/>
  <c r="N20" i="32"/>
  <c r="C21" i="32"/>
  <c r="D21" i="32"/>
  <c r="E21" i="32"/>
  <c r="I21" i="32"/>
  <c r="J21" i="32"/>
  <c r="K21" i="32"/>
  <c r="L21" i="32"/>
  <c r="M21" i="32"/>
  <c r="N21" i="32"/>
  <c r="R21" i="32"/>
  <c r="R23" i="32" s="1"/>
  <c r="G22" i="32"/>
  <c r="N22" i="32"/>
  <c r="O26" i="32"/>
  <c r="C27" i="32"/>
  <c r="D27" i="32" s="1"/>
  <c r="E27" i="32" s="1"/>
  <c r="F27" i="32" s="1"/>
  <c r="G27" i="32" s="1"/>
  <c r="H27" i="32" s="1"/>
  <c r="I27" i="32" s="1"/>
  <c r="J27" i="32" s="1"/>
  <c r="K27" i="32" s="1"/>
  <c r="L27" i="32" s="1"/>
  <c r="M27" i="32" s="1"/>
  <c r="N27" i="32" s="1"/>
  <c r="O27" i="32" s="1"/>
  <c r="T27" i="32"/>
  <c r="U27" i="32" s="1"/>
  <c r="T28" i="32"/>
  <c r="T29" i="32"/>
  <c r="C30" i="32"/>
  <c r="O30" i="32" s="1"/>
  <c r="D30" i="32"/>
  <c r="E30" i="32"/>
  <c r="F30" i="32"/>
  <c r="G30" i="32"/>
  <c r="H30" i="32"/>
  <c r="I30" i="32"/>
  <c r="J30" i="32"/>
  <c r="K30" i="32"/>
  <c r="L30" i="32"/>
  <c r="M30" i="32"/>
  <c r="N30" i="32"/>
  <c r="T30" i="32"/>
  <c r="C31" i="32"/>
  <c r="O31" i="32" s="1"/>
  <c r="D31" i="32"/>
  <c r="E31" i="32"/>
  <c r="F31" i="32"/>
  <c r="G31" i="32"/>
  <c r="H31" i="32"/>
  <c r="I31" i="32"/>
  <c r="J31" i="32"/>
  <c r="K31" i="32"/>
  <c r="L31" i="32"/>
  <c r="M31" i="32"/>
  <c r="N31" i="32"/>
  <c r="T31" i="32"/>
  <c r="T32" i="32"/>
  <c r="U32" i="32"/>
  <c r="H115" i="32"/>
  <c r="H117" i="32" s="1"/>
  <c r="G111" i="32"/>
  <c r="G115" i="32" s="1"/>
  <c r="G117" i="32" s="1"/>
  <c r="P109" i="32"/>
  <c r="P115" i="32" s="1"/>
  <c r="P117" i="32" s="1"/>
  <c r="I109" i="32"/>
  <c r="I115" i="32" s="1"/>
  <c r="I117" i="32" s="1"/>
  <c r="C86" i="32"/>
  <c r="C90" i="32" s="1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D62" i="32"/>
  <c r="D86" i="32" s="1"/>
  <c r="H58" i="32"/>
  <c r="O54" i="32"/>
  <c r="N51" i="32"/>
  <c r="M51" i="32"/>
  <c r="L51" i="32"/>
  <c r="K51" i="32"/>
  <c r="J51" i="32"/>
  <c r="I51" i="32"/>
  <c r="H51" i="32"/>
  <c r="G51" i="32"/>
  <c r="E51" i="32"/>
  <c r="D51" i="32"/>
  <c r="C51" i="32"/>
  <c r="N45" i="32"/>
  <c r="N46" i="32" s="1"/>
  <c r="M45" i="32"/>
  <c r="M46" i="32" s="1"/>
  <c r="L45" i="32"/>
  <c r="L46" i="32" s="1"/>
  <c r="K45" i="32"/>
  <c r="K46" i="32" s="1"/>
  <c r="J45" i="32"/>
  <c r="J46" i="32" s="1"/>
  <c r="I45" i="32"/>
  <c r="I46" i="32" s="1"/>
  <c r="H45" i="32"/>
  <c r="H46" i="32" s="1"/>
  <c r="G45" i="32"/>
  <c r="G46" i="32" s="1"/>
  <c r="E45" i="32"/>
  <c r="E46" i="32" s="1"/>
  <c r="F45" i="32" s="1"/>
  <c r="F47" i="32" s="1"/>
  <c r="D45" i="32"/>
  <c r="D46" i="32" s="1"/>
  <c r="C45" i="32"/>
  <c r="C46" i="32" s="1"/>
  <c r="O43" i="32"/>
  <c r="O39" i="32"/>
  <c r="N38" i="32"/>
  <c r="N40" i="32" s="1"/>
  <c r="N41" i="32" s="1"/>
  <c r="M38" i="32"/>
  <c r="M40" i="32" s="1"/>
  <c r="M41" i="32" s="1"/>
  <c r="L38" i="32"/>
  <c r="L50" i="32" s="1"/>
  <c r="L52" i="32" s="1"/>
  <c r="L53" i="32" s="1"/>
  <c r="K38" i="32"/>
  <c r="K50" i="32" s="1"/>
  <c r="K52" i="32" s="1"/>
  <c r="J38" i="32"/>
  <c r="J50" i="32" s="1"/>
  <c r="I38" i="32"/>
  <c r="I40" i="32" s="1"/>
  <c r="I41" i="32" s="1"/>
  <c r="H38" i="32"/>
  <c r="H40" i="32" s="1"/>
  <c r="H41" i="32" s="1"/>
  <c r="G38" i="32"/>
  <c r="G50" i="32" s="1"/>
  <c r="G52" i="32" s="1"/>
  <c r="F40" i="32"/>
  <c r="F41" i="32" s="1"/>
  <c r="E38" i="32"/>
  <c r="E40" i="32" s="1"/>
  <c r="E41" i="32" s="1"/>
  <c r="D38" i="32"/>
  <c r="D40" i="32" s="1"/>
  <c r="D41" i="32" s="1"/>
  <c r="C38" i="32"/>
  <c r="C50" i="32" s="1"/>
  <c r="O35" i="32"/>
  <c r="R34" i="32"/>
  <c r="Q34" i="32"/>
  <c r="E34" i="32"/>
  <c r="E36" i="32" s="1"/>
  <c r="E37" i="32" s="1"/>
  <c r="D34" i="32"/>
  <c r="D36" i="32" s="1"/>
  <c r="D37" i="32" s="1"/>
  <c r="C34" i="32"/>
  <c r="E58" i="32"/>
  <c r="O79" i="3"/>
  <c r="O80" i="3"/>
  <c r="I32" i="33" l="1"/>
  <c r="I33" i="33" s="1"/>
  <c r="F9" i="33"/>
  <c r="F5" i="33"/>
  <c r="F22" i="32"/>
  <c r="M58" i="32"/>
  <c r="K22" i="32"/>
  <c r="H20" i="32"/>
  <c r="L22" i="32"/>
  <c r="D32" i="32"/>
  <c r="E32" i="32" s="1"/>
  <c r="F32" i="32" s="1"/>
  <c r="G32" i="32" s="1"/>
  <c r="O34" i="32"/>
  <c r="F42" i="32"/>
  <c r="O19" i="32"/>
  <c r="T14" i="32"/>
  <c r="C25" i="32"/>
  <c r="D25" i="32" s="1"/>
  <c r="E25" i="32" s="1"/>
  <c r="F25" i="32" s="1"/>
  <c r="G25" i="32" s="1"/>
  <c r="H25" i="32" s="1"/>
  <c r="I25" i="32" s="1"/>
  <c r="J25" i="32" s="1"/>
  <c r="K25" i="32" s="1"/>
  <c r="L25" i="32" s="1"/>
  <c r="M25" i="32" s="1"/>
  <c r="N25" i="32" s="1"/>
  <c r="O14" i="32"/>
  <c r="D58" i="32"/>
  <c r="C22" i="32"/>
  <c r="C36" i="32"/>
  <c r="C37" i="32" s="1"/>
  <c r="G40" i="32"/>
  <c r="G41" i="32" s="1"/>
  <c r="F20" i="32"/>
  <c r="J22" i="32"/>
  <c r="G21" i="32"/>
  <c r="C24" i="32"/>
  <c r="Q36" i="32"/>
  <c r="R36" i="32" s="1"/>
  <c r="M50" i="32"/>
  <c r="M52" i="32" s="1"/>
  <c r="M55" i="32" s="1"/>
  <c r="M56" i="32" s="1"/>
  <c r="N50" i="32"/>
  <c r="N52" i="32" s="1"/>
  <c r="N55" i="32" s="1"/>
  <c r="N56" i="32" s="1"/>
  <c r="K40" i="32"/>
  <c r="K41" i="32" s="1"/>
  <c r="C87" i="32"/>
  <c r="D50" i="32"/>
  <c r="D52" i="32" s="1"/>
  <c r="D53" i="32" s="1"/>
  <c r="E50" i="32"/>
  <c r="E52" i="32" s="1"/>
  <c r="E55" i="32" s="1"/>
  <c r="E56" i="32" s="1"/>
  <c r="L40" i="32"/>
  <c r="L41" i="32" s="1"/>
  <c r="C40" i="32"/>
  <c r="C41" i="32" s="1"/>
  <c r="F50" i="32"/>
  <c r="J52" i="32"/>
  <c r="J55" i="32" s="1"/>
  <c r="J56" i="32" s="1"/>
  <c r="O44" i="32"/>
  <c r="F46" i="32"/>
  <c r="F51" i="32"/>
  <c r="O51" i="32" s="1"/>
  <c r="D90" i="32"/>
  <c r="D87" i="32"/>
  <c r="C52" i="32"/>
  <c r="K53" i="32"/>
  <c r="K55" i="32"/>
  <c r="K56" i="32" s="1"/>
  <c r="G53" i="32"/>
  <c r="G55" i="32"/>
  <c r="G56" i="32" s="1"/>
  <c r="J40" i="32"/>
  <c r="J41" i="32" s="1"/>
  <c r="F58" i="32"/>
  <c r="N58" i="32"/>
  <c r="I58" i="32"/>
  <c r="E62" i="32"/>
  <c r="P111" i="32"/>
  <c r="H50" i="32"/>
  <c r="H52" i="32" s="1"/>
  <c r="I50" i="32"/>
  <c r="I52" i="32" s="1"/>
  <c r="L55" i="32"/>
  <c r="L56" i="32" s="1"/>
  <c r="C58" i="32"/>
  <c r="J109" i="32"/>
  <c r="O38" i="32"/>
  <c r="I36" i="33" l="1"/>
  <c r="I37" i="33" s="1"/>
  <c r="F11" i="33"/>
  <c r="F17" i="33" s="1"/>
  <c r="F21" i="33" s="1"/>
  <c r="O22" i="32"/>
  <c r="O58" i="32"/>
  <c r="N53" i="32"/>
  <c r="O36" i="32"/>
  <c r="O37" i="32" s="1"/>
  <c r="M53" i="32"/>
  <c r="D24" i="32"/>
  <c r="C28" i="32"/>
  <c r="D55" i="32"/>
  <c r="D56" i="32" s="1"/>
  <c r="O40" i="32"/>
  <c r="O41" i="32" s="1"/>
  <c r="J53" i="32"/>
  <c r="E53" i="32"/>
  <c r="F52" i="32"/>
  <c r="F55" i="32" s="1"/>
  <c r="F56" i="32" s="1"/>
  <c r="O45" i="32"/>
  <c r="O46" i="32" s="1"/>
  <c r="I55" i="32"/>
  <c r="I56" i="32" s="1"/>
  <c r="I53" i="32"/>
  <c r="C53" i="32"/>
  <c r="C55" i="32"/>
  <c r="K109" i="32"/>
  <c r="J111" i="32"/>
  <c r="J115" i="32" s="1"/>
  <c r="J117" i="32" s="1"/>
  <c r="O50" i="32"/>
  <c r="E86" i="32"/>
  <c r="F62" i="32"/>
  <c r="H55" i="32"/>
  <c r="H56" i="32" s="1"/>
  <c r="H53" i="32"/>
  <c r="O52" i="32" l="1"/>
  <c r="O53" i="32" s="1"/>
  <c r="D28" i="32"/>
  <c r="E24" i="32"/>
  <c r="F53" i="32"/>
  <c r="L109" i="32"/>
  <c r="K111" i="32"/>
  <c r="K115" i="32"/>
  <c r="K117" i="32" s="1"/>
  <c r="F86" i="32"/>
  <c r="G62" i="32"/>
  <c r="E93" i="32"/>
  <c r="E87" i="32"/>
  <c r="E90" i="32"/>
  <c r="O55" i="32"/>
  <c r="C56" i="32"/>
  <c r="E28" i="32" l="1"/>
  <c r="F24" i="32"/>
  <c r="H62" i="32"/>
  <c r="G86" i="32"/>
  <c r="F87" i="32"/>
  <c r="F90" i="32"/>
  <c r="L111" i="32"/>
  <c r="L115" i="32"/>
  <c r="L117" i="32" s="1"/>
  <c r="M109" i="32"/>
  <c r="G24" i="32" l="1"/>
  <c r="F28" i="32"/>
  <c r="I62" i="32"/>
  <c r="H86" i="32"/>
  <c r="N109" i="32"/>
  <c r="M111" i="32"/>
  <c r="M115" i="32" s="1"/>
  <c r="M117" i="32" s="1"/>
  <c r="G90" i="32"/>
  <c r="G87" i="32"/>
  <c r="H24" i="32" l="1"/>
  <c r="G28" i="32"/>
  <c r="I86" i="32"/>
  <c r="J62" i="32"/>
  <c r="N111" i="32"/>
  <c r="N115" i="32"/>
  <c r="N117" i="32" s="1"/>
  <c r="O109" i="32"/>
  <c r="H87" i="32"/>
  <c r="H90" i="32"/>
  <c r="I24" i="32" l="1"/>
  <c r="H28" i="32"/>
  <c r="O111" i="32"/>
  <c r="O115" i="32" s="1"/>
  <c r="O117" i="32" s="1"/>
  <c r="J86" i="32"/>
  <c r="K62" i="32"/>
  <c r="I87" i="32"/>
  <c r="I90" i="32"/>
  <c r="J24" i="32" l="1"/>
  <c r="I28" i="32"/>
  <c r="K86" i="32"/>
  <c r="L62" i="32"/>
  <c r="J90" i="32"/>
  <c r="J87" i="32"/>
  <c r="K24" i="32" l="1"/>
  <c r="J28" i="32"/>
  <c r="K90" i="32"/>
  <c r="K87" i="32"/>
  <c r="L86" i="32"/>
  <c r="M62" i="32"/>
  <c r="L24" i="32" l="1"/>
  <c r="K28" i="32"/>
  <c r="M86" i="32"/>
  <c r="N62" i="32"/>
  <c r="L90" i="32"/>
  <c r="L87" i="32"/>
  <c r="M24" i="32" l="1"/>
  <c r="L28" i="32"/>
  <c r="M87" i="32"/>
  <c r="M90" i="32"/>
  <c r="N86" i="32"/>
  <c r="O62" i="32"/>
  <c r="O86" i="32" s="1"/>
  <c r="O90" i="32" s="1"/>
  <c r="N24" i="32" l="1"/>
  <c r="M28" i="32"/>
  <c r="N90" i="32"/>
  <c r="N87" i="32"/>
  <c r="O87" i="32" s="1"/>
  <c r="O24" i="32" l="1"/>
  <c r="N28" i="32"/>
  <c r="O28" i="32" s="1"/>
  <c r="F45" i="3" l="1"/>
  <c r="F25" i="33" s="1"/>
  <c r="F26" i="33" s="1"/>
  <c r="H14" i="3"/>
  <c r="F28" i="33" l="1"/>
  <c r="F29" i="33"/>
  <c r="D19" i="3"/>
  <c r="E19" i="3"/>
  <c r="F19" i="3"/>
  <c r="G19" i="3"/>
  <c r="H19" i="3"/>
  <c r="I19" i="3"/>
  <c r="J19" i="3"/>
  <c r="K19" i="3"/>
  <c r="L19" i="3"/>
  <c r="M19" i="3"/>
  <c r="C19" i="3"/>
  <c r="I28" i="33" l="1"/>
  <c r="I34" i="33"/>
  <c r="J34" i="33" s="1"/>
  <c r="O3" i="31"/>
  <c r="O4" i="31"/>
  <c r="O5" i="31"/>
  <c r="O6" i="31"/>
  <c r="O7" i="31"/>
  <c r="O8" i="31"/>
  <c r="O10" i="31"/>
  <c r="O11" i="31"/>
  <c r="O12" i="31"/>
  <c r="O14" i="31"/>
  <c r="T14" i="31"/>
  <c r="O15" i="31"/>
  <c r="C19" i="31"/>
  <c r="C25" i="31" s="1"/>
  <c r="D25" i="31" s="1"/>
  <c r="E25" i="31" s="1"/>
  <c r="F25" i="31" s="1"/>
  <c r="G25" i="31" s="1"/>
  <c r="H25" i="31" s="1"/>
  <c r="I25" i="31" s="1"/>
  <c r="J25" i="31" s="1"/>
  <c r="K25" i="31" s="1"/>
  <c r="L25" i="31" s="1"/>
  <c r="M25" i="31" s="1"/>
  <c r="N25" i="31" s="1"/>
  <c r="D19" i="31"/>
  <c r="E19" i="31"/>
  <c r="O19" i="31" s="1"/>
  <c r="F19" i="31"/>
  <c r="F21" i="31" s="1"/>
  <c r="G19" i="31"/>
  <c r="H19" i="31"/>
  <c r="I19" i="31"/>
  <c r="J19" i="31"/>
  <c r="K19" i="31"/>
  <c r="L19" i="31"/>
  <c r="M19" i="31"/>
  <c r="M55" i="31" s="1"/>
  <c r="N19" i="31"/>
  <c r="N55" i="31" s="1"/>
  <c r="C20" i="31"/>
  <c r="D20" i="31"/>
  <c r="E20" i="31"/>
  <c r="G20" i="31"/>
  <c r="H20" i="31"/>
  <c r="I20" i="31"/>
  <c r="J20" i="31"/>
  <c r="K20" i="31"/>
  <c r="L20" i="31"/>
  <c r="M20" i="31"/>
  <c r="N20" i="31"/>
  <c r="C21" i="31"/>
  <c r="D21" i="31"/>
  <c r="E21" i="31"/>
  <c r="G21" i="31"/>
  <c r="H21" i="31"/>
  <c r="I21" i="31"/>
  <c r="J21" i="31"/>
  <c r="K21" i="31"/>
  <c r="L21" i="31"/>
  <c r="M21" i="31"/>
  <c r="N21" i="31"/>
  <c r="R21" i="31"/>
  <c r="D22" i="31"/>
  <c r="G22" i="31"/>
  <c r="H22" i="31"/>
  <c r="I22" i="31"/>
  <c r="J22" i="31"/>
  <c r="K22" i="31"/>
  <c r="L22" i="31"/>
  <c r="R23" i="31"/>
  <c r="O26" i="31"/>
  <c r="C27" i="31"/>
  <c r="D27" i="31" s="1"/>
  <c r="E27" i="31" s="1"/>
  <c r="F27" i="31" s="1"/>
  <c r="G27" i="31" s="1"/>
  <c r="H27" i="31" s="1"/>
  <c r="I27" i="31" s="1"/>
  <c r="J27" i="31" s="1"/>
  <c r="K27" i="31" s="1"/>
  <c r="L27" i="31" s="1"/>
  <c r="M27" i="31" s="1"/>
  <c r="N27" i="31" s="1"/>
  <c r="O27" i="31" s="1"/>
  <c r="T27" i="31"/>
  <c r="U27" i="31" s="1"/>
  <c r="T28" i="31"/>
  <c r="T29" i="31"/>
  <c r="C30" i="31"/>
  <c r="O30" i="31" s="1"/>
  <c r="D30" i="31"/>
  <c r="E30" i="31"/>
  <c r="F30" i="31"/>
  <c r="G30" i="31"/>
  <c r="H30" i="31"/>
  <c r="I30" i="31"/>
  <c r="J30" i="31"/>
  <c r="K30" i="31"/>
  <c r="L30" i="31"/>
  <c r="M30" i="31"/>
  <c r="N30" i="31"/>
  <c r="T30" i="31"/>
  <c r="C31" i="31"/>
  <c r="O31" i="31" s="1"/>
  <c r="D31" i="31"/>
  <c r="E31" i="31"/>
  <c r="F31" i="31"/>
  <c r="G31" i="31"/>
  <c r="H31" i="31"/>
  <c r="I31" i="31"/>
  <c r="J31" i="31"/>
  <c r="K31" i="31"/>
  <c r="L31" i="31"/>
  <c r="M31" i="31"/>
  <c r="N31" i="31"/>
  <c r="T31" i="31"/>
  <c r="C32" i="31"/>
  <c r="D32" i="31" s="1"/>
  <c r="E32" i="31" s="1"/>
  <c r="F32" i="31" s="1"/>
  <c r="G32" i="31" s="1"/>
  <c r="T32" i="31"/>
  <c r="U32" i="31"/>
  <c r="C34" i="31"/>
  <c r="D34" i="31"/>
  <c r="E34" i="31"/>
  <c r="O34" i="31"/>
  <c r="Q34" i="31"/>
  <c r="Q36" i="31" s="1"/>
  <c r="R36" i="31" s="1"/>
  <c r="R34" i="31"/>
  <c r="O35" i="31"/>
  <c r="C36" i="31"/>
  <c r="O36" i="31" s="1"/>
  <c r="O37" i="31" s="1"/>
  <c r="D36" i="31"/>
  <c r="E36" i="31"/>
  <c r="C37" i="31"/>
  <c r="D37" i="31"/>
  <c r="E37" i="31"/>
  <c r="C38" i="31"/>
  <c r="D38" i="31"/>
  <c r="E38" i="31"/>
  <c r="O38" i="31" s="1"/>
  <c r="F38" i="31"/>
  <c r="F47" i="31" s="1"/>
  <c r="F49" i="31" s="1"/>
  <c r="G38" i="31"/>
  <c r="H38" i="31"/>
  <c r="I38" i="31"/>
  <c r="J38" i="31"/>
  <c r="K38" i="31"/>
  <c r="L38" i="31"/>
  <c r="M38" i="31"/>
  <c r="M40" i="31" s="1"/>
  <c r="M41" i="31" s="1"/>
  <c r="N38" i="31"/>
  <c r="N47" i="31" s="1"/>
  <c r="N49" i="31" s="1"/>
  <c r="O39" i="31"/>
  <c r="C40" i="31"/>
  <c r="D40" i="31"/>
  <c r="G40" i="31"/>
  <c r="G41" i="31" s="1"/>
  <c r="H40" i="31"/>
  <c r="H41" i="31" s="1"/>
  <c r="I40" i="31"/>
  <c r="I41" i="31" s="1"/>
  <c r="J40" i="31"/>
  <c r="K40" i="31"/>
  <c r="L40" i="31"/>
  <c r="C41" i="31"/>
  <c r="D41" i="31"/>
  <c r="J41" i="31"/>
  <c r="K41" i="31"/>
  <c r="L41" i="31"/>
  <c r="C42" i="31"/>
  <c r="O42" i="31" s="1"/>
  <c r="D42" i="31"/>
  <c r="E42" i="31"/>
  <c r="E44" i="31" s="1"/>
  <c r="E45" i="31" s="1"/>
  <c r="F42" i="31"/>
  <c r="F44" i="31" s="1"/>
  <c r="F45" i="31" s="1"/>
  <c r="G42" i="31"/>
  <c r="G44" i="31" s="1"/>
  <c r="G45" i="31" s="1"/>
  <c r="H42" i="31"/>
  <c r="I42" i="31"/>
  <c r="J42" i="31"/>
  <c r="K42" i="31"/>
  <c r="L42" i="31"/>
  <c r="M42" i="31"/>
  <c r="M44" i="31" s="1"/>
  <c r="M45" i="31" s="1"/>
  <c r="O43" i="31"/>
  <c r="C44" i="31"/>
  <c r="D44" i="31"/>
  <c r="H44" i="31"/>
  <c r="H45" i="31" s="1"/>
  <c r="I44" i="31"/>
  <c r="I45" i="31" s="1"/>
  <c r="J44" i="31"/>
  <c r="J45" i="31" s="1"/>
  <c r="K44" i="31"/>
  <c r="L44" i="31"/>
  <c r="N44" i="31"/>
  <c r="C45" i="31"/>
  <c r="D45" i="31"/>
  <c r="K45" i="31"/>
  <c r="L45" i="31"/>
  <c r="N45" i="31"/>
  <c r="C47" i="31"/>
  <c r="D47" i="31"/>
  <c r="G47" i="31"/>
  <c r="G49" i="31" s="1"/>
  <c r="H47" i="31"/>
  <c r="H49" i="31" s="1"/>
  <c r="I47" i="31"/>
  <c r="J47" i="31"/>
  <c r="K47" i="31"/>
  <c r="L47" i="31"/>
  <c r="C48" i="31"/>
  <c r="O48" i="31" s="1"/>
  <c r="D48" i="31"/>
  <c r="E48" i="31"/>
  <c r="F48" i="31"/>
  <c r="G48" i="31"/>
  <c r="H48" i="31"/>
  <c r="I48" i="31"/>
  <c r="I49" i="31" s="1"/>
  <c r="J48" i="31"/>
  <c r="J49" i="31" s="1"/>
  <c r="K48" i="31"/>
  <c r="K49" i="31" s="1"/>
  <c r="L48" i="31"/>
  <c r="M48" i="31"/>
  <c r="N48" i="31"/>
  <c r="D49" i="31"/>
  <c r="D52" i="31" s="1"/>
  <c r="D53" i="31" s="1"/>
  <c r="L49" i="31"/>
  <c r="L52" i="31" s="1"/>
  <c r="L53" i="31" s="1"/>
  <c r="O51" i="31"/>
  <c r="D55" i="31"/>
  <c r="G55" i="31"/>
  <c r="H55" i="31"/>
  <c r="I55" i="31"/>
  <c r="J55" i="31"/>
  <c r="K55" i="31"/>
  <c r="L55" i="31"/>
  <c r="D59" i="31"/>
  <c r="E59" i="31"/>
  <c r="F59" i="31" s="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C102" i="31"/>
  <c r="C103" i="31"/>
  <c r="C106" i="31"/>
  <c r="G109" i="31"/>
  <c r="I125" i="31"/>
  <c r="J125" i="31" s="1"/>
  <c r="P125" i="31"/>
  <c r="G127" i="31"/>
  <c r="P127" i="31"/>
  <c r="G131" i="31"/>
  <c r="H131" i="31"/>
  <c r="I131" i="31"/>
  <c r="P131" i="31"/>
  <c r="G133" i="31"/>
  <c r="H133" i="31"/>
  <c r="I133" i="31"/>
  <c r="P133" i="31"/>
  <c r="C55" i="31" l="1"/>
  <c r="C24" i="31"/>
  <c r="D24" i="31" s="1"/>
  <c r="C22" i="31"/>
  <c r="G59" i="31"/>
  <c r="F102" i="31"/>
  <c r="K52" i="31"/>
  <c r="K53" i="31" s="1"/>
  <c r="K50" i="31"/>
  <c r="N52" i="31"/>
  <c r="N53" i="31" s="1"/>
  <c r="N50" i="31"/>
  <c r="F52" i="31"/>
  <c r="F53" i="31" s="1"/>
  <c r="F50" i="31"/>
  <c r="J127" i="31"/>
  <c r="J131" i="31" s="1"/>
  <c r="J133" i="31" s="1"/>
  <c r="K125" i="31"/>
  <c r="I50" i="31"/>
  <c r="I52" i="31"/>
  <c r="I53" i="31" s="1"/>
  <c r="O44" i="31"/>
  <c r="O45" i="31" s="1"/>
  <c r="H50" i="31"/>
  <c r="H52" i="31"/>
  <c r="H53" i="31" s="1"/>
  <c r="G52" i="31"/>
  <c r="G53" i="31" s="1"/>
  <c r="G50" i="31"/>
  <c r="J50" i="31"/>
  <c r="J52" i="31"/>
  <c r="J53" i="31" s="1"/>
  <c r="E24" i="31"/>
  <c r="D28" i="31"/>
  <c r="E102" i="31"/>
  <c r="C49" i="31"/>
  <c r="M47" i="31"/>
  <c r="M49" i="31" s="1"/>
  <c r="E47" i="31"/>
  <c r="N40" i="31"/>
  <c r="N41" i="31" s="1"/>
  <c r="F40" i="31"/>
  <c r="F41" i="31" s="1"/>
  <c r="N22" i="31"/>
  <c r="F22" i="31"/>
  <c r="D102" i="31"/>
  <c r="F55" i="31"/>
  <c r="E40" i="31"/>
  <c r="M22" i="31"/>
  <c r="E22" i="31"/>
  <c r="F20" i="31"/>
  <c r="E55" i="31"/>
  <c r="O55" i="31" s="1"/>
  <c r="L50" i="31"/>
  <c r="D50" i="31"/>
  <c r="C28" i="31"/>
  <c r="F24" i="31" l="1"/>
  <c r="E28" i="31"/>
  <c r="O22" i="31"/>
  <c r="O47" i="31"/>
  <c r="E49" i="31"/>
  <c r="E41" i="31"/>
  <c r="O40" i="31"/>
  <c r="O41" i="31" s="1"/>
  <c r="M52" i="31"/>
  <c r="M53" i="31" s="1"/>
  <c r="M50" i="31"/>
  <c r="C52" i="31"/>
  <c r="C50" i="31"/>
  <c r="L125" i="31"/>
  <c r="K127" i="31"/>
  <c r="K131" i="31" s="1"/>
  <c r="K133" i="31" s="1"/>
  <c r="F106" i="31"/>
  <c r="F103" i="31"/>
  <c r="D103" i="31"/>
  <c r="D106" i="31"/>
  <c r="E106" i="31"/>
  <c r="E103" i="31"/>
  <c r="H59" i="31"/>
  <c r="G102" i="31"/>
  <c r="H102" i="31" l="1"/>
  <c r="I59" i="31"/>
  <c r="E52" i="31"/>
  <c r="E53" i="31" s="1"/>
  <c r="E50" i="31"/>
  <c r="O49" i="31"/>
  <c r="O50" i="31" s="1"/>
  <c r="O52" i="31"/>
  <c r="C53" i="31"/>
  <c r="G106" i="31"/>
  <c r="G103" i="31"/>
  <c r="M125" i="31"/>
  <c r="L127" i="31"/>
  <c r="L131" i="31" s="1"/>
  <c r="L133" i="31" s="1"/>
  <c r="G24" i="31"/>
  <c r="F28" i="31"/>
  <c r="N125" i="31" l="1"/>
  <c r="M127" i="31"/>
  <c r="M131" i="31" s="1"/>
  <c r="M133" i="31" s="1"/>
  <c r="H24" i="31"/>
  <c r="G28" i="31"/>
  <c r="I102" i="31"/>
  <c r="J59" i="31"/>
  <c r="H106" i="31"/>
  <c r="H103" i="31"/>
  <c r="I24" i="31" l="1"/>
  <c r="H28" i="31"/>
  <c r="J102" i="31"/>
  <c r="K59" i="31"/>
  <c r="I103" i="31"/>
  <c r="I106" i="31"/>
  <c r="N127" i="31"/>
  <c r="N131" i="31" s="1"/>
  <c r="N133" i="31" s="1"/>
  <c r="O125" i="31"/>
  <c r="K102" i="31" l="1"/>
  <c r="L59" i="31"/>
  <c r="J106" i="31"/>
  <c r="J103" i="31"/>
  <c r="O127" i="31"/>
  <c r="O131" i="31"/>
  <c r="O133" i="31" s="1"/>
  <c r="J24" i="31"/>
  <c r="I28" i="31"/>
  <c r="K24" i="31" l="1"/>
  <c r="J28" i="31"/>
  <c r="M59" i="31"/>
  <c r="L102" i="31"/>
  <c r="K103" i="31"/>
  <c r="K106" i="31"/>
  <c r="L103" i="31" l="1"/>
  <c r="L106" i="31"/>
  <c r="N59" i="31"/>
  <c r="M102" i="31"/>
  <c r="L24" i="31"/>
  <c r="K28" i="31"/>
  <c r="M24" i="31" l="1"/>
  <c r="L28" i="31"/>
  <c r="M106" i="31"/>
  <c r="M103" i="31"/>
  <c r="N102" i="31"/>
  <c r="O59" i="31"/>
  <c r="O102" i="31" s="1"/>
  <c r="O106" i="31" s="1"/>
  <c r="N106" i="31" l="1"/>
  <c r="N103" i="31"/>
  <c r="O103" i="31" s="1"/>
  <c r="N24" i="31"/>
  <c r="M28" i="31"/>
  <c r="O24" i="31" l="1"/>
  <c r="N28" i="31"/>
  <c r="O28" i="31" s="1"/>
  <c r="N19" i="3" l="1"/>
  <c r="N48" i="3" l="1"/>
  <c r="N38" i="3"/>
  <c r="N40" i="3" s="1"/>
  <c r="N41" i="3" s="1"/>
  <c r="N44" i="3"/>
  <c r="N45" i="3" s="1"/>
  <c r="N20" i="3"/>
  <c r="N21" i="3"/>
  <c r="M55" i="3"/>
  <c r="M48" i="3"/>
  <c r="M38" i="3"/>
  <c r="M40" i="3" s="1"/>
  <c r="M41" i="3" s="1"/>
  <c r="M44" i="3"/>
  <c r="M45" i="3" s="1"/>
  <c r="M20" i="3"/>
  <c r="M21" i="3"/>
  <c r="N22" i="3" l="1"/>
  <c r="N47" i="3"/>
  <c r="N49" i="3" s="1"/>
  <c r="M22" i="3"/>
  <c r="M47" i="3"/>
  <c r="M49" i="3" s="1"/>
  <c r="N50" i="3" l="1"/>
  <c r="N52" i="3"/>
  <c r="N53" i="3" s="1"/>
  <c r="M50" i="3"/>
  <c r="M52" i="3"/>
  <c r="M53" i="3" s="1"/>
  <c r="T28" i="3" l="1"/>
  <c r="T29" i="3"/>
  <c r="T30" i="3"/>
  <c r="T31" i="3"/>
  <c r="T32" i="3"/>
  <c r="R21" i="3"/>
  <c r="T14" i="3" s="1"/>
  <c r="R23" i="3" l="1"/>
  <c r="L22" i="3" l="1"/>
  <c r="L38" i="3"/>
  <c r="L40" i="3" s="1"/>
  <c r="L41" i="3" s="1"/>
  <c r="L44" i="3"/>
  <c r="L45" i="3" s="1"/>
  <c r="K38" i="3"/>
  <c r="K40" i="3" s="1"/>
  <c r="K41" i="3" s="1"/>
  <c r="K44" i="3"/>
  <c r="K45" i="3" s="1"/>
  <c r="J38" i="3"/>
  <c r="J40" i="3" s="1"/>
  <c r="J41" i="3" s="1"/>
  <c r="J44" i="3"/>
  <c r="J45" i="3" s="1"/>
  <c r="I38" i="3"/>
  <c r="I40" i="3" s="1"/>
  <c r="I41" i="3" s="1"/>
  <c r="I44" i="3"/>
  <c r="I45" i="3" s="1"/>
  <c r="H38" i="3"/>
  <c r="H40" i="3" s="1"/>
  <c r="H41" i="3" s="1"/>
  <c r="H44" i="3"/>
  <c r="H45" i="3" s="1"/>
  <c r="G38" i="3"/>
  <c r="G40" i="3" s="1"/>
  <c r="G41" i="3" s="1"/>
  <c r="G44" i="3"/>
  <c r="G45" i="3" s="1"/>
  <c r="F38" i="3"/>
  <c r="F40" i="3" s="1"/>
  <c r="F41" i="3" s="1"/>
  <c r="E44" i="3" l="1"/>
  <c r="E38" i="3"/>
  <c r="E40" i="3" s="1"/>
  <c r="E41" i="3" s="1"/>
  <c r="E34" i="3"/>
  <c r="E36" i="3" s="1"/>
  <c r="E37" i="3" s="1"/>
  <c r="E45" i="3" l="1"/>
  <c r="D44" i="3" l="1"/>
  <c r="D45" i="3" s="1"/>
  <c r="D38" i="3"/>
  <c r="D40" i="3" s="1"/>
  <c r="D41" i="3" s="1"/>
  <c r="D34" i="3"/>
  <c r="D36" i="3" s="1"/>
  <c r="D37" i="3" s="1"/>
  <c r="B1" i="30" l="1"/>
  <c r="O3" i="30"/>
  <c r="O4" i="30"/>
  <c r="O5" i="30"/>
  <c r="O6" i="30"/>
  <c r="O7" i="30"/>
  <c r="O8" i="30"/>
  <c r="O10" i="30"/>
  <c r="O11" i="30"/>
  <c r="O12" i="30"/>
  <c r="N14" i="30"/>
  <c r="O14" i="30"/>
  <c r="S14" i="30"/>
  <c r="O15" i="30"/>
  <c r="R15" i="30"/>
  <c r="C19" i="30"/>
  <c r="C22" i="30" s="1"/>
  <c r="D19" i="30"/>
  <c r="D22" i="30" s="1"/>
  <c r="E19" i="30"/>
  <c r="F19" i="30"/>
  <c r="F20" i="30" s="1"/>
  <c r="G19" i="30"/>
  <c r="H19" i="30"/>
  <c r="I19" i="30"/>
  <c r="J19" i="30"/>
  <c r="K19" i="30"/>
  <c r="O19" i="30" s="1"/>
  <c r="L19" i="30"/>
  <c r="M19" i="30"/>
  <c r="N19" i="30"/>
  <c r="C20" i="30"/>
  <c r="D20" i="30"/>
  <c r="E20" i="30"/>
  <c r="G20" i="30"/>
  <c r="H20" i="30"/>
  <c r="I20" i="30"/>
  <c r="J20" i="30"/>
  <c r="K20" i="30"/>
  <c r="L20" i="30"/>
  <c r="M20" i="30"/>
  <c r="N20" i="30"/>
  <c r="C21" i="30"/>
  <c r="D21" i="30"/>
  <c r="E21" i="30"/>
  <c r="F21" i="30"/>
  <c r="G21" i="30"/>
  <c r="H21" i="30"/>
  <c r="I21" i="30"/>
  <c r="J21" i="30"/>
  <c r="K21" i="30"/>
  <c r="L21" i="30"/>
  <c r="M21" i="30"/>
  <c r="N21" i="30"/>
  <c r="F22" i="30"/>
  <c r="G22" i="30"/>
  <c r="H22" i="30"/>
  <c r="I22" i="30"/>
  <c r="J22" i="30"/>
  <c r="K22" i="30"/>
  <c r="R23" i="30"/>
  <c r="C24" i="30"/>
  <c r="C28" i="30" s="1"/>
  <c r="D24" i="30"/>
  <c r="E24" i="30" s="1"/>
  <c r="C25" i="30"/>
  <c r="D25" i="30" s="1"/>
  <c r="E25" i="30" s="1"/>
  <c r="F25" i="30" s="1"/>
  <c r="G25" i="30" s="1"/>
  <c r="H25" i="30" s="1"/>
  <c r="I25" i="30" s="1"/>
  <c r="J25" i="30" s="1"/>
  <c r="K25" i="30" s="1"/>
  <c r="L25" i="30" s="1"/>
  <c r="M25" i="30" s="1"/>
  <c r="N25" i="30" s="1"/>
  <c r="O26" i="30"/>
  <c r="C27" i="30"/>
  <c r="D27" i="30" s="1"/>
  <c r="E27" i="30" s="1"/>
  <c r="F27" i="30" s="1"/>
  <c r="G27" i="30" s="1"/>
  <c r="H27" i="30" s="1"/>
  <c r="I27" i="30" s="1"/>
  <c r="J27" i="30" s="1"/>
  <c r="K27" i="30" s="1"/>
  <c r="L27" i="30" s="1"/>
  <c r="M27" i="30" s="1"/>
  <c r="N27" i="30" s="1"/>
  <c r="O27" i="30" s="1"/>
  <c r="T27" i="30"/>
  <c r="U27" i="30"/>
  <c r="C30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C31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C32" i="30"/>
  <c r="D32" i="30"/>
  <c r="E32" i="30" s="1"/>
  <c r="F32" i="30" s="1"/>
  <c r="G32" i="30" s="1"/>
  <c r="T32" i="30"/>
  <c r="U32" i="30"/>
  <c r="C34" i="30"/>
  <c r="D34" i="30"/>
  <c r="O34" i="30" s="1"/>
  <c r="E34" i="30"/>
  <c r="E36" i="30" s="1"/>
  <c r="E37" i="30" s="1"/>
  <c r="F34" i="30"/>
  <c r="G34" i="30"/>
  <c r="H34" i="30"/>
  <c r="I34" i="30"/>
  <c r="I36" i="30" s="1"/>
  <c r="I37" i="30" s="1"/>
  <c r="J34" i="30"/>
  <c r="K34" i="30"/>
  <c r="O35" i="30"/>
  <c r="Q35" i="30"/>
  <c r="Q37" i="30" s="1"/>
  <c r="R37" i="30" s="1"/>
  <c r="R35" i="30"/>
  <c r="C36" i="30"/>
  <c r="C37" i="30" s="1"/>
  <c r="F36" i="30"/>
  <c r="G36" i="30"/>
  <c r="H36" i="30"/>
  <c r="H37" i="30" s="1"/>
  <c r="J36" i="30"/>
  <c r="K36" i="30"/>
  <c r="L36" i="30"/>
  <c r="L37" i="30" s="1"/>
  <c r="M36" i="30"/>
  <c r="M37" i="30" s="1"/>
  <c r="N36" i="30"/>
  <c r="F37" i="30"/>
  <c r="G37" i="30"/>
  <c r="J37" i="30"/>
  <c r="K37" i="30"/>
  <c r="N37" i="30"/>
  <c r="C38" i="30"/>
  <c r="C40" i="30" s="1"/>
  <c r="D38" i="30"/>
  <c r="D40" i="30" s="1"/>
  <c r="D41" i="30" s="1"/>
  <c r="E38" i="30"/>
  <c r="F38" i="30"/>
  <c r="G38" i="30"/>
  <c r="G40" i="30" s="1"/>
  <c r="G41" i="30" s="1"/>
  <c r="H38" i="30"/>
  <c r="H40" i="30" s="1"/>
  <c r="H41" i="30" s="1"/>
  <c r="I38" i="30"/>
  <c r="J38" i="30"/>
  <c r="K38" i="30"/>
  <c r="K47" i="30" s="1"/>
  <c r="K49" i="30" s="1"/>
  <c r="L38" i="30"/>
  <c r="L40" i="30" s="1"/>
  <c r="L41" i="30" s="1"/>
  <c r="M38" i="30"/>
  <c r="N38" i="30"/>
  <c r="O39" i="30"/>
  <c r="E40" i="30"/>
  <c r="F40" i="30"/>
  <c r="F41" i="30" s="1"/>
  <c r="I40" i="30"/>
  <c r="I41" i="30" s="1"/>
  <c r="J40" i="30"/>
  <c r="J41" i="30" s="1"/>
  <c r="M40" i="30"/>
  <c r="N40" i="30"/>
  <c r="N41" i="30" s="1"/>
  <c r="E41" i="30"/>
  <c r="M41" i="30"/>
  <c r="C42" i="30"/>
  <c r="C44" i="30" s="1"/>
  <c r="D42" i="30"/>
  <c r="O42" i="30" s="1"/>
  <c r="E42" i="30"/>
  <c r="F42" i="30"/>
  <c r="G42" i="30"/>
  <c r="G44" i="30" s="1"/>
  <c r="G45" i="30" s="1"/>
  <c r="H42" i="30"/>
  <c r="H44" i="30" s="1"/>
  <c r="H45" i="30" s="1"/>
  <c r="I42" i="30"/>
  <c r="J42" i="30"/>
  <c r="K42" i="30"/>
  <c r="L42" i="30"/>
  <c r="L44" i="30" s="1"/>
  <c r="L45" i="30" s="1"/>
  <c r="M42" i="30"/>
  <c r="M44" i="30" s="1"/>
  <c r="M45" i="30" s="1"/>
  <c r="N42" i="30"/>
  <c r="O43" i="30"/>
  <c r="E44" i="30"/>
  <c r="I44" i="30"/>
  <c r="J44" i="30"/>
  <c r="K44" i="30"/>
  <c r="K45" i="30" s="1"/>
  <c r="N44" i="30"/>
  <c r="E45" i="30"/>
  <c r="F45" i="30"/>
  <c r="I45" i="30"/>
  <c r="J45" i="30"/>
  <c r="N45" i="30"/>
  <c r="E47" i="30"/>
  <c r="E49" i="30" s="1"/>
  <c r="F47" i="30"/>
  <c r="I47" i="30"/>
  <c r="I49" i="30" s="1"/>
  <c r="J47" i="30"/>
  <c r="M47" i="30"/>
  <c r="M49" i="30" s="1"/>
  <c r="N47" i="30"/>
  <c r="C48" i="30"/>
  <c r="D48" i="30"/>
  <c r="E48" i="30"/>
  <c r="F48" i="30"/>
  <c r="G48" i="30"/>
  <c r="H48" i="30"/>
  <c r="O48" i="30" s="1"/>
  <c r="I48" i="30"/>
  <c r="J48" i="30"/>
  <c r="K48" i="30"/>
  <c r="L48" i="30"/>
  <c r="M48" i="30"/>
  <c r="N48" i="30"/>
  <c r="F49" i="30"/>
  <c r="F52" i="30" s="1"/>
  <c r="J49" i="30"/>
  <c r="J52" i="30" s="1"/>
  <c r="N49" i="30"/>
  <c r="N50" i="30" s="1"/>
  <c r="F50" i="30"/>
  <c r="J50" i="30"/>
  <c r="O51" i="30"/>
  <c r="F56" i="30"/>
  <c r="J56" i="30"/>
  <c r="J57" i="30" s="1"/>
  <c r="F57" i="30"/>
  <c r="C58" i="30"/>
  <c r="D58" i="30"/>
  <c r="E58" i="30"/>
  <c r="O58" i="30" s="1"/>
  <c r="F58" i="30"/>
  <c r="G58" i="30"/>
  <c r="H58" i="30"/>
  <c r="I58" i="30"/>
  <c r="J58" i="30"/>
  <c r="K58" i="30"/>
  <c r="L58" i="30"/>
  <c r="M58" i="30"/>
  <c r="N58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C104" i="30"/>
  <c r="C105" i="30" s="1"/>
  <c r="D104" i="30"/>
  <c r="D105" i="30" s="1"/>
  <c r="E104" i="30"/>
  <c r="F104" i="30"/>
  <c r="G104" i="30"/>
  <c r="G108" i="30" s="1"/>
  <c r="H104" i="30"/>
  <c r="H105" i="30" s="1"/>
  <c r="I104" i="30"/>
  <c r="J104" i="30"/>
  <c r="K104" i="30"/>
  <c r="K108" i="30" s="1"/>
  <c r="L104" i="30"/>
  <c r="L105" i="30" s="1"/>
  <c r="M104" i="30"/>
  <c r="M105" i="30" s="1"/>
  <c r="N104" i="30"/>
  <c r="O104" i="30"/>
  <c r="O108" i="30" s="1"/>
  <c r="F105" i="30"/>
  <c r="G105" i="30"/>
  <c r="J105" i="30"/>
  <c r="K105" i="30"/>
  <c r="N105" i="30"/>
  <c r="E108" i="30"/>
  <c r="F108" i="30"/>
  <c r="I108" i="30"/>
  <c r="J108" i="30"/>
  <c r="M108" i="30"/>
  <c r="N108" i="30"/>
  <c r="I127" i="30"/>
  <c r="J127" i="30"/>
  <c r="J133" i="30" s="1"/>
  <c r="J135" i="30" s="1"/>
  <c r="K127" i="30"/>
  <c r="L127" i="30" s="1"/>
  <c r="P127" i="30"/>
  <c r="P129" i="30" s="1"/>
  <c r="G129" i="30"/>
  <c r="J129" i="30"/>
  <c r="G133" i="30"/>
  <c r="H133" i="30"/>
  <c r="H135" i="30" s="1"/>
  <c r="I133" i="30"/>
  <c r="I135" i="30" s="1"/>
  <c r="P133" i="30"/>
  <c r="P135" i="30" s="1"/>
  <c r="G135" i="30"/>
  <c r="I50" i="30" l="1"/>
  <c r="I52" i="30"/>
  <c r="I56" i="30"/>
  <c r="I57" i="30" s="1"/>
  <c r="F24" i="30"/>
  <c r="E28" i="30"/>
  <c r="E52" i="30"/>
  <c r="E56" i="30"/>
  <c r="E57" i="30" s="1"/>
  <c r="E50" i="30"/>
  <c r="M127" i="30"/>
  <c r="L129" i="30"/>
  <c r="L133" i="30" s="1"/>
  <c r="L135" i="30" s="1"/>
  <c r="C45" i="30"/>
  <c r="K50" i="30"/>
  <c r="K52" i="30"/>
  <c r="K56" i="30"/>
  <c r="K57" i="30" s="1"/>
  <c r="O22" i="30"/>
  <c r="M50" i="30"/>
  <c r="M52" i="30"/>
  <c r="M56" i="30"/>
  <c r="M57" i="30" s="1"/>
  <c r="O40" i="30"/>
  <c r="O41" i="30" s="1"/>
  <c r="C41" i="30"/>
  <c r="N56" i="30"/>
  <c r="N57" i="30" s="1"/>
  <c r="H47" i="30"/>
  <c r="H49" i="30" s="1"/>
  <c r="O38" i="30"/>
  <c r="D108" i="30"/>
  <c r="E105" i="30"/>
  <c r="N52" i="30"/>
  <c r="G47" i="30"/>
  <c r="G49" i="30" s="1"/>
  <c r="C108" i="30"/>
  <c r="K40" i="30"/>
  <c r="K41" i="30" s="1"/>
  <c r="D28" i="30"/>
  <c r="K129" i="30"/>
  <c r="K133" i="30" s="1"/>
  <c r="K135" i="30" s="1"/>
  <c r="D36" i="30"/>
  <c r="L108" i="30"/>
  <c r="C47" i="30"/>
  <c r="D44" i="30"/>
  <c r="D45" i="30" s="1"/>
  <c r="D47" i="30"/>
  <c r="D49" i="30" s="1"/>
  <c r="H108" i="30"/>
  <c r="I105" i="30"/>
  <c r="O105" i="30" s="1"/>
  <c r="L47" i="30"/>
  <c r="L49" i="30" s="1"/>
  <c r="O44" i="30" l="1"/>
  <c r="O45" i="30" s="1"/>
  <c r="N127" i="30"/>
  <c r="M129" i="30"/>
  <c r="M133" i="30" s="1"/>
  <c r="M135" i="30" s="1"/>
  <c r="O36" i="30"/>
  <c r="O37" i="30" s="1"/>
  <c r="D37" i="30"/>
  <c r="L50" i="30"/>
  <c r="L52" i="30"/>
  <c r="L56" i="30"/>
  <c r="L57" i="30" s="1"/>
  <c r="G50" i="30"/>
  <c r="G56" i="30"/>
  <c r="G57" i="30" s="1"/>
  <c r="G52" i="30"/>
  <c r="D56" i="30"/>
  <c r="D57" i="30" s="1"/>
  <c r="D52" i="30"/>
  <c r="D50" i="30"/>
  <c r="G24" i="30"/>
  <c r="F28" i="30"/>
  <c r="O47" i="30"/>
  <c r="C49" i="30"/>
  <c r="H50" i="30"/>
  <c r="H52" i="30"/>
  <c r="H56" i="30"/>
  <c r="H57" i="30" s="1"/>
  <c r="O127" i="30" l="1"/>
  <c r="N129" i="30"/>
  <c r="N133" i="30" s="1"/>
  <c r="N135" i="30" s="1"/>
  <c r="H24" i="30"/>
  <c r="G28" i="30"/>
  <c r="O49" i="30"/>
  <c r="O50" i="30" s="1"/>
  <c r="C50" i="30"/>
  <c r="C52" i="30"/>
  <c r="O52" i="30" s="1"/>
  <c r="C56" i="30"/>
  <c r="H28" i="30" l="1"/>
  <c r="I24" i="30"/>
  <c r="C57" i="30"/>
  <c r="O56" i="30"/>
  <c r="O129" i="30"/>
  <c r="O133" i="30" s="1"/>
  <c r="O135" i="30" s="1"/>
  <c r="I28" i="30" l="1"/>
  <c r="J24" i="30"/>
  <c r="J28" i="30" l="1"/>
  <c r="K24" i="30"/>
  <c r="K28" i="30" l="1"/>
  <c r="L24" i="30"/>
  <c r="M24" i="30" l="1"/>
  <c r="L28" i="30"/>
  <c r="N24" i="30" l="1"/>
  <c r="M28" i="30"/>
  <c r="O24" i="30" l="1"/>
  <c r="N28" i="30"/>
  <c r="O28" i="30" s="1"/>
  <c r="O60" i="3" l="1"/>
  <c r="C34" i="3" l="1"/>
  <c r="D59" i="3"/>
  <c r="E59" i="3" s="1"/>
  <c r="F59" i="3" s="1"/>
  <c r="G59" i="3" s="1"/>
  <c r="H59" i="3" s="1"/>
  <c r="I59" i="3" s="1"/>
  <c r="J59" i="3" s="1"/>
  <c r="K59" i="3" s="1"/>
  <c r="L59" i="3" s="1"/>
  <c r="M59" i="3" s="1"/>
  <c r="N59" i="3" s="1"/>
  <c r="U32" i="3" l="1"/>
  <c r="T27" i="3"/>
  <c r="U27" i="3" s="1"/>
  <c r="B1" i="29" l="1"/>
  <c r="F3" i="29"/>
  <c r="O3" i="29"/>
  <c r="O4" i="29"/>
  <c r="O5" i="29"/>
  <c r="O6" i="29"/>
  <c r="O7" i="29"/>
  <c r="O8" i="29"/>
  <c r="E10" i="29"/>
  <c r="O10" i="29" s="1"/>
  <c r="O11" i="29"/>
  <c r="O12" i="29"/>
  <c r="O14" i="29"/>
  <c r="O15" i="29"/>
  <c r="C19" i="29"/>
  <c r="C24" i="29" s="1"/>
  <c r="D19" i="29"/>
  <c r="E19" i="29"/>
  <c r="E22" i="29" s="1"/>
  <c r="F19" i="29"/>
  <c r="H19" i="29"/>
  <c r="H22" i="29" s="1"/>
  <c r="L19" i="29"/>
  <c r="L22" i="29" s="1"/>
  <c r="C20" i="29"/>
  <c r="D20" i="29"/>
  <c r="F20" i="29"/>
  <c r="G20" i="29"/>
  <c r="H20" i="29"/>
  <c r="I20" i="29"/>
  <c r="J20" i="29"/>
  <c r="K20" i="29"/>
  <c r="L20" i="29"/>
  <c r="M20" i="29"/>
  <c r="N20" i="29"/>
  <c r="C21" i="29"/>
  <c r="D21" i="29"/>
  <c r="F21" i="29"/>
  <c r="G21" i="29"/>
  <c r="H21" i="29"/>
  <c r="I21" i="29"/>
  <c r="J21" i="29"/>
  <c r="K21" i="29"/>
  <c r="L21" i="29"/>
  <c r="M21" i="29"/>
  <c r="N21" i="29"/>
  <c r="C22" i="29"/>
  <c r="F22" i="29"/>
  <c r="R23" i="29"/>
  <c r="O25" i="29"/>
  <c r="C26" i="29"/>
  <c r="D26" i="29" s="1"/>
  <c r="E26" i="29" s="1"/>
  <c r="F26" i="29" s="1"/>
  <c r="G26" i="29" s="1"/>
  <c r="H26" i="29" s="1"/>
  <c r="I26" i="29" s="1"/>
  <c r="J26" i="29" s="1"/>
  <c r="K26" i="29" s="1"/>
  <c r="L26" i="29" s="1"/>
  <c r="M26" i="29" s="1"/>
  <c r="N26" i="29" s="1"/>
  <c r="O26" i="29" s="1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C31" i="29"/>
  <c r="H33" i="29"/>
  <c r="I33" i="29"/>
  <c r="J33" i="29"/>
  <c r="K33" i="29"/>
  <c r="K35" i="29" s="1"/>
  <c r="K36" i="29" s="1"/>
  <c r="L33" i="29"/>
  <c r="L35" i="29" s="1"/>
  <c r="N33" i="29"/>
  <c r="H34" i="29"/>
  <c r="I34" i="29"/>
  <c r="J34" i="29"/>
  <c r="Q34" i="29"/>
  <c r="R34" i="29"/>
  <c r="C35" i="29"/>
  <c r="C36" i="29" s="1"/>
  <c r="D35" i="29"/>
  <c r="E35" i="29"/>
  <c r="F35" i="29"/>
  <c r="F36" i="29" s="1"/>
  <c r="G35" i="29"/>
  <c r="G36" i="29" s="1"/>
  <c r="I35" i="29"/>
  <c r="I36" i="29" s="1"/>
  <c r="J35" i="29"/>
  <c r="J36" i="29" s="1"/>
  <c r="M35" i="29"/>
  <c r="N35" i="29"/>
  <c r="N36" i="29" s="1"/>
  <c r="D36" i="29"/>
  <c r="E36" i="29"/>
  <c r="L36" i="29"/>
  <c r="M36" i="29"/>
  <c r="F37" i="29"/>
  <c r="G37" i="29"/>
  <c r="H37" i="29"/>
  <c r="I37" i="29"/>
  <c r="J37" i="29"/>
  <c r="K37" i="29"/>
  <c r="L37" i="29"/>
  <c r="M37" i="29"/>
  <c r="N37" i="29"/>
  <c r="O37" i="29"/>
  <c r="R37" i="29"/>
  <c r="O38" i="29"/>
  <c r="R38" i="29"/>
  <c r="C39" i="29"/>
  <c r="C40" i="29" s="1"/>
  <c r="D39" i="29"/>
  <c r="D40" i="29" s="1"/>
  <c r="E39" i="29"/>
  <c r="F39" i="29"/>
  <c r="G39" i="29"/>
  <c r="G40" i="29" s="1"/>
  <c r="H39" i="29"/>
  <c r="H40" i="29" s="1"/>
  <c r="I39" i="29"/>
  <c r="J39" i="29"/>
  <c r="K39" i="29"/>
  <c r="K40" i="29" s="1"/>
  <c r="L39" i="29"/>
  <c r="L40" i="29" s="1"/>
  <c r="M39" i="29"/>
  <c r="N39" i="29"/>
  <c r="O39" i="29"/>
  <c r="O40" i="29" s="1"/>
  <c r="E40" i="29"/>
  <c r="F40" i="29"/>
  <c r="I40" i="29"/>
  <c r="J40" i="29"/>
  <c r="M40" i="29"/>
  <c r="N40" i="29"/>
  <c r="E41" i="29"/>
  <c r="F41" i="29"/>
  <c r="F43" i="29" s="1"/>
  <c r="F44" i="29" s="1"/>
  <c r="G41" i="29"/>
  <c r="G43" i="29" s="1"/>
  <c r="G44" i="29" s="1"/>
  <c r="H41" i="29"/>
  <c r="I41" i="29"/>
  <c r="J41" i="29"/>
  <c r="J43" i="29" s="1"/>
  <c r="J44" i="29" s="1"/>
  <c r="K41" i="29"/>
  <c r="K43" i="29" s="1"/>
  <c r="L41" i="29"/>
  <c r="M41" i="29"/>
  <c r="N41" i="29"/>
  <c r="N43" i="29" s="1"/>
  <c r="N44" i="29" s="1"/>
  <c r="O41" i="29"/>
  <c r="O42" i="29"/>
  <c r="C43" i="29"/>
  <c r="D43" i="29"/>
  <c r="E43" i="29"/>
  <c r="E44" i="29" s="1"/>
  <c r="H43" i="29"/>
  <c r="H44" i="29" s="1"/>
  <c r="I43" i="29"/>
  <c r="I44" i="29" s="1"/>
  <c r="L43" i="29"/>
  <c r="L44" i="29" s="1"/>
  <c r="M43" i="29"/>
  <c r="M44" i="29" s="1"/>
  <c r="C44" i="29"/>
  <c r="K44" i="29"/>
  <c r="C46" i="29"/>
  <c r="C48" i="29" s="1"/>
  <c r="D46" i="29"/>
  <c r="E46" i="29"/>
  <c r="F46" i="29"/>
  <c r="G46" i="29"/>
  <c r="H46" i="29"/>
  <c r="I46" i="29"/>
  <c r="I19" i="29" s="1"/>
  <c r="J46" i="29"/>
  <c r="K46" i="29"/>
  <c r="L46" i="29"/>
  <c r="M46" i="29"/>
  <c r="M19" i="29" s="1"/>
  <c r="N46" i="29"/>
  <c r="O46" i="29"/>
  <c r="C47" i="29"/>
  <c r="D47" i="29"/>
  <c r="E47" i="29"/>
  <c r="F47" i="29"/>
  <c r="G47" i="29"/>
  <c r="H47" i="29"/>
  <c r="I47" i="29"/>
  <c r="J47" i="29"/>
  <c r="K47" i="29"/>
  <c r="L47" i="29"/>
  <c r="M47" i="29"/>
  <c r="M48" i="29" s="1"/>
  <c r="N47" i="29"/>
  <c r="D48" i="29"/>
  <c r="D51" i="29" s="1"/>
  <c r="H48" i="29"/>
  <c r="H51" i="29" s="1"/>
  <c r="I48" i="29"/>
  <c r="I49" i="29" s="1"/>
  <c r="L48" i="29"/>
  <c r="L51" i="29" s="1"/>
  <c r="O50" i="29"/>
  <c r="I51" i="29"/>
  <c r="D55" i="29"/>
  <c r="D56" i="29" s="1"/>
  <c r="H55" i="29"/>
  <c r="H56" i="29" s="1"/>
  <c r="I55" i="29"/>
  <c r="I56" i="29" s="1"/>
  <c r="L55" i="29"/>
  <c r="L56" i="29" s="1"/>
  <c r="C57" i="29"/>
  <c r="C58" i="29" s="1"/>
  <c r="E57" i="29"/>
  <c r="F57" i="29"/>
  <c r="H57" i="29"/>
  <c r="L57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I97" i="29"/>
  <c r="J97" i="29"/>
  <c r="J107" i="29" s="1"/>
  <c r="K97" i="29"/>
  <c r="L97" i="29"/>
  <c r="M97" i="29"/>
  <c r="M107" i="29" s="1"/>
  <c r="N97" i="29"/>
  <c r="N107" i="29" s="1"/>
  <c r="N111" i="29" s="1"/>
  <c r="O98" i="29"/>
  <c r="O99" i="29"/>
  <c r="O100" i="29"/>
  <c r="O101" i="29"/>
  <c r="O102" i="29"/>
  <c r="O103" i="29"/>
  <c r="O104" i="29"/>
  <c r="O105" i="29"/>
  <c r="C107" i="29"/>
  <c r="C111" i="29" s="1"/>
  <c r="D107" i="29"/>
  <c r="E107" i="29"/>
  <c r="E108" i="29" s="1"/>
  <c r="F107" i="29"/>
  <c r="G107" i="29"/>
  <c r="G111" i="29" s="1"/>
  <c r="H107" i="29"/>
  <c r="K107" i="29"/>
  <c r="K111" i="29" s="1"/>
  <c r="L107" i="29"/>
  <c r="C108" i="29"/>
  <c r="F108" i="29"/>
  <c r="G108" i="29"/>
  <c r="E111" i="29"/>
  <c r="F111" i="29"/>
  <c r="J111" i="29"/>
  <c r="H113" i="29"/>
  <c r="I130" i="29"/>
  <c r="I136" i="29" s="1"/>
  <c r="P130" i="29"/>
  <c r="G132" i="29"/>
  <c r="P132" i="29"/>
  <c r="G136" i="29"/>
  <c r="G138" i="29" s="1"/>
  <c r="H136" i="29"/>
  <c r="H138" i="29" s="1"/>
  <c r="P136" i="29"/>
  <c r="P138" i="29" s="1"/>
  <c r="I138" i="29"/>
  <c r="M49" i="29" l="1"/>
  <c r="M55" i="29"/>
  <c r="M56" i="29" s="1"/>
  <c r="M51" i="29"/>
  <c r="O43" i="29"/>
  <c r="O44" i="29" s="1"/>
  <c r="C27" i="29"/>
  <c r="D24" i="29"/>
  <c r="L108" i="29"/>
  <c r="L111" i="29"/>
  <c r="O35" i="29"/>
  <c r="O36" i="29" s="1"/>
  <c r="N108" i="29"/>
  <c r="M108" i="29"/>
  <c r="I107" i="29"/>
  <c r="O97" i="29"/>
  <c r="O107" i="29" s="1"/>
  <c r="O111" i="29" s="1"/>
  <c r="L49" i="29"/>
  <c r="D49" i="29"/>
  <c r="K48" i="29"/>
  <c r="K19" i="29"/>
  <c r="G19" i="29"/>
  <c r="G48" i="29"/>
  <c r="C51" i="29"/>
  <c r="O48" i="29"/>
  <c r="O49" i="29" s="1"/>
  <c r="C55" i="29"/>
  <c r="O33" i="29"/>
  <c r="H35" i="29"/>
  <c r="H36" i="29" s="1"/>
  <c r="D22" i="29"/>
  <c r="K108" i="29"/>
  <c r="H108" i="29"/>
  <c r="H111" i="29"/>
  <c r="D108" i="29"/>
  <c r="D111" i="29"/>
  <c r="C49" i="29"/>
  <c r="O47" i="29"/>
  <c r="N48" i="29"/>
  <c r="N19" i="29"/>
  <c r="J48" i="29"/>
  <c r="J19" i="29"/>
  <c r="F48" i="29"/>
  <c r="J130" i="29"/>
  <c r="M111" i="29"/>
  <c r="D57" i="29"/>
  <c r="D58" i="29" s="1"/>
  <c r="E58" i="29" s="1"/>
  <c r="F58" i="29" s="1"/>
  <c r="H49" i="29"/>
  <c r="E48" i="29"/>
  <c r="M57" i="29"/>
  <c r="M22" i="29"/>
  <c r="I57" i="29"/>
  <c r="I22" i="29"/>
  <c r="D44" i="29"/>
  <c r="O34" i="29"/>
  <c r="E21" i="29"/>
  <c r="E20" i="29"/>
  <c r="J57" i="29" l="1"/>
  <c r="J22" i="29"/>
  <c r="J55" i="29"/>
  <c r="J56" i="29" s="1"/>
  <c r="J49" i="29"/>
  <c r="J51" i="29"/>
  <c r="I108" i="29"/>
  <c r="I111" i="29"/>
  <c r="N57" i="29"/>
  <c r="N22" i="29"/>
  <c r="G51" i="29"/>
  <c r="G55" i="29"/>
  <c r="G56" i="29" s="1"/>
  <c r="G49" i="29"/>
  <c r="J108" i="29"/>
  <c r="O22" i="29"/>
  <c r="K22" i="29"/>
  <c r="K57" i="29"/>
  <c r="K51" i="29"/>
  <c r="K55" i="29"/>
  <c r="K56" i="29" s="1"/>
  <c r="K49" i="29"/>
  <c r="E49" i="29"/>
  <c r="E55" i="29"/>
  <c r="E56" i="29" s="1"/>
  <c r="E51" i="29"/>
  <c r="K130" i="29"/>
  <c r="J132" i="29"/>
  <c r="J136" i="29" s="1"/>
  <c r="J138" i="29" s="1"/>
  <c r="F55" i="29"/>
  <c r="F56" i="29" s="1"/>
  <c r="F49" i="29"/>
  <c r="F51" i="29"/>
  <c r="O51" i="29" s="1"/>
  <c r="N55" i="29"/>
  <c r="N56" i="29" s="1"/>
  <c r="N49" i="29"/>
  <c r="N51" i="29"/>
  <c r="O108" i="29"/>
  <c r="O19" i="29"/>
  <c r="C56" i="29"/>
  <c r="G22" i="29"/>
  <c r="G57" i="29"/>
  <c r="G58" i="29" s="1"/>
  <c r="H58" i="29" s="1"/>
  <c r="I58" i="29" s="1"/>
  <c r="J58" i="29" s="1"/>
  <c r="K58" i="29" s="1"/>
  <c r="L58" i="29" s="1"/>
  <c r="M58" i="29" s="1"/>
  <c r="N58" i="29" s="1"/>
  <c r="O58" i="29" s="1"/>
  <c r="D31" i="29"/>
  <c r="D27" i="29"/>
  <c r="E24" i="29"/>
  <c r="F24" i="29" l="1"/>
  <c r="E31" i="29"/>
  <c r="E27" i="29"/>
  <c r="O57" i="29"/>
  <c r="K132" i="29"/>
  <c r="L130" i="29"/>
  <c r="K136" i="29"/>
  <c r="K138" i="29" s="1"/>
  <c r="O55" i="29"/>
  <c r="L132" i="29" l="1"/>
  <c r="L136" i="29"/>
  <c r="L138" i="29" s="1"/>
  <c r="M130" i="29"/>
  <c r="G24" i="29"/>
  <c r="F31" i="29"/>
  <c r="F27" i="29"/>
  <c r="G27" i="29" l="1"/>
  <c r="H24" i="29"/>
  <c r="G31" i="29"/>
  <c r="M136" i="29"/>
  <c r="M138" i="29" s="1"/>
  <c r="N130" i="29"/>
  <c r="M132" i="29"/>
  <c r="H31" i="29" l="1"/>
  <c r="H27" i="29"/>
  <c r="I24" i="29"/>
  <c r="O130" i="29"/>
  <c r="N132" i="29"/>
  <c r="N136" i="29" s="1"/>
  <c r="N138" i="29" s="1"/>
  <c r="O132" i="29" l="1"/>
  <c r="O136" i="29"/>
  <c r="O138" i="29" s="1"/>
  <c r="J24" i="29"/>
  <c r="I27" i="29"/>
  <c r="I31" i="29"/>
  <c r="J31" i="29" l="1"/>
  <c r="K24" i="29"/>
  <c r="J27" i="29"/>
  <c r="K27" i="29" l="1"/>
  <c r="L24" i="29"/>
  <c r="L27" i="29" l="1"/>
  <c r="M24" i="29"/>
  <c r="N24" i="29" l="1"/>
  <c r="M27" i="29"/>
  <c r="O24" i="29" l="1"/>
  <c r="N27" i="29"/>
  <c r="O27" i="29" s="1"/>
  <c r="C38" i="3" l="1"/>
  <c r="C32" i="3" l="1"/>
  <c r="C25" i="3"/>
  <c r="O81" i="3"/>
  <c r="D32" i="3" l="1"/>
  <c r="D25" i="3" l="1"/>
  <c r="E47" i="3"/>
  <c r="E22" i="3"/>
  <c r="R34" i="3"/>
  <c r="Q34" i="3"/>
  <c r="O4" i="3"/>
  <c r="O5" i="3"/>
  <c r="O6" i="3"/>
  <c r="O7" i="3"/>
  <c r="O8" i="3"/>
  <c r="C36" i="3"/>
  <c r="C37" i="3" s="1"/>
  <c r="G83" i="3"/>
  <c r="G87" i="3" s="1"/>
  <c r="O34" i="3"/>
  <c r="O35" i="3"/>
  <c r="H83" i="3"/>
  <c r="H87" i="3" s="1"/>
  <c r="C83" i="3"/>
  <c r="C84" i="3" s="1"/>
  <c r="H48" i="3"/>
  <c r="I48" i="3"/>
  <c r="J48" i="3"/>
  <c r="K48" i="3"/>
  <c r="L48" i="3"/>
  <c r="G48" i="3"/>
  <c r="D83" i="3"/>
  <c r="E83" i="3"/>
  <c r="E90" i="3" s="1"/>
  <c r="F83" i="3"/>
  <c r="F87" i="3" s="1"/>
  <c r="I83" i="3"/>
  <c r="J83" i="3"/>
  <c r="K83" i="3"/>
  <c r="K87" i="3" s="1"/>
  <c r="L83" i="3"/>
  <c r="M83" i="3"/>
  <c r="M87" i="3" s="1"/>
  <c r="N83" i="3"/>
  <c r="N87" i="3" s="1"/>
  <c r="I106" i="3"/>
  <c r="J106" i="3" s="1"/>
  <c r="P106" i="3"/>
  <c r="P108" i="3" s="1"/>
  <c r="G108" i="3"/>
  <c r="G112" i="3" s="1"/>
  <c r="G114" i="3" s="1"/>
  <c r="O15" i="3"/>
  <c r="H112" i="3"/>
  <c r="H114" i="3" s="1"/>
  <c r="O51" i="3"/>
  <c r="O43" i="3"/>
  <c r="O39" i="3"/>
  <c r="C47" i="3"/>
  <c r="C48" i="3"/>
  <c r="C44" i="3"/>
  <c r="C45" i="3" s="1"/>
  <c r="D47" i="3"/>
  <c r="D48" i="3"/>
  <c r="E48" i="3"/>
  <c r="F48" i="3"/>
  <c r="C40" i="3"/>
  <c r="C41" i="3" s="1"/>
  <c r="O12" i="3"/>
  <c r="O11" i="3"/>
  <c r="D55" i="3"/>
  <c r="C22" i="3"/>
  <c r="C20" i="3"/>
  <c r="D20" i="3"/>
  <c r="E20" i="3"/>
  <c r="C21" i="3"/>
  <c r="D21" i="3"/>
  <c r="E21" i="3"/>
  <c r="O59" i="3"/>
  <c r="C27" i="3"/>
  <c r="D27" i="3" s="1"/>
  <c r="E27" i="3" s="1"/>
  <c r="F27" i="3" s="1"/>
  <c r="G27" i="3" s="1"/>
  <c r="H27" i="3" s="1"/>
  <c r="I27" i="3" s="1"/>
  <c r="J27" i="3" s="1"/>
  <c r="K27" i="3" s="1"/>
  <c r="L27" i="3" s="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A24" i="21"/>
  <c r="Z24" i="21"/>
  <c r="Y24" i="21"/>
  <c r="X24" i="21"/>
  <c r="W24" i="21"/>
  <c r="W27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C27" i="21"/>
  <c r="B24" i="21"/>
  <c r="C23" i="21"/>
  <c r="B23" i="21"/>
  <c r="F22" i="21"/>
  <c r="C22" i="21"/>
  <c r="B22" i="21"/>
  <c r="C21" i="21"/>
  <c r="B21" i="21"/>
  <c r="C20" i="21"/>
  <c r="B20" i="21"/>
  <c r="AA19" i="21"/>
  <c r="Z19" i="21"/>
  <c r="Z27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C18" i="21"/>
  <c r="B18" i="21"/>
  <c r="C17" i="21"/>
  <c r="B17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C10" i="21"/>
  <c r="B10" i="21"/>
  <c r="B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T8" i="21"/>
  <c r="D8" i="21"/>
  <c r="C8" i="21"/>
  <c r="B8" i="21"/>
  <c r="T7" i="21"/>
  <c r="L7" i="21"/>
  <c r="F7" i="21"/>
  <c r="C7" i="21"/>
  <c r="B7" i="21"/>
  <c r="C6" i="21"/>
  <c r="B6" i="21"/>
  <c r="C5" i="21"/>
  <c r="B5" i="21"/>
  <c r="AA4" i="21"/>
  <c r="AA12" i="21"/>
  <c r="Z4" i="21"/>
  <c r="Y4" i="21"/>
  <c r="X4" i="21"/>
  <c r="W4" i="21"/>
  <c r="W12" i="21"/>
  <c r="V4" i="21"/>
  <c r="U4" i="21"/>
  <c r="T4" i="21"/>
  <c r="S4" i="21"/>
  <c r="S12" i="21"/>
  <c r="R4" i="21"/>
  <c r="Q4" i="21"/>
  <c r="P4" i="21"/>
  <c r="O4" i="21"/>
  <c r="N4" i="21"/>
  <c r="M4" i="21"/>
  <c r="L4" i="21"/>
  <c r="K4" i="21"/>
  <c r="K12" i="21"/>
  <c r="J4" i="21"/>
  <c r="I4" i="21"/>
  <c r="H4" i="21"/>
  <c r="G4" i="21"/>
  <c r="F4" i="21"/>
  <c r="E4" i="21"/>
  <c r="D4" i="21"/>
  <c r="C4" i="21"/>
  <c r="B4" i="21"/>
  <c r="AA3" i="21"/>
  <c r="Z3" i="21"/>
  <c r="Y3" i="21"/>
  <c r="Y12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C2" i="21"/>
  <c r="C12" i="21"/>
  <c r="B2" i="21"/>
  <c r="P7" i="21"/>
  <c r="P8" i="21"/>
  <c r="B27" i="21"/>
  <c r="H7" i="21"/>
  <c r="X7" i="21"/>
  <c r="H8" i="21"/>
  <c r="H12" i="21"/>
  <c r="X8" i="21"/>
  <c r="L8" i="21"/>
  <c r="D7" i="21"/>
  <c r="Y8" i="21"/>
  <c r="U8" i="21"/>
  <c r="Q8" i="21"/>
  <c r="M8" i="21"/>
  <c r="I8" i="21"/>
  <c r="E8" i="21"/>
  <c r="AA8" i="21"/>
  <c r="W8" i="21"/>
  <c r="S8" i="21"/>
  <c r="O8" i="21"/>
  <c r="K8" i="21"/>
  <c r="G8" i="21"/>
  <c r="AA7" i="21"/>
  <c r="W7" i="21"/>
  <c r="S7" i="21"/>
  <c r="O7" i="21"/>
  <c r="K7" i="21"/>
  <c r="G7" i="21"/>
  <c r="Y7" i="21"/>
  <c r="U7" i="21"/>
  <c r="Q7" i="21"/>
  <c r="M7" i="21"/>
  <c r="I7" i="21"/>
  <c r="E7" i="21"/>
  <c r="N7" i="21"/>
  <c r="V7" i="21"/>
  <c r="J8" i="21"/>
  <c r="R8" i="21"/>
  <c r="Z8" i="21"/>
  <c r="AA18" i="21"/>
  <c r="W18" i="21"/>
  <c r="S18" i="21"/>
  <c r="O18" i="21"/>
  <c r="K18" i="21"/>
  <c r="G18" i="21"/>
  <c r="Z18" i="21"/>
  <c r="V18" i="21"/>
  <c r="R18" i="21"/>
  <c r="N18" i="21"/>
  <c r="J18" i="21"/>
  <c r="F18" i="21"/>
  <c r="Y18" i="21"/>
  <c r="U18" i="21"/>
  <c r="Q18" i="21"/>
  <c r="M18" i="21"/>
  <c r="I18" i="21"/>
  <c r="E18" i="21"/>
  <c r="X18" i="21"/>
  <c r="T18" i="21"/>
  <c r="P18" i="21"/>
  <c r="L18" i="21"/>
  <c r="H18" i="21"/>
  <c r="D18" i="21"/>
  <c r="J7" i="21"/>
  <c r="R7" i="21"/>
  <c r="Z7" i="21"/>
  <c r="F8" i="21"/>
  <c r="N8" i="21"/>
  <c r="V8" i="21"/>
  <c r="O26" i="3"/>
  <c r="D27" i="22"/>
  <c r="E27" i="22"/>
  <c r="F27" i="22"/>
  <c r="G27" i="22"/>
  <c r="H27" i="22"/>
  <c r="I27" i="22"/>
  <c r="J27" i="22"/>
  <c r="K27" i="22"/>
  <c r="K31" i="22"/>
  <c r="C19" i="22"/>
  <c r="C18" i="22"/>
  <c r="Q10" i="21"/>
  <c r="AA10" i="21"/>
  <c r="K10" i="21"/>
  <c r="R10" i="21"/>
  <c r="F10" i="21"/>
  <c r="L10" i="21"/>
  <c r="H10" i="21"/>
  <c r="D10" i="21"/>
  <c r="M10" i="21"/>
  <c r="W10" i="21"/>
  <c r="G10" i="21"/>
  <c r="N10" i="21"/>
  <c r="X10" i="21"/>
  <c r="Y10" i="21"/>
  <c r="I10" i="21"/>
  <c r="S10" i="21"/>
  <c r="Z10" i="21"/>
  <c r="J10" i="21"/>
  <c r="P10" i="21"/>
  <c r="U10" i="21"/>
  <c r="E10" i="21"/>
  <c r="O10" i="21"/>
  <c r="V10" i="21"/>
  <c r="T10" i="21"/>
  <c r="N17" i="21"/>
  <c r="U5" i="21"/>
  <c r="X5" i="21"/>
  <c r="N30" i="3"/>
  <c r="S23" i="21"/>
  <c r="L20" i="21"/>
  <c r="G2" i="11"/>
  <c r="AA22" i="21"/>
  <c r="K22" i="21"/>
  <c r="R22" i="21"/>
  <c r="U22" i="21"/>
  <c r="E22" i="21"/>
  <c r="L22" i="21"/>
  <c r="W22" i="21"/>
  <c r="G22" i="21"/>
  <c r="N22" i="21"/>
  <c r="Q22" i="21"/>
  <c r="X22" i="21"/>
  <c r="H22" i="21"/>
  <c r="S22" i="21"/>
  <c r="Z22" i="21"/>
  <c r="J22" i="21"/>
  <c r="M22" i="21"/>
  <c r="T22" i="21"/>
  <c r="D22" i="21"/>
  <c r="O22" i="21"/>
  <c r="V22" i="21"/>
  <c r="Y22" i="21"/>
  <c r="Y27" i="21"/>
  <c r="I22" i="21"/>
  <c r="P22" i="21"/>
  <c r="Z21" i="21"/>
  <c r="S21" i="21"/>
  <c r="H21" i="21"/>
  <c r="X21" i="21"/>
  <c r="Q21" i="21"/>
  <c r="J21" i="21"/>
  <c r="G21" i="21"/>
  <c r="W21" i="21"/>
  <c r="L21" i="21"/>
  <c r="E21" i="21"/>
  <c r="U21" i="21"/>
  <c r="N21" i="21"/>
  <c r="K21" i="21"/>
  <c r="AA21" i="21"/>
  <c r="P21" i="21"/>
  <c r="I21" i="21"/>
  <c r="Y21" i="21"/>
  <c r="R21" i="21"/>
  <c r="O21" i="21"/>
  <c r="D21" i="21"/>
  <c r="T21" i="21"/>
  <c r="M21" i="21"/>
  <c r="F21" i="21"/>
  <c r="V21" i="21"/>
  <c r="Z17" i="21"/>
  <c r="J17" i="21"/>
  <c r="Y17" i="21"/>
  <c r="I17" i="21"/>
  <c r="X17" i="21"/>
  <c r="H17" i="21"/>
  <c r="AA17" i="21"/>
  <c r="K17" i="21"/>
  <c r="K30" i="3"/>
  <c r="O23" i="21"/>
  <c r="I23" i="21"/>
  <c r="N23" i="21"/>
  <c r="Q20" i="21"/>
  <c r="W5" i="21"/>
  <c r="I5" i="21"/>
  <c r="Y2" i="21"/>
  <c r="U2" i="21"/>
  <c r="Q2" i="21"/>
  <c r="M2" i="21"/>
  <c r="I2" i="21"/>
  <c r="E2" i="21"/>
  <c r="AA2" i="21"/>
  <c r="W2" i="21"/>
  <c r="S2" i="21"/>
  <c r="O2" i="21"/>
  <c r="K2" i="21"/>
  <c r="G2" i="21"/>
  <c r="V2" i="21"/>
  <c r="N2" i="21"/>
  <c r="N12" i="21"/>
  <c r="F2" i="21"/>
  <c r="T2" i="21"/>
  <c r="L2" i="21"/>
  <c r="D2" i="21"/>
  <c r="Z2" i="21"/>
  <c r="R2" i="21"/>
  <c r="J2" i="21"/>
  <c r="X2" i="21"/>
  <c r="P2" i="21"/>
  <c r="H2" i="21"/>
  <c r="Y6" i="21"/>
  <c r="U6" i="21"/>
  <c r="U12" i="21"/>
  <c r="Q6" i="21"/>
  <c r="M6" i="21"/>
  <c r="I6" i="21"/>
  <c r="E6" i="21"/>
  <c r="AA6" i="21"/>
  <c r="W6" i="21"/>
  <c r="S6" i="21"/>
  <c r="O6" i="21"/>
  <c r="K6" i="21"/>
  <c r="G6" i="21"/>
  <c r="V6" i="21"/>
  <c r="N6" i="21"/>
  <c r="F6" i="21"/>
  <c r="T6" i="21"/>
  <c r="L6" i="21"/>
  <c r="D6" i="21"/>
  <c r="Z6" i="21"/>
  <c r="R6" i="21"/>
  <c r="J6" i="21"/>
  <c r="X6" i="21"/>
  <c r="P6" i="21"/>
  <c r="H6" i="21"/>
  <c r="C30" i="3"/>
  <c r="O30" i="3" s="1"/>
  <c r="L19" i="22"/>
  <c r="H19" i="22"/>
  <c r="L18" i="22"/>
  <c r="H18" i="22"/>
  <c r="D19" i="22"/>
  <c r="K19" i="22"/>
  <c r="O18" i="22"/>
  <c r="K18" i="22"/>
  <c r="N19" i="22"/>
  <c r="J19" i="22"/>
  <c r="F19" i="22"/>
  <c r="J18" i="22"/>
  <c r="F18" i="22"/>
  <c r="M19" i="22"/>
  <c r="E19" i="22"/>
  <c r="M18" i="22"/>
  <c r="I18" i="22"/>
  <c r="G19" i="22"/>
  <c r="I31" i="3"/>
  <c r="H31" i="3"/>
  <c r="E31" i="3"/>
  <c r="N31" i="3"/>
  <c r="F31" i="3"/>
  <c r="L31" i="3"/>
  <c r="D31" i="3"/>
  <c r="K31" i="3"/>
  <c r="J31" i="3"/>
  <c r="O10" i="3"/>
  <c r="D5" i="21"/>
  <c r="S5" i="21"/>
  <c r="T20" i="21"/>
  <c r="Z20" i="21"/>
  <c r="G23" i="21"/>
  <c r="P23" i="21"/>
  <c r="T23" i="21"/>
  <c r="X23" i="21"/>
  <c r="O17" i="21"/>
  <c r="D17" i="21"/>
  <c r="T17" i="21"/>
  <c r="M17" i="21"/>
  <c r="F17" i="21"/>
  <c r="V17" i="21"/>
  <c r="Q23" i="21"/>
  <c r="U20" i="21"/>
  <c r="C31" i="3"/>
  <c r="O31" i="3" s="1"/>
  <c r="M31" i="3"/>
  <c r="G31" i="3"/>
  <c r="E18" i="22"/>
  <c r="I19" i="22"/>
  <c r="N18" i="22"/>
  <c r="G18" i="22"/>
  <c r="O19" i="22"/>
  <c r="D18" i="22"/>
  <c r="R5" i="21"/>
  <c r="R12" i="21"/>
  <c r="L5" i="21"/>
  <c r="V20" i="21"/>
  <c r="U23" i="21"/>
  <c r="F23" i="21"/>
  <c r="G17" i="21"/>
  <c r="W17" i="21"/>
  <c r="L17" i="21"/>
  <c r="E17" i="21"/>
  <c r="U17" i="21"/>
  <c r="N20" i="21"/>
  <c r="M5" i="21"/>
  <c r="Q5" i="21"/>
  <c r="F5" i="21"/>
  <c r="F12" i="21"/>
  <c r="AA20" i="21"/>
  <c r="AA27" i="21"/>
  <c r="O20" i="21"/>
  <c r="W23" i="21"/>
  <c r="AA23" i="21"/>
  <c r="V23" i="21"/>
  <c r="J23" i="21"/>
  <c r="L30" i="3"/>
  <c r="F30" i="3"/>
  <c r="W20" i="21"/>
  <c r="H30" i="3"/>
  <c r="P5" i="21"/>
  <c r="J5" i="21"/>
  <c r="J12" i="21"/>
  <c r="N5" i="21"/>
  <c r="O5" i="21"/>
  <c r="O12" i="21"/>
  <c r="Z5" i="21"/>
  <c r="H5" i="21"/>
  <c r="T5" i="21"/>
  <c r="T12" i="21"/>
  <c r="I20" i="21"/>
  <c r="R20" i="21"/>
  <c r="D20" i="21"/>
  <c r="F20" i="21"/>
  <c r="F27" i="21"/>
  <c r="H20" i="21"/>
  <c r="J20" i="21"/>
  <c r="J27" i="21"/>
  <c r="E20" i="21"/>
  <c r="L23" i="21"/>
  <c r="K23" i="21"/>
  <c r="Y23" i="21"/>
  <c r="D23" i="21"/>
  <c r="Z23" i="21"/>
  <c r="D30" i="3"/>
  <c r="M30" i="3"/>
  <c r="K5" i="21"/>
  <c r="E5" i="21"/>
  <c r="V5" i="21"/>
  <c r="V12" i="21"/>
  <c r="Y5" i="21"/>
  <c r="G5" i="21"/>
  <c r="G12" i="21"/>
  <c r="Y20" i="21"/>
  <c r="K20" i="21"/>
  <c r="K27" i="21"/>
  <c r="X20" i="21"/>
  <c r="X27" i="21"/>
  <c r="S20" i="21"/>
  <c r="G30" i="3"/>
  <c r="E30" i="3"/>
  <c r="J30" i="3"/>
  <c r="U27" i="21"/>
  <c r="G20" i="21"/>
  <c r="P20" i="21"/>
  <c r="R23" i="21"/>
  <c r="S17" i="21"/>
  <c r="P17" i="21"/>
  <c r="Q17" i="21"/>
  <c r="R17" i="21"/>
  <c r="I30" i="3"/>
  <c r="AA5" i="21"/>
  <c r="M20" i="21"/>
  <c r="E23" i="21"/>
  <c r="H23" i="21"/>
  <c r="X12" i="21"/>
  <c r="M23" i="21"/>
  <c r="H26" i="7"/>
  <c r="I16" i="4"/>
  <c r="I35" i="4"/>
  <c r="I40" i="4"/>
  <c r="G28" i="9"/>
  <c r="H22" i="7"/>
  <c r="F10" i="9"/>
  <c r="F18" i="7"/>
  <c r="I26" i="4"/>
  <c r="H24" i="9"/>
  <c r="H9" i="9"/>
  <c r="F23" i="7"/>
  <c r="H8" i="9"/>
  <c r="F24" i="11"/>
  <c r="F21" i="7"/>
  <c r="G24" i="7"/>
  <c r="H13" i="9"/>
  <c r="I32" i="4"/>
  <c r="I24" i="4"/>
  <c r="H15" i="4"/>
  <c r="F27" i="7"/>
  <c r="F23" i="9"/>
  <c r="H22" i="4"/>
  <c r="G36" i="4"/>
  <c r="G25" i="11"/>
  <c r="G12" i="4"/>
  <c r="H14" i="9"/>
  <c r="I33" i="4"/>
  <c r="H17" i="7"/>
  <c r="I20" i="4"/>
  <c r="G43" i="4"/>
  <c r="G18" i="11"/>
  <c r="F14" i="7"/>
  <c r="H21" i="11"/>
  <c r="G8" i="7"/>
  <c r="F15" i="9"/>
  <c r="F6" i="11"/>
  <c r="I30" i="4"/>
  <c r="H7" i="11"/>
  <c r="H44" i="4"/>
  <c r="I27" i="4"/>
  <c r="H28" i="4"/>
  <c r="H25" i="7"/>
  <c r="F16" i="11"/>
  <c r="G20" i="7"/>
  <c r="H14" i="11"/>
  <c r="H12" i="7"/>
  <c r="I21" i="4"/>
  <c r="H7" i="7"/>
  <c r="H12" i="9"/>
  <c r="I19" i="4"/>
  <c r="G19" i="9"/>
  <c r="H10" i="11"/>
  <c r="F29" i="9"/>
  <c r="G16" i="9"/>
  <c r="G9" i="7"/>
  <c r="H15" i="7"/>
  <c r="H37" i="4"/>
  <c r="H38" i="4"/>
  <c r="H8" i="11"/>
  <c r="G39" i="4"/>
  <c r="H10" i="7"/>
  <c r="F26" i="11"/>
  <c r="H7" i="9"/>
  <c r="H23" i="4"/>
  <c r="F11" i="7"/>
  <c r="H9" i="11"/>
  <c r="G17" i="4"/>
  <c r="H25" i="4"/>
  <c r="I29" i="4"/>
  <c r="G45" i="4"/>
  <c r="F6" i="9"/>
  <c r="G18" i="4"/>
  <c r="G14" i="4"/>
  <c r="I34" i="4"/>
  <c r="F20" i="11"/>
  <c r="H19" i="7"/>
  <c r="H12" i="11"/>
  <c r="H11" i="9"/>
  <c r="G21" i="9"/>
  <c r="G41" i="4"/>
  <c r="G13" i="4"/>
  <c r="H16" i="7"/>
  <c r="F25" i="9"/>
  <c r="G22" i="11"/>
  <c r="F6" i="7"/>
  <c r="F13" i="7"/>
  <c r="H31" i="4"/>
  <c r="F11" i="11"/>
  <c r="H13" i="11"/>
  <c r="Q27" i="21"/>
  <c r="E12" i="21"/>
  <c r="P12" i="21"/>
  <c r="N27" i="21"/>
  <c r="I12" i="21"/>
  <c r="R27" i="21"/>
  <c r="V27" i="21"/>
  <c r="H27" i="21"/>
  <c r="P27" i="21"/>
  <c r="G27" i="21"/>
  <c r="L27" i="21"/>
  <c r="I27" i="21"/>
  <c r="Q12" i="21"/>
  <c r="L12" i="21"/>
  <c r="D12" i="21"/>
  <c r="Z12" i="21"/>
  <c r="O27" i="21"/>
  <c r="M12" i="21"/>
  <c r="E27" i="21"/>
  <c r="T27" i="21"/>
  <c r="D22" i="3"/>
  <c r="F2" i="7"/>
  <c r="E2" i="7"/>
  <c r="F2" i="9"/>
  <c r="E2" i="9"/>
  <c r="H2" i="9"/>
  <c r="G2" i="9"/>
  <c r="F15" i="11"/>
  <c r="F28" i="11"/>
  <c r="G30" i="9"/>
  <c r="H2" i="7"/>
  <c r="H2" i="11"/>
  <c r="F2" i="11"/>
  <c r="E2" i="11"/>
  <c r="G2" i="7"/>
  <c r="F30" i="9"/>
  <c r="M27" i="21"/>
  <c r="D27" i="21"/>
  <c r="S27" i="21"/>
  <c r="O14" i="3"/>
  <c r="M27" i="3" l="1"/>
  <c r="N27" i="3" s="1"/>
  <c r="O27" i="3" s="1"/>
  <c r="Q36" i="3"/>
  <c r="R36" i="3" s="1"/>
  <c r="E49" i="3"/>
  <c r="E25" i="3"/>
  <c r="E55" i="3"/>
  <c r="E32" i="3"/>
  <c r="I112" i="3"/>
  <c r="I114" i="3" s="1"/>
  <c r="K106" i="3"/>
  <c r="L106" i="3" s="1"/>
  <c r="J108" i="3"/>
  <c r="J112" i="3" s="1"/>
  <c r="J114" i="3" s="1"/>
  <c r="P112" i="3"/>
  <c r="P114" i="3" s="1"/>
  <c r="E84" i="3"/>
  <c r="D49" i="3"/>
  <c r="D52" i="3" s="1"/>
  <c r="D53" i="3" s="1"/>
  <c r="H84" i="3"/>
  <c r="E87" i="3"/>
  <c r="D84" i="3"/>
  <c r="F22" i="3"/>
  <c r="H20" i="3"/>
  <c r="C49" i="3"/>
  <c r="C55" i="3"/>
  <c r="C24" i="3"/>
  <c r="C87" i="3"/>
  <c r="G84" i="3"/>
  <c r="F84" i="3"/>
  <c r="D87" i="3"/>
  <c r="I84" i="3"/>
  <c r="M84" i="3"/>
  <c r="J84" i="3"/>
  <c r="I87" i="3"/>
  <c r="L87" i="3"/>
  <c r="J87" i="3"/>
  <c r="N84" i="3"/>
  <c r="L84" i="3"/>
  <c r="K84" i="3"/>
  <c r="O36" i="3"/>
  <c r="O37" i="3" s="1"/>
  <c r="O48" i="3"/>
  <c r="O42" i="3"/>
  <c r="F25" i="3" l="1"/>
  <c r="F21" i="3"/>
  <c r="F32" i="3"/>
  <c r="K108" i="3"/>
  <c r="K112" i="3" s="1"/>
  <c r="K114" i="3" s="1"/>
  <c r="F20" i="3"/>
  <c r="D50" i="3"/>
  <c r="E50" i="3"/>
  <c r="E52" i="3"/>
  <c r="E53" i="3" s="1"/>
  <c r="L108" i="3"/>
  <c r="L112" i="3" s="1"/>
  <c r="L114" i="3" s="1"/>
  <c r="M106" i="3"/>
  <c r="C50" i="3"/>
  <c r="F55" i="3"/>
  <c r="C52" i="3"/>
  <c r="C53" i="3" s="1"/>
  <c r="G21" i="3"/>
  <c r="G20" i="3"/>
  <c r="F47" i="3"/>
  <c r="F49" i="3" s="1"/>
  <c r="F52" i="3" s="1"/>
  <c r="C28" i="3"/>
  <c r="D24" i="3"/>
  <c r="D28" i="3" s="1"/>
  <c r="O84" i="3"/>
  <c r="O44" i="3"/>
  <c r="O45" i="3" s="1"/>
  <c r="G32" i="3" l="1"/>
  <c r="G22" i="3"/>
  <c r="G25" i="3"/>
  <c r="F53" i="3"/>
  <c r="N106" i="3"/>
  <c r="M108" i="3"/>
  <c r="M112" i="3" s="1"/>
  <c r="M114" i="3" s="1"/>
  <c r="G47" i="3"/>
  <c r="G49" i="3" s="1"/>
  <c r="H22" i="3"/>
  <c r="H21" i="3"/>
  <c r="F50" i="3"/>
  <c r="G55" i="3"/>
  <c r="E24" i="3"/>
  <c r="F24" i="3" s="1"/>
  <c r="H25" i="3" l="1"/>
  <c r="N108" i="3"/>
  <c r="N112" i="3" s="1"/>
  <c r="N114" i="3" s="1"/>
  <c r="O106" i="3"/>
  <c r="I22" i="3"/>
  <c r="I21" i="3"/>
  <c r="I20" i="3"/>
  <c r="G52" i="3"/>
  <c r="G53" i="3" s="1"/>
  <c r="G50" i="3"/>
  <c r="H47" i="3"/>
  <c r="H49" i="3" s="1"/>
  <c r="H52" i="3" s="1"/>
  <c r="H53" i="3" s="1"/>
  <c r="H55" i="3"/>
  <c r="E28" i="3"/>
  <c r="G24" i="3"/>
  <c r="F28" i="3"/>
  <c r="I25" i="3" l="1"/>
  <c r="O108" i="3"/>
  <c r="O112" i="3" s="1"/>
  <c r="O114" i="3" s="1"/>
  <c r="H50" i="3"/>
  <c r="I47" i="3"/>
  <c r="I55" i="3"/>
  <c r="J21" i="3"/>
  <c r="J20" i="3"/>
  <c r="H24" i="3"/>
  <c r="G28" i="3"/>
  <c r="J25" i="3" l="1"/>
  <c r="J22" i="3"/>
  <c r="J55" i="3"/>
  <c r="K21" i="3"/>
  <c r="K20" i="3"/>
  <c r="J47" i="3"/>
  <c r="J49" i="3" s="1"/>
  <c r="I49" i="3"/>
  <c r="I24" i="3"/>
  <c r="H28" i="3"/>
  <c r="K25" i="3" l="1"/>
  <c r="K22" i="3"/>
  <c r="L20" i="3"/>
  <c r="L21" i="3"/>
  <c r="K55" i="3"/>
  <c r="K47" i="3"/>
  <c r="I50" i="3"/>
  <c r="I52" i="3"/>
  <c r="I53" i="3" s="1"/>
  <c r="J52" i="3"/>
  <c r="J53" i="3" s="1"/>
  <c r="J50" i="3"/>
  <c r="J24" i="3"/>
  <c r="I28" i="3"/>
  <c r="L25" i="3" l="1"/>
  <c r="M25" i="3" s="1"/>
  <c r="N25" i="3" s="1"/>
  <c r="L47" i="3"/>
  <c r="L49" i="3" s="1"/>
  <c r="K49" i="3"/>
  <c r="L55" i="3"/>
  <c r="K24" i="3"/>
  <c r="J28" i="3"/>
  <c r="O3" i="3" l="1"/>
  <c r="L52" i="3"/>
  <c r="L53" i="3" s="1"/>
  <c r="L50" i="3"/>
  <c r="K50" i="3"/>
  <c r="K52" i="3"/>
  <c r="K53" i="3" s="1"/>
  <c r="K28" i="3"/>
  <c r="L24" i="3"/>
  <c r="M24" i="3" s="1"/>
  <c r="N24" i="3" s="1"/>
  <c r="O22" i="3" l="1"/>
  <c r="N55" i="3"/>
  <c r="O55" i="3" s="1"/>
  <c r="O38" i="3"/>
  <c r="O19" i="3"/>
  <c r="L28" i="3"/>
  <c r="O47" i="3" l="1"/>
  <c r="O40" i="3"/>
  <c r="O41" i="3" s="1"/>
  <c r="M28" i="3"/>
  <c r="O52" i="3" l="1"/>
  <c r="O49" i="3"/>
  <c r="O50" i="3" s="1"/>
  <c r="N28" i="3"/>
  <c r="O28" i="3" s="1"/>
  <c r="O24" i="3"/>
  <c r="O83" i="3" l="1"/>
  <c r="O8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  <author>Emily</author>
  </authors>
  <commentList>
    <comment ref="C3" authorId="0" shapeId="0" xr:uid="{3A77893E-1320-498B-8BD8-A270D7F49ADC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23k  reduction. 
Bunzl de mex was $3k less.
Act?
BUNZL 5k
</t>
        </r>
      </text>
    </comment>
    <comment ref="D3" authorId="1" shapeId="0" xr:uid="{EECC4434-3F8D-4D6D-AABE-621067B7AD71}">
      <text>
        <r>
          <rPr>
            <b/>
            <sz val="9"/>
            <color indexed="81"/>
            <rFont val="Tahoma"/>
            <family val="2"/>
          </rPr>
          <t>Emily~</t>
        </r>
        <r>
          <rPr>
            <sz val="9"/>
            <color indexed="81"/>
            <rFont val="Tahoma"/>
            <family val="2"/>
          </rPr>
          <t xml:space="preserve">
$10.8k of Bunzl Project Agrmt revenue moving to standard revenue. </t>
        </r>
      </text>
    </comment>
    <comment ref="E3" authorId="0" shapeId="0" xr:uid="{04DE9678-1544-440A-888E-A1D8B0E97F71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Includes BUNZL path to cloud</t>
        </r>
      </text>
    </comment>
    <comment ref="D12" authorId="0" shapeId="0" xr:uid="{163EBCCE-E6A5-4A2A-802E-37FBDE825FA6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15k invoice credited - replaced with 16.5k invoice
</t>
        </r>
      </text>
    </comment>
    <comment ref="N12" authorId="0" shapeId="0" xr:uid="{9E06DF9F-026C-4023-92AA-0B6CE7CEF39F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AFRANIE WRITE OFFS 13k
</t>
        </r>
      </text>
    </comment>
    <comment ref="J34" authorId="0" shapeId="0" xr:uid="{8BB4F4F9-7EDA-4E08-8351-07EDE4EB0B29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and RWB. Does not incl BUNZL yet
</t>
        </r>
      </text>
    </comment>
    <comment ref="J46" authorId="0" shapeId="0" xr:uid="{A48C7C8E-56E7-4A73-A103-E5BBBE076DFC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adobe renewal 95k w 93k in cogs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  <author>Emily</author>
  </authors>
  <commentList>
    <comment ref="C3" authorId="0" shapeId="0" xr:uid="{1B54598E-14F0-400C-8593-734DFF85ECAC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23k  reduction. 
Bunzl de mex was $3k less.
Act?
BUNZL 5k
</t>
        </r>
      </text>
    </comment>
    <comment ref="D3" authorId="1" shapeId="0" xr:uid="{09CF17D1-36DC-4DD3-BFDC-C17E044CBAF7}">
      <text>
        <r>
          <rPr>
            <b/>
            <sz val="9"/>
            <color indexed="81"/>
            <rFont val="Tahoma"/>
            <family val="2"/>
          </rPr>
          <t>Emily~</t>
        </r>
        <r>
          <rPr>
            <sz val="9"/>
            <color indexed="81"/>
            <rFont val="Tahoma"/>
            <family val="2"/>
          </rPr>
          <t xml:space="preserve">
$10.8k of Bunzl Project Agrmt revenue moving to standard revenue. </t>
        </r>
      </text>
    </comment>
    <comment ref="E3" authorId="0" shapeId="0" xr:uid="{11F4D326-51A3-4161-97AB-8B1B37D89E68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Includes BUNZL path to cloud</t>
        </r>
      </text>
    </comment>
    <comment ref="D12" authorId="0" shapeId="0" xr:uid="{1DBA6C73-019D-4971-BCE5-8D7DD9F4EF7E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15k invoice credited - replaced with 16.5k invoice
</t>
        </r>
      </text>
    </comment>
    <comment ref="N12" authorId="0" shapeId="0" xr:uid="{15F75A6B-ABB6-4D4A-A4E4-6986E5D13C93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AFRANIE WRITE OFFS 13k
</t>
        </r>
      </text>
    </comment>
    <comment ref="J34" authorId="0" shapeId="0" xr:uid="{9B5CCF67-CF7E-476E-B18F-DB138AA7D497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and RWB. Does not incl BUNZL yet
</t>
        </r>
      </text>
    </comment>
    <comment ref="J45" authorId="0" shapeId="0" xr:uid="{BCEDB1CA-F64F-4CDE-B6B1-37E3C7CE217F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adobe renewal 95k w 93k in cogs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E3" authorId="0" shapeId="0" xr:uid="{11F4D326-51A3-4161-97AB-8B1B37D89E68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Includes BUNZL path to cloud</t>
        </r>
      </text>
    </comment>
    <comment ref="N12" authorId="0" shapeId="0" xr:uid="{15F75A6B-ABB6-4D4A-A4E4-6986E5D13C93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AFRANIE WRITE OFFS 13k
</t>
        </r>
      </text>
    </comment>
    <comment ref="J34" authorId="0" shapeId="0" xr:uid="{9B5CCF67-CF7E-476E-B18F-DB138AA7D497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and RWB. Does not incl BUNZL yet
</t>
        </r>
      </text>
    </comment>
    <comment ref="J45" authorId="0" shapeId="0" xr:uid="{BCEDB1CA-F64F-4CDE-B6B1-37E3C7CE217F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adobe renewal 95k w 93k in cogs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J34" authorId="0" shapeId="0" xr:uid="{9B5CCF67-CF7E-476E-B18F-DB138AA7D497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and RWB. Does not incl BUNZL yet
</t>
        </r>
      </text>
    </comment>
    <comment ref="H55" authorId="0" shapeId="0" xr:uid="{9DDEFA97-9C74-46BD-80D6-0B7817B1F0D7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3 payroll mo
</t>
        </r>
      </text>
    </comment>
    <comment ref="N55" authorId="0" shapeId="0" xr:uid="{E46281E9-2E77-496D-A347-FA273E1FB15B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3 payroll mo..?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L4" authorId="0" shapeId="0" xr:uid="{461610CE-99AB-4CDC-9EA9-27806E9454CE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Additional ARC Agreement revenue
</t>
        </r>
      </text>
    </comment>
    <comment ref="L15" authorId="0" shapeId="0" xr:uid="{56746B2B-C278-415C-B771-A08C78A402A4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server renewals</t>
        </r>
      </text>
    </comment>
    <comment ref="J33" authorId="0" shapeId="0" xr:uid="{E8DD5EC0-CD3D-4C61-AFEF-4080D931E4C1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ARC and RWB. Does not incl BUNZL yet
</t>
        </r>
      </text>
    </comment>
    <comment ref="H54" authorId="0" shapeId="0" xr:uid="{FD27E5A3-3309-4E20-8039-BAF3BC19FE74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3 payroll mo
</t>
        </r>
      </text>
    </comment>
    <comment ref="N54" authorId="0" shapeId="0" xr:uid="{AD8A3839-423C-412E-B4CB-87DA018AEDAF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3 payroll mo..?
</t>
        </r>
      </text>
    </comment>
  </commentList>
</comments>
</file>

<file path=xl/sharedStrings.xml><?xml version="1.0" encoding="utf-8"?>
<sst xmlns="http://schemas.openxmlformats.org/spreadsheetml/2006/main" count="9020" uniqueCount="1147">
  <si>
    <t>Forecast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</si>
  <si>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</si>
  <si>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</si>
  <si>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</si>
  <si>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</si>
  <si>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</si>
  <si>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</si>
  <si>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</si>
  <si>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</si>
  <si>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</si>
  <si>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</si>
  <si>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</si>
  <si>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</si>
  <si>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YTD Total</t>
  </si>
  <si>
    <t>Recurring Sales Invoiced</t>
  </si>
  <si>
    <t>Agreement</t>
  </si>
  <si>
    <t>NOTES:</t>
  </si>
  <si>
    <t>New Agreement in Std</t>
  </si>
  <si>
    <t>Agreement invoices that go out on the 8th of the month:</t>
  </si>
  <si>
    <t>ITMS</t>
  </si>
  <si>
    <t>ARC - comprehensive services $84,000</t>
  </si>
  <si>
    <t>Licensing</t>
  </si>
  <si>
    <t>Invoiced on 8th of month: BUNZL - de Mexico - invoiced this month for this month. Includes overages from last month. $17k</t>
  </si>
  <si>
    <t>Comprehensive Services</t>
  </si>
  <si>
    <t>License Agreements = $38,000</t>
  </si>
  <si>
    <t>Other</t>
  </si>
  <si>
    <t>New Sales Invoiced [INPUTS]</t>
  </si>
  <si>
    <t>Standard</t>
  </si>
  <si>
    <t>Miscellaneous - Invoiced</t>
  </si>
  <si>
    <t>Credit Memo - Invoiced</t>
  </si>
  <si>
    <t>Pending and Projected Sales</t>
  </si>
  <si>
    <t>Pending Project Milestones</t>
  </si>
  <si>
    <t>Hubspot Pipeline at 40%</t>
  </si>
  <si>
    <t>OPPS High Forecast (inputs)</t>
  </si>
  <si>
    <t>OPPS Low Forecast (inputs)</t>
  </si>
  <si>
    <t>Total</t>
  </si>
  <si>
    <t>Total Revenue</t>
  </si>
  <si>
    <t>AGREEMENT</t>
  </si>
  <si>
    <t>Breakdown</t>
  </si>
  <si>
    <t xml:space="preserve">High </t>
  </si>
  <si>
    <t>TOTAL</t>
  </si>
  <si>
    <t>Low</t>
  </si>
  <si>
    <t>Comp Services + Project (BUNZL de Mex)</t>
  </si>
  <si>
    <t>Gap (/mo)</t>
  </si>
  <si>
    <t>Revenue to Goal</t>
  </si>
  <si>
    <t>Managed Services</t>
  </si>
  <si>
    <t>Licensing/Server (Agreement)</t>
  </si>
  <si>
    <t>Rolling Actual/Forecast</t>
  </si>
  <si>
    <t>Actual</t>
  </si>
  <si>
    <t>Actual ROLLING</t>
  </si>
  <si>
    <t>Monthly Goal</t>
  </si>
  <si>
    <t xml:space="preserve"> Revenue GOAL</t>
  </si>
  <si>
    <t>cogs</t>
  </si>
  <si>
    <t>rev</t>
  </si>
  <si>
    <t xml:space="preserve">Rolling GOAL </t>
  </si>
  <si>
    <t>arc</t>
  </si>
  <si>
    <t>Rolling Goal</t>
  </si>
  <si>
    <t>Rolling GOAL Difference</t>
  </si>
  <si>
    <t>bunzl de mex</t>
  </si>
  <si>
    <t xml:space="preserve">This green area does not roll into other areas. This is </t>
  </si>
  <si>
    <t>Project Revenue - Agreements</t>
  </si>
  <si>
    <t>a subset of AGREEMENT revenue.</t>
  </si>
  <si>
    <t>Project COGS Agreements (input)</t>
  </si>
  <si>
    <t>Breakdown reporting only</t>
  </si>
  <si>
    <t>Project Agreement Margin $</t>
  </si>
  <si>
    <t>Project Agreement Margin %</t>
  </si>
  <si>
    <t>Agreement Revenue</t>
  </si>
  <si>
    <t>Agreement COGS (input)</t>
  </si>
  <si>
    <t>Agreement Margin $</t>
  </si>
  <si>
    <t>Agreement Margin %</t>
  </si>
  <si>
    <t>AGREEMENT MARGIN Reduction (previous month)</t>
  </si>
  <si>
    <t>Standard Revenue (w Misc &amp; CMs)</t>
  </si>
  <si>
    <t>Standard Misc COGS (input)</t>
  </si>
  <si>
    <t>Standard Margin $</t>
  </si>
  <si>
    <t>Standard Margin %</t>
  </si>
  <si>
    <t>STANDARD MARGIN Reduction (previous month)</t>
  </si>
  <si>
    <t>Miscellaneous COGS (input)</t>
  </si>
  <si>
    <t>TOTAL Revenue</t>
  </si>
  <si>
    <t>TOTAL COGS</t>
  </si>
  <si>
    <t>TOTAL [Blended] Margin $</t>
  </si>
  <si>
    <t>TOTAL [Blended] Margin %</t>
  </si>
  <si>
    <t>TARGET Minimum MARGIN (input)</t>
  </si>
  <si>
    <t>$ Over TARGET MARGIN (Profit)</t>
  </si>
  <si>
    <t>Net Profit %</t>
  </si>
  <si>
    <t>Profit GOAL at Target 18%</t>
  </si>
  <si>
    <t>18% Goal</t>
  </si>
  <si>
    <t>RECURRING SERVICES - UP/DOWN</t>
  </si>
  <si>
    <t>Managed Services (only)</t>
  </si>
  <si>
    <t>End of 2025...2026 Start…</t>
  </si>
  <si>
    <t>BUNZL - 2 year agreement reduction</t>
  </si>
  <si>
    <t>Act reduction - leaving</t>
  </si>
  <si>
    <t>FS Unlimited: MS Agrmt began 1/15</t>
  </si>
  <si>
    <t>Amelia Newcomb Dressage: MS Agrmt began 1/19</t>
  </si>
  <si>
    <t>Designated Brokers: Adtl 4 MS Tier 1 Wkstns</t>
  </si>
  <si>
    <t>TransGo: Adtl 2 MS Tier 1 Wkstns</t>
  </si>
  <si>
    <t>Vinyl Works: Adtl 6 MS Tier 2 Wkstns</t>
  </si>
  <si>
    <t>Realworld - increase</t>
  </si>
  <si>
    <t>Autism Systems - increase</t>
  </si>
  <si>
    <t>Fire Sprinkler - increase</t>
  </si>
  <si>
    <t>Secure Money Adivisors - increase</t>
  </si>
  <si>
    <t>FS Unlimited: Wkstn adjustment</t>
  </si>
  <si>
    <t>Pelage - increase</t>
  </si>
  <si>
    <t>Dot by Dot - increase</t>
  </si>
  <si>
    <t>Sea Ranch - leaving</t>
  </si>
  <si>
    <t>CWS - increase</t>
  </si>
  <si>
    <t>Conejo</t>
  </si>
  <si>
    <t>Toro</t>
  </si>
  <si>
    <t>TOTAL NET</t>
  </si>
  <si>
    <t>Increase month over month</t>
  </si>
  <si>
    <t>Rolling NET Increase over 2023 (total)</t>
  </si>
  <si>
    <t>ACTUAL MS ONLY per CW</t>
  </si>
  <si>
    <t>Likely different based on MS revenue invoiced via Std/Misc for first month or two</t>
  </si>
  <si>
    <t>$187k</t>
  </si>
  <si>
    <t>High water mark - Dec 2024</t>
  </si>
  <si>
    <t>MS Monthly</t>
  </si>
  <si>
    <t>Project Mo + Recurring Other</t>
  </si>
  <si>
    <t>One Off Sales</t>
  </si>
  <si>
    <t>Mo Total</t>
  </si>
  <si>
    <t>Annual Rev</t>
  </si>
  <si>
    <t>April</t>
  </si>
  <si>
    <t>Agreement COGS</t>
  </si>
  <si>
    <t>Margin</t>
  </si>
  <si>
    <t>Standard Revenue All</t>
  </si>
  <si>
    <t>Standard COGS NET</t>
  </si>
  <si>
    <t>TOTAL Margin</t>
  </si>
  <si>
    <t>EXPENSES</t>
  </si>
  <si>
    <t>131k in total payroll across all platforms</t>
  </si>
  <si>
    <t>35k in expense</t>
  </si>
  <si>
    <t>$165k total</t>
  </si>
  <si>
    <t>Co-Marketing Dollars - added</t>
  </si>
  <si>
    <t>AvePoint and Barracuda</t>
  </si>
  <si>
    <t>5.5k x 3 months</t>
  </si>
  <si>
    <t>NET Profitability</t>
  </si>
  <si>
    <t>Month to date</t>
  </si>
  <si>
    <t>Additional Cash Required</t>
  </si>
  <si>
    <t>Total Cash NET</t>
  </si>
  <si>
    <t>Project Additional Revenue</t>
  </si>
  <si>
    <t>Expected additional revenue based on YTD trend</t>
  </si>
  <si>
    <t>Margin expected - uses MTD trend</t>
  </si>
  <si>
    <t>MTD margin trend</t>
  </si>
  <si>
    <t>Net Expected Margin</t>
  </si>
  <si>
    <t>NET CASH</t>
  </si>
  <si>
    <t>Total Revenue MTD</t>
  </si>
  <si>
    <t>Total Revenue Projected</t>
  </si>
  <si>
    <t>Secure Money Advisors - increase</t>
  </si>
  <si>
    <t>Conejo - leaving</t>
  </si>
  <si>
    <t>Toro Global</t>
  </si>
  <si>
    <t>Shaina Speaks - first 5 users</t>
  </si>
  <si>
    <t>Agreement invoices that are delayed until 8th of the month:</t>
  </si>
  <si>
    <t>Invoiced on 8th of month: BUNZL - de Mexico - invoiced this month for this month. Includes overages from last month. $9500</t>
  </si>
  <si>
    <t>Standard and Misc - Invoiced</t>
  </si>
  <si>
    <t>End of 2024 ...2025 Start…</t>
  </si>
  <si>
    <t>ARC - MS Reduction</t>
  </si>
  <si>
    <t>Southern Atlantic - MS Reduction</t>
  </si>
  <si>
    <t>AMIRI - Reduction</t>
  </si>
  <si>
    <t>Snap - MD Addition</t>
  </si>
  <si>
    <t>Drive Wheel</t>
  </si>
  <si>
    <t>Hohenstein</t>
  </si>
  <si>
    <t>Calpine - add</t>
  </si>
  <si>
    <t>Pacific Therapy - drop</t>
  </si>
  <si>
    <t>AVF - drop</t>
  </si>
  <si>
    <t>Vinyl Works</t>
  </si>
  <si>
    <t>Southern Atlantic - drop</t>
  </si>
  <si>
    <t>Alameda Structural</t>
  </si>
  <si>
    <t>The Pacific Center for Financial Services</t>
  </si>
  <si>
    <t>PHA - drop</t>
  </si>
  <si>
    <t>Banc Consulting Partners</t>
  </si>
  <si>
    <t>Virtus Financial Pertners</t>
  </si>
  <si>
    <t>P&amp;D Electric Inc</t>
  </si>
  <si>
    <t>Donnelly &amp; Moore inc</t>
  </si>
  <si>
    <t>Pelage Pharma</t>
  </si>
  <si>
    <t>Conejo - add</t>
  </si>
  <si>
    <t>SFPHF - add</t>
  </si>
  <si>
    <t>Today:</t>
  </si>
  <si>
    <t>Amiri - emailed to client with date created, then date changed to first of next month (MS invoices)</t>
  </si>
  <si>
    <t>BUNZL - path to the cloud invoiced on 8th or so of every month</t>
  </si>
  <si>
    <t>License Agreement invoices (24k ish) completed on same day, first ish of the month.  Once synnex auto updates.</t>
  </si>
  <si>
    <t>revenue</t>
  </si>
  <si>
    <t>move to 1/31/25</t>
  </si>
  <si>
    <t>margin</t>
  </si>
  <si>
    <t>Project</t>
  </si>
  <si>
    <t>C</t>
  </si>
  <si>
    <t>Licensing (Agreement)</t>
  </si>
  <si>
    <t>bunzl</t>
  </si>
  <si>
    <t>$ Over TARGET MARGIN</t>
  </si>
  <si>
    <t>QUICKBOOKS GM</t>
  </si>
  <si>
    <t>Profitability Line for GM</t>
  </si>
  <si>
    <t>Projected NET Profit</t>
  </si>
  <si>
    <t>Projected NET Profit %</t>
  </si>
  <si>
    <t>2024 Starting</t>
  </si>
  <si>
    <t>Upstream Intl (full month)</t>
  </si>
  <si>
    <t>Recarbon</t>
  </si>
  <si>
    <t>Afranie</t>
  </si>
  <si>
    <t>Teddy Bear Cancer</t>
  </si>
  <si>
    <t>Marsh Industries</t>
  </si>
  <si>
    <t>LocalRoof (user add)</t>
  </si>
  <si>
    <t>San Fran Public Health (SFPH)</t>
  </si>
  <si>
    <t>Organic Certifiers</t>
  </si>
  <si>
    <t>Amiri - Milan, ITALY</t>
  </si>
  <si>
    <t>MCR - Bunzl</t>
  </si>
  <si>
    <t>Calpine - reduction</t>
  </si>
  <si>
    <t>Pacific Blue Engineering</t>
  </si>
  <si>
    <t>Applied Powdercoast - Afranie</t>
  </si>
  <si>
    <t xml:space="preserve">Vintage Marina </t>
  </si>
  <si>
    <t xml:space="preserve">Reality Church </t>
  </si>
  <si>
    <t>RevMax</t>
  </si>
  <si>
    <t>Ditec</t>
  </si>
  <si>
    <t>Autism Systems - MDM reduction</t>
  </si>
  <si>
    <t>SFPH - increase</t>
  </si>
  <si>
    <t>Southern Atlantic</t>
  </si>
  <si>
    <t>Cordova Bunzl (Increase)</t>
  </si>
  <si>
    <t>TSI</t>
  </si>
  <si>
    <t>Pacific Therapy - Managed Server Reduction</t>
  </si>
  <si>
    <t>CWS (workstation change to Tier 1)</t>
  </si>
  <si>
    <t>Southern Atlantic (change to Tier 1)</t>
  </si>
  <si>
    <t>Blue Ocean Barns (MS Increase)</t>
  </si>
  <si>
    <t>Secure Money</t>
  </si>
  <si>
    <t>AVF (MS Reduction)</t>
  </si>
  <si>
    <t>Bunzl (Tinlgey)</t>
  </si>
  <si>
    <t>Bible Fellowship - Server Reduction</t>
  </si>
  <si>
    <t>Sea Ranch - Workstation reduction</t>
  </si>
  <si>
    <t>Likely different based on MS revenue invoiced via Std for first month or two</t>
  </si>
  <si>
    <t>Today</t>
  </si>
  <si>
    <t>Staff Aug Agreement</t>
  </si>
  <si>
    <t>Staffing</t>
  </si>
  <si>
    <t>Standard - Invoiced</t>
  </si>
  <si>
    <t>Other  Revenue</t>
  </si>
  <si>
    <t>total</t>
  </si>
  <si>
    <t>rwb</t>
  </si>
  <si>
    <t>Profit GOAL 18%</t>
  </si>
  <si>
    <t>Rolling</t>
  </si>
  <si>
    <t>2023 Starting</t>
  </si>
  <si>
    <t>Autism Systems - Saginaw addition</t>
  </si>
  <si>
    <t>PHA</t>
  </si>
  <si>
    <t>SV Labs - departure -9k</t>
  </si>
  <si>
    <t>NOBU (Redacted) - departure - 4k</t>
  </si>
  <si>
    <t>Assessment Started and near completion</t>
  </si>
  <si>
    <t>iTrac</t>
  </si>
  <si>
    <t>Decision maker is engaged</t>
  </si>
  <si>
    <t>Clear Construction</t>
  </si>
  <si>
    <t>Verbaly expressed wanting to get started</t>
  </si>
  <si>
    <t>CWS Investments</t>
  </si>
  <si>
    <t>Good feeling</t>
  </si>
  <si>
    <t>Cool-Pak Increase</t>
  </si>
  <si>
    <t>Agreement and pricing reviewed</t>
  </si>
  <si>
    <t>Local Roofs</t>
  </si>
  <si>
    <t>Autism Systems - Macombe/Warren addition</t>
  </si>
  <si>
    <t>Amiri</t>
  </si>
  <si>
    <t>Local Roofs Increase</t>
  </si>
  <si>
    <t>Recarbon Increase</t>
  </si>
  <si>
    <t>Calpine</t>
  </si>
  <si>
    <t>Manduka</t>
  </si>
  <si>
    <t>Infinity Q</t>
  </si>
  <si>
    <t>Shoreline Group</t>
  </si>
  <si>
    <t>Aero Technical Metal Finishing (Afranie)</t>
  </si>
  <si>
    <t>Alard Engineering (Afranie)</t>
  </si>
  <si>
    <t>Applied Powder Coat (Afranie)</t>
  </si>
  <si>
    <t>Max Industries (Afranie)</t>
  </si>
  <si>
    <t>Sea Ranch Lodge</t>
  </si>
  <si>
    <t>Local Roofs - Increase</t>
  </si>
  <si>
    <t>Bible Fellowship - increase</t>
  </si>
  <si>
    <t>Calpine - Increase</t>
  </si>
  <si>
    <t>Bunzl Companies added Phase 1 a</t>
  </si>
  <si>
    <t>Pacific Therapy - reduction to tier 1</t>
  </si>
  <si>
    <t>Race Winning Brands - after hours</t>
  </si>
  <si>
    <t>remove from MS and place in project agreement with</t>
  </si>
  <si>
    <t>Bunzl Companies added Phase 1 b</t>
  </si>
  <si>
    <t>BUNZL, ARC, RWB</t>
  </si>
  <si>
    <t>Advanced Chiropractic</t>
  </si>
  <si>
    <t>Millworks</t>
  </si>
  <si>
    <t>Blue Ocean Barns</t>
  </si>
  <si>
    <t>Millworks - reduction to Tier 0</t>
  </si>
  <si>
    <t>People Powered - offboarding</t>
  </si>
  <si>
    <t>CVG - removed 1 firewall</t>
  </si>
  <si>
    <t>Upstream Intl</t>
  </si>
  <si>
    <t>will be $2665 starting 1/1/24</t>
  </si>
  <si>
    <t>Rolling NET Increase over 2022 (total)</t>
  </si>
  <si>
    <t>$7k taken out and added to project</t>
  </si>
  <si>
    <t>Closed</t>
  </si>
  <si>
    <t>Service Name</t>
  </si>
  <si>
    <t>Type</t>
  </si>
  <si>
    <t>OLD BUSINESS</t>
  </si>
  <si>
    <t>ITMS Reoccurring (Help Desk, ITM)</t>
  </si>
  <si>
    <t>Monthly</t>
  </si>
  <si>
    <t>Hardware/Software Reoccurring (Amazon, SSaS)</t>
  </si>
  <si>
    <t>Service Management aaS (PM, SM)</t>
  </si>
  <si>
    <t>Pro Services (Staffed Reoccurring)</t>
  </si>
  <si>
    <t>Pro Services (Staffed Projects/Transactional)</t>
  </si>
  <si>
    <t>Transactional</t>
  </si>
  <si>
    <t>Pro Services (Outsourced Staffing)</t>
  </si>
  <si>
    <t>Pro Services (3rd Party)</t>
  </si>
  <si>
    <t>Hardware/Software Transactional</t>
  </si>
  <si>
    <t>HeroTech ITMS</t>
  </si>
  <si>
    <t>HeroTech Licenses</t>
  </si>
  <si>
    <t>HeroTech PM</t>
  </si>
  <si>
    <t>Other Services Income (RR, CareSight)</t>
  </si>
  <si>
    <t>NEW BUSINESS</t>
  </si>
  <si>
    <t>PC Refresh (POTS installed base)</t>
  </si>
  <si>
    <t>PC Refresh (HT installed base)</t>
  </si>
  <si>
    <t>POTS VoIP</t>
  </si>
  <si>
    <t>New ITMS Clients</t>
  </si>
  <si>
    <t>Other Campaigns (SQL, SBS, MS licenses)</t>
  </si>
  <si>
    <t>POB</t>
  </si>
  <si>
    <t>POTS</t>
  </si>
  <si>
    <t>Yes</t>
  </si>
  <si>
    <t>Maybe</t>
  </si>
  <si>
    <t>No</t>
  </si>
  <si>
    <t>Notes</t>
  </si>
  <si>
    <t>Row Labels</t>
  </si>
  <si>
    <t>Opportunity Summary</t>
  </si>
  <si>
    <t>Years</t>
  </si>
  <si>
    <t>Stage</t>
  </si>
  <si>
    <t>Count of Company</t>
  </si>
  <si>
    <t>Sum of Revenue</t>
  </si>
  <si>
    <t>A Change in Trajectory (ACT)</t>
  </si>
  <si>
    <t xml:space="preserve">POTS PC Refresh </t>
  </si>
  <si>
    <t>2019</t>
  </si>
  <si>
    <t>31-Aug</t>
  </si>
  <si>
    <t>5 - Solution Development</t>
  </si>
  <si>
    <t>Update Amount, and update close date - past may</t>
  </si>
  <si>
    <t>POTS sonicwall renewal</t>
  </si>
  <si>
    <t>20-Feb</t>
  </si>
  <si>
    <t>13 - Needs Invoice</t>
  </si>
  <si>
    <t>Ask Amy if we can close this. Or move to 2017 close date</t>
  </si>
  <si>
    <t>13-Mar</t>
  </si>
  <si>
    <t>This week :)</t>
  </si>
  <si>
    <t>POTS Forever Social Cabling</t>
  </si>
  <si>
    <t>Need to invoice, update status of opp and ticket to needs invoice</t>
  </si>
  <si>
    <t>28-Feb</t>
  </si>
  <si>
    <t>90 - Lost</t>
  </si>
  <si>
    <t>Wait from info from client - internal challenge with their tech - need to f/u this week</t>
  </si>
  <si>
    <t>POTS Hive manager renewal</t>
  </si>
  <si>
    <t>Update close date</t>
  </si>
  <si>
    <t>need final client approval - Chad to call</t>
  </si>
  <si>
    <t>18-Feb</t>
  </si>
  <si>
    <t>POTS Van Nuys Cable Add'l</t>
  </si>
  <si>
    <t>update close date - confirm if "real"</t>
  </si>
  <si>
    <t>June</t>
  </si>
  <si>
    <t>21-Jan</t>
  </si>
  <si>
    <t>Need to close opp, no sale</t>
  </si>
  <si>
    <t>POTS dual monitor</t>
  </si>
  <si>
    <t>Need to look into - call customer</t>
  </si>
  <si>
    <t>Maybe for May - only 1 of these will come in. F/u with customer</t>
  </si>
  <si>
    <t>31-Mar</t>
  </si>
  <si>
    <t>POTS Adobe Acrobat DC licenses 32 exp 3/22</t>
  </si>
  <si>
    <t>Emo. Chad to follow up</t>
  </si>
  <si>
    <t>owner is going dark - potential new client</t>
  </si>
  <si>
    <t>Chad to f/u</t>
  </si>
  <si>
    <t xml:space="preserve">POTS Riverside Computers </t>
  </si>
  <si>
    <t>Testing thin client. Need to get someone onsite to set it up - sch this week</t>
  </si>
  <si>
    <t>need to follow up</t>
  </si>
  <si>
    <t>No - need to close</t>
  </si>
  <si>
    <t>POTS Fresno Computers</t>
  </si>
  <si>
    <t>Need client approval - buy something that smells good?</t>
  </si>
  <si>
    <t>warranty renewal - give to them to get through 2018 - quote for 13 mo</t>
  </si>
  <si>
    <t>POTS Van Nuys computers</t>
  </si>
  <si>
    <t>one of the 3 will come in - 3 quotes</t>
  </si>
  <si>
    <t>POTS San Diego Office - New</t>
  </si>
  <si>
    <t>follow up</t>
  </si>
  <si>
    <t>31-May</t>
  </si>
  <si>
    <t>POTS clone AWS</t>
  </si>
  <si>
    <t>1 - New Opportunity</t>
  </si>
  <si>
    <t>POTS Adobe license addition</t>
  </si>
  <si>
    <t>$25K to book in June, $15K sept, dec</t>
  </si>
  <si>
    <t>1-May</t>
  </si>
  <si>
    <t>POTS remove ZNS icons</t>
  </si>
  <si>
    <t>POTS Wyse Thin Client Management Suite</t>
  </si>
  <si>
    <t>ABEDI</t>
  </si>
  <si>
    <t>POTS PC refresh</t>
  </si>
  <si>
    <t>Sep</t>
  </si>
  <si>
    <t>20-Sep</t>
  </si>
  <si>
    <t>29-Apr</t>
  </si>
  <si>
    <t>POTS 2-in-1 laptop</t>
  </si>
  <si>
    <t>31-Jan</t>
  </si>
  <si>
    <t>POTS on-site tech</t>
  </si>
  <si>
    <t>POTS Refurb Desktop</t>
  </si>
  <si>
    <t>7-Jan</t>
  </si>
  <si>
    <t>POTS MS Office 2019</t>
  </si>
  <si>
    <t>9-Jan</t>
  </si>
  <si>
    <t>POTS PC Refresh (remaining 8 comps)</t>
  </si>
  <si>
    <t>24-Jan</t>
  </si>
  <si>
    <t>Autism Behavioral Health (ABH)</t>
  </si>
  <si>
    <t>POTS refurb laptop</t>
  </si>
  <si>
    <t>12-Jan</t>
  </si>
  <si>
    <t>Autism Response Team (ART)</t>
  </si>
  <si>
    <t>POTS aerohive</t>
  </si>
  <si>
    <t>30-Apr</t>
  </si>
  <si>
    <t>AVF Group Incorporated</t>
  </si>
  <si>
    <t xml:space="preserve">POTS server renewal </t>
  </si>
  <si>
    <t>8-Apr</t>
  </si>
  <si>
    <t>POTS laptop</t>
  </si>
  <si>
    <t>CAPS MEDIA</t>
  </si>
  <si>
    <t>2-Jan</t>
  </si>
  <si>
    <t>Chadmar</t>
  </si>
  <si>
    <t>POTS  PC Refresh</t>
  </si>
  <si>
    <t>10 - Awaiting Client Approval</t>
  </si>
  <si>
    <t xml:space="preserve">POTS cloud migration </t>
  </si>
  <si>
    <t>POTS SBS to On-Premise Server</t>
  </si>
  <si>
    <t>31-Dec</t>
  </si>
  <si>
    <t>POTS Chadmar o365 recurring</t>
  </si>
  <si>
    <t>30-Aug</t>
  </si>
  <si>
    <t>12 - Order in Process</t>
  </si>
  <si>
    <t>POTS VPN license</t>
  </si>
  <si>
    <t xml:space="preserve">POTS cyber security (recurring) </t>
  </si>
  <si>
    <t>POTS Re-purpose Server for local backup</t>
  </si>
  <si>
    <t>Connecting Dot by Dot</t>
  </si>
  <si>
    <t>POTS fax adapter</t>
  </si>
  <si>
    <t>8-Jan</t>
  </si>
  <si>
    <t>POTS SOHO Renewal</t>
  </si>
  <si>
    <t>17-May</t>
  </si>
  <si>
    <t xml:space="preserve">POTS o365 2 factor auth </t>
  </si>
  <si>
    <t>Cool Pak</t>
  </si>
  <si>
    <t>POTS AWS - MS</t>
  </si>
  <si>
    <t>31-Jul</t>
  </si>
  <si>
    <t>7 - Quoting</t>
  </si>
  <si>
    <t>30-Jun</t>
  </si>
  <si>
    <t xml:space="preserve">POTS email security </t>
  </si>
  <si>
    <t>POTS expand computer memory</t>
  </si>
  <si>
    <t>13-Feb</t>
  </si>
  <si>
    <t>POTS laptop reconfig</t>
  </si>
  <si>
    <t>26-Feb</t>
  </si>
  <si>
    <t>POTS dbPix 3.0 license</t>
  </si>
  <si>
    <t>POTS server backup battery</t>
  </si>
  <si>
    <t>10-Apr</t>
  </si>
  <si>
    <t>POTS new computer setup</t>
  </si>
  <si>
    <t>26-Apr</t>
  </si>
  <si>
    <t>DITEC Manufacturing</t>
  </si>
  <si>
    <t>POTS battery backup</t>
  </si>
  <si>
    <t>14-Mar</t>
  </si>
  <si>
    <t>27-Mar</t>
  </si>
  <si>
    <t>POTS server battery backup</t>
  </si>
  <si>
    <t>POTS server battery backup 3</t>
  </si>
  <si>
    <t xml:space="preserve">POTS Server Replacement </t>
  </si>
  <si>
    <t>Drapery Affair</t>
  </si>
  <si>
    <t>POTS o365 recurring</t>
  </si>
  <si>
    <t>POTS SBS to Cloud</t>
  </si>
  <si>
    <t>Focus On The Masters</t>
  </si>
  <si>
    <t>POTS server renewal</t>
  </si>
  <si>
    <t>Instrument Control Services</t>
  </si>
  <si>
    <t>POTS VoIP Proposal</t>
  </si>
  <si>
    <t>8-Jul</t>
  </si>
  <si>
    <t>POTS cabling</t>
  </si>
  <si>
    <t>POTS PC Refresh ALL</t>
  </si>
  <si>
    <t>POTS PM / Security GPOs local &amp; Cloud</t>
  </si>
  <si>
    <t>POTS Hive Manager</t>
  </si>
  <si>
    <t>POTS Network Switches</t>
  </si>
  <si>
    <t>POTS Phase 2 - IT policies</t>
  </si>
  <si>
    <t>POTS Bakersfield Office</t>
  </si>
  <si>
    <t xml:space="preserve">POTS external security audit </t>
  </si>
  <si>
    <t>POTS PC Refresh (2 computers)</t>
  </si>
  <si>
    <t>POTS configure kiosk computer</t>
  </si>
  <si>
    <t>22-Jun</t>
  </si>
  <si>
    <t>28-Jun</t>
  </si>
  <si>
    <t>POTS cables for server room</t>
  </si>
  <si>
    <t>16-Jan</t>
  </si>
  <si>
    <t>POTS on site tech - carson</t>
  </si>
  <si>
    <t>3-Jan</t>
  </si>
  <si>
    <t>POTS LabelView Renewal</t>
  </si>
  <si>
    <t>POTS VMware renewal</t>
  </si>
  <si>
    <t>POTS keyboard/mouse combo</t>
  </si>
  <si>
    <t>11-Jan</t>
  </si>
  <si>
    <t>POTS Sonicwall TZ500 2 yr renewal</t>
  </si>
  <si>
    <t>23-Jan</t>
  </si>
  <si>
    <t>POTS laptop adapters</t>
  </si>
  <si>
    <t>25-Jan</t>
  </si>
  <si>
    <t>1-Feb</t>
  </si>
  <si>
    <t>8x8 Admin Office Deployment</t>
  </si>
  <si>
    <t>POTS - Large Printer Relocation</t>
  </si>
  <si>
    <t>30-Jan</t>
  </si>
  <si>
    <t>POTS headsets for softphones</t>
  </si>
  <si>
    <t>POTS No Elevator - Carry Up Cost</t>
  </si>
  <si>
    <t>POTS TV (4) and brackets</t>
  </si>
  <si>
    <t>POTS AWS</t>
  </si>
  <si>
    <t>POTS after hour support</t>
  </si>
  <si>
    <t>POTS 70" TVs</t>
  </si>
  <si>
    <t>POTS backup battery</t>
  </si>
  <si>
    <t>POTS 82" tvs</t>
  </si>
  <si>
    <t>4-Feb</t>
  </si>
  <si>
    <t>POTS dry erase board</t>
  </si>
  <si>
    <t>POTS keytags</t>
  </si>
  <si>
    <t>Office Misc Hardware</t>
  </si>
  <si>
    <t>5-Feb</t>
  </si>
  <si>
    <t>POTS 2 monitors and cables</t>
  </si>
  <si>
    <t>27-May</t>
  </si>
  <si>
    <t>POTS new computer (Kim Nixon)</t>
  </si>
  <si>
    <t>POTS apple tvs</t>
  </si>
  <si>
    <t>6-Feb</t>
  </si>
  <si>
    <t>POTS misc hardware</t>
  </si>
  <si>
    <t>POTS 6x4 white board - Isu</t>
  </si>
  <si>
    <t>11-Feb</t>
  </si>
  <si>
    <t>POTS scanner/fax adapter</t>
  </si>
  <si>
    <t>POTS 55" TV</t>
  </si>
  <si>
    <t>POTS Windows 10 Pro</t>
  </si>
  <si>
    <t>POTS wireless headset, ipad mount</t>
  </si>
  <si>
    <t>POTS 0365 TEAMS</t>
  </si>
  <si>
    <t>POTS additional moving</t>
  </si>
  <si>
    <t>POTS manduka electrical</t>
  </si>
  <si>
    <t>POTS noise cancelling panels</t>
  </si>
  <si>
    <t>30-May</t>
  </si>
  <si>
    <t>POTS warehouse and analytics computers</t>
  </si>
  <si>
    <t>15-Feb</t>
  </si>
  <si>
    <t>POTS 2 FA for Office 365</t>
  </si>
  <si>
    <t xml:space="preserve">POTS magic mouse </t>
  </si>
  <si>
    <t>POTS micro computer</t>
  </si>
  <si>
    <t>POTS monitor and thunderbolt</t>
  </si>
  <si>
    <t>POTS FT onsite techs</t>
  </si>
  <si>
    <t>POTS bludog cabling T&amp;M</t>
  </si>
  <si>
    <t>25-Feb</t>
  </si>
  <si>
    <t xml:space="preserve">POTS Antivirus </t>
  </si>
  <si>
    <t>1-Mar</t>
  </si>
  <si>
    <t>POTS wireless KB/M</t>
  </si>
  <si>
    <t>POTS headset</t>
  </si>
  <si>
    <t>27-Feb</t>
  </si>
  <si>
    <t>POTS Isu's white board</t>
  </si>
  <si>
    <t>5-Mar</t>
  </si>
  <si>
    <t>POTS mac mouse</t>
  </si>
  <si>
    <t>6-Mar</t>
  </si>
  <si>
    <t xml:space="preserve">POTS employee break room </t>
  </si>
  <si>
    <t>POTS Carson cabling / aerohive</t>
  </si>
  <si>
    <t>POTS on site tech - remove monitor brackets</t>
  </si>
  <si>
    <t>20-Mar</t>
  </si>
  <si>
    <t xml:space="preserve">POTS docking station </t>
  </si>
  <si>
    <t>POTS mac mouse (3)</t>
  </si>
  <si>
    <t>POTS relocate E Commerce TV</t>
  </si>
  <si>
    <t>POTS Naomi macbook pro</t>
  </si>
  <si>
    <t>POTS universal remote</t>
  </si>
  <si>
    <t>8x8 EU users</t>
  </si>
  <si>
    <t>POTS HDMI converter</t>
  </si>
  <si>
    <t>POTS flex rep laptops</t>
  </si>
  <si>
    <t>29-Mar</t>
  </si>
  <si>
    <t>POTS HDMI cables, remote mounts</t>
  </si>
  <si>
    <t xml:space="preserve">POTS mac </t>
  </si>
  <si>
    <t>POTS troubleshoot conference rooms</t>
  </si>
  <si>
    <t>1-Apr</t>
  </si>
  <si>
    <t>POTS Flex Rep Janice - Laptop</t>
  </si>
  <si>
    <t>4-Apr</t>
  </si>
  <si>
    <t>POTS Hive Manager Renewal (7)</t>
  </si>
  <si>
    <t>5-Apr</t>
  </si>
  <si>
    <t>POTS polycom trio phone</t>
  </si>
  <si>
    <t>14 - On Hold</t>
  </si>
  <si>
    <t>POTS TV management / cabling</t>
  </si>
  <si>
    <t>POTS enable salesforce email plugin</t>
  </si>
  <si>
    <t>12-Apr</t>
  </si>
  <si>
    <t>POTS 3rd floor tv's</t>
  </si>
  <si>
    <t xml:space="preserve">POTS Security Camera Setup and Management </t>
  </si>
  <si>
    <t xml:space="preserve">POTS mac adapter </t>
  </si>
  <si>
    <t>POTS USB-C mac charger</t>
  </si>
  <si>
    <t>POTS RPA laptop</t>
  </si>
  <si>
    <t>POTS IT inventory</t>
  </si>
  <si>
    <t>16-Apr</t>
  </si>
  <si>
    <t xml:space="preserve">POTS laptops - basic </t>
  </si>
  <si>
    <t>POTS monitors and cables (Naomi)</t>
  </si>
  <si>
    <t>18-Apr</t>
  </si>
  <si>
    <t xml:space="preserve">call Isu - review contract/vendor list </t>
  </si>
  <si>
    <t>POTS laptop for new employee</t>
  </si>
  <si>
    <t>23-Apr</t>
  </si>
  <si>
    <t>POTS canada sales rep setup</t>
  </si>
  <si>
    <t>25-Apr</t>
  </si>
  <si>
    <t>POTS E Comm TV Move - Overage</t>
  </si>
  <si>
    <t>POTS inventory - computers</t>
  </si>
  <si>
    <t>Mission Oaks Tax and Accounting</t>
  </si>
  <si>
    <t>31-Oct</t>
  </si>
  <si>
    <t xml:space="preserve">POTS SBS to Cloud </t>
  </si>
  <si>
    <t>Monzon Dental</t>
  </si>
  <si>
    <t>POTS PC Refresh (laptop)</t>
  </si>
  <si>
    <t>Nelson and Associates</t>
  </si>
  <si>
    <t>POTS infrastructure upgrade</t>
  </si>
  <si>
    <t>POTS SBS - Cloud upgrade</t>
  </si>
  <si>
    <t>Notes for Notes</t>
  </si>
  <si>
    <t>10-Jun</t>
  </si>
  <si>
    <t>POTS drive rescue</t>
  </si>
  <si>
    <t>POTS mac mini</t>
  </si>
  <si>
    <t>POTS foodsafety...com</t>
  </si>
  <si>
    <t>4 - Qualifying</t>
  </si>
  <si>
    <t>POTS Websystem</t>
  </si>
  <si>
    <t>POTS server grade battery backup</t>
  </si>
  <si>
    <t>POTS polycom phone</t>
  </si>
  <si>
    <t>POTS 2008 migrate to the cloud</t>
  </si>
  <si>
    <t>POTS AWS Recurring</t>
  </si>
  <si>
    <t>POTS monitor</t>
  </si>
  <si>
    <t>POTS new workstation (Rosa)</t>
  </si>
  <si>
    <t>POTS Quickbooks 2019 upgrade</t>
  </si>
  <si>
    <t>28-Jan</t>
  </si>
  <si>
    <t>POTS new workstation (off server)</t>
  </si>
  <si>
    <t>POTS quickbooks 2019 3 user license</t>
  </si>
  <si>
    <t>8-Feb</t>
  </si>
  <si>
    <t xml:space="preserve">POTS phone adapter </t>
  </si>
  <si>
    <t>POTS server backup batteries</t>
  </si>
  <si>
    <t>POTS new workstation (Kathy)</t>
  </si>
  <si>
    <t>POTS new workstation (Alexandria)</t>
  </si>
  <si>
    <t>POTS QB 2019 Premier Upgrade</t>
  </si>
  <si>
    <t>POTS polycom adapter</t>
  </si>
  <si>
    <t>17-Apr</t>
  </si>
  <si>
    <t>POTS May update MS Agreement</t>
  </si>
  <si>
    <t>Passport to Adaptive Living</t>
  </si>
  <si>
    <t>POTS NAS</t>
  </si>
  <si>
    <t>Performance Glass</t>
  </si>
  <si>
    <t>30-Sep</t>
  </si>
  <si>
    <t>POTS QB 2019 upgrade</t>
  </si>
  <si>
    <t>SC Sheet Metal</t>
  </si>
  <si>
    <t>22-Mar</t>
  </si>
  <si>
    <t>95 - Won</t>
  </si>
  <si>
    <t>POTS new computer</t>
  </si>
  <si>
    <t>7-Apr</t>
  </si>
  <si>
    <t>POTS windows 10 pro licenses (cost diff)</t>
  </si>
  <si>
    <t>POTS refurb laptops</t>
  </si>
  <si>
    <t>POTS cable</t>
  </si>
  <si>
    <t>Sierra Traffic Services</t>
  </si>
  <si>
    <t>Southland Stone USA Inc.</t>
  </si>
  <si>
    <t>POTS Migrate server T610 to AWS</t>
  </si>
  <si>
    <t>POTS azure recurring</t>
  </si>
  <si>
    <t>POTS laptop charger</t>
  </si>
  <si>
    <t>Emergency ransomware attach recovery</t>
  </si>
  <si>
    <t>POTS choti desktop</t>
  </si>
  <si>
    <t>POTS Penetration Testing / Vulnerability Assessment</t>
  </si>
  <si>
    <t>POTS server desktop</t>
  </si>
  <si>
    <t>18-Mar</t>
  </si>
  <si>
    <t xml:space="preserve">POTS DON'T INVOICE </t>
  </si>
  <si>
    <t>POTS PulseOne Communications</t>
  </si>
  <si>
    <t>30-Nov</t>
  </si>
  <si>
    <t>POTS upgrade SSD - Choti's desktop</t>
  </si>
  <si>
    <t>11-Apr</t>
  </si>
  <si>
    <t>Stellar Biotechnologies</t>
  </si>
  <si>
    <t>POTS server migration</t>
  </si>
  <si>
    <t>POTS Q1-2019-laptop refresh (3 of 18)</t>
  </si>
  <si>
    <t>POTS laptop dock</t>
  </si>
  <si>
    <t>POTS outdoor AP</t>
  </si>
  <si>
    <t xml:space="preserve">POTS P1 Comm </t>
  </si>
  <si>
    <t>Studio Designs</t>
  </si>
  <si>
    <t xml:space="preserve">POTS PC Refresh - Hardware Only </t>
  </si>
  <si>
    <t>50 - Requested Future Followup</t>
  </si>
  <si>
    <t>POTS 2008 upgrade - premise</t>
  </si>
  <si>
    <t>POTS Email Appliance replacement</t>
  </si>
  <si>
    <t>POTS config ESA 5000</t>
  </si>
  <si>
    <t>POTS ESA 1 year subscription</t>
  </si>
  <si>
    <t>Turning Point Foundation</t>
  </si>
  <si>
    <t>POTS relocating cameras</t>
  </si>
  <si>
    <t xml:space="preserve">POTS laptop battery </t>
  </si>
  <si>
    <t>POTS laptop re-config</t>
  </si>
  <si>
    <t xml:space="preserve">POTS new kitchen camera </t>
  </si>
  <si>
    <t>POTS two workstations</t>
  </si>
  <si>
    <t>15-Mar</t>
  </si>
  <si>
    <t>POTS Sharepont / o365 training</t>
  </si>
  <si>
    <t>Ventura County Overhead Door</t>
  </si>
  <si>
    <t>POTS cloud recurring</t>
  </si>
  <si>
    <t>Vintage Marina</t>
  </si>
  <si>
    <t xml:space="preserve">POTS PC refresh 2 of 3 </t>
  </si>
  <si>
    <t>15-Jun</t>
  </si>
  <si>
    <t xml:space="preserve">POTS PC refresh 3 of 3 </t>
  </si>
  <si>
    <t>15-Aug</t>
  </si>
  <si>
    <t>POTS PulseOne Communication</t>
  </si>
  <si>
    <t>POTS switches</t>
  </si>
  <si>
    <t>(blank)</t>
  </si>
  <si>
    <t>&lt;1/1/2019</t>
  </si>
  <si>
    <t>PulseOne</t>
  </si>
  <si>
    <t>POTS PulseOne Test opportunity project PF</t>
  </si>
  <si>
    <t>11-Mar</t>
  </si>
  <si>
    <t>POTS SnapC setup employee - FT Remote</t>
  </si>
  <si>
    <t>TPF - Rescope Phase 3 (for Chad)</t>
  </si>
  <si>
    <t>Dave Jaskolski Insurance</t>
  </si>
  <si>
    <t>14-Jan</t>
  </si>
  <si>
    <t>POTS restaurant website</t>
  </si>
  <si>
    <t>POTS Sonicwall - Resturant</t>
  </si>
  <si>
    <t>Z&amp;S Management Corporation</t>
  </si>
  <si>
    <t>POTS 95 computers / 485 thin clients</t>
  </si>
  <si>
    <t>California Center Public Health Advocacy (CCPHA)</t>
  </si>
  <si>
    <t>POTS new user setup</t>
  </si>
  <si>
    <t xml:space="preserve">POTS print server setup </t>
  </si>
  <si>
    <t>Rubicon Theatre</t>
  </si>
  <si>
    <t>POTS computer upgrade / Cabling</t>
  </si>
  <si>
    <t>POTS expedited shipping</t>
  </si>
  <si>
    <t>POTS SW/Aerohives</t>
  </si>
  <si>
    <t>24-Apr</t>
  </si>
  <si>
    <t>Daigh Rick Landscape Architects, LLC</t>
  </si>
  <si>
    <t>POTS 15 inch Macbook Pro -16gb</t>
  </si>
  <si>
    <t>POTS MacBook - 32gb</t>
  </si>
  <si>
    <t>Bible Fellowship Church</t>
  </si>
  <si>
    <t>POTS laptop quote</t>
  </si>
  <si>
    <t>POTS upgrade laptop drive/ram</t>
  </si>
  <si>
    <t>POTS exterior camera cabling</t>
  </si>
  <si>
    <t>POTS two workstation setup</t>
  </si>
  <si>
    <t>Conejo Valley Heating and Air</t>
  </si>
  <si>
    <t>POTS Premise to Cloud Migration</t>
  </si>
  <si>
    <t>POTS January O365 Essentials License</t>
  </si>
  <si>
    <t>POTS computer and monitor</t>
  </si>
  <si>
    <t>4-Jan</t>
  </si>
  <si>
    <t xml:space="preserve">POTS quickbooks 2019 upgrade </t>
  </si>
  <si>
    <t>9-Feb</t>
  </si>
  <si>
    <t>Refurb Laptop</t>
  </si>
  <si>
    <t>POTS sonicwall for server upgrade</t>
  </si>
  <si>
    <t>POTS cables</t>
  </si>
  <si>
    <t>Pacifica Institute of Cosmetic Surgery</t>
  </si>
  <si>
    <t>POTS Echange Upgrade - Cloud or Premise? / Increase storage</t>
  </si>
  <si>
    <t>POTS nextech upgrade</t>
  </si>
  <si>
    <t>Cloudburst Misting Systems, Inc.</t>
  </si>
  <si>
    <t>22-May</t>
  </si>
  <si>
    <t>POTS SBS / Cloud only (w/PCs)- Office 365 Migration</t>
  </si>
  <si>
    <t>POTS SBS / Hybrid (no PCs) - Office 365 Migration</t>
  </si>
  <si>
    <t>MMHSM OBGYN Management, LLC</t>
  </si>
  <si>
    <t>POTS server cables</t>
  </si>
  <si>
    <t>4-Mar</t>
  </si>
  <si>
    <t>Total Barricade Service</t>
  </si>
  <si>
    <t>Palm Garden Hotel</t>
  </si>
  <si>
    <t>POTS upgrade cabling</t>
  </si>
  <si>
    <t>POTS cabling site assessment</t>
  </si>
  <si>
    <t xml:space="preserve">POTS new workstation </t>
  </si>
  <si>
    <t>Cole and Clark Oral Surgery</t>
  </si>
  <si>
    <t>POTS xray computer</t>
  </si>
  <si>
    <t>Crossroads Community Church</t>
  </si>
  <si>
    <t>POTS server room cleanup (old rack)</t>
  </si>
  <si>
    <t>POTS server room cleanup (new rack)</t>
  </si>
  <si>
    <t>POTS guest wifi cabling</t>
  </si>
  <si>
    <t>POTS reconfigure firewall</t>
  </si>
  <si>
    <t>Fire Sprinkler Systems Inc.</t>
  </si>
  <si>
    <t>POTS MS</t>
  </si>
  <si>
    <t>POTS Infrastructure Clean up / On-boarding</t>
  </si>
  <si>
    <t>POTS SonicWall Aerohive</t>
  </si>
  <si>
    <t>Snap Creative</t>
  </si>
  <si>
    <t>POTS Project Management / Process improvement</t>
  </si>
  <si>
    <t>8-Jun</t>
  </si>
  <si>
    <t>POTS backup batteries</t>
  </si>
  <si>
    <t>POTS Quickbooks Project</t>
  </si>
  <si>
    <t>POTS offsite backup</t>
  </si>
  <si>
    <t>POTS Andy's dual monitors</t>
  </si>
  <si>
    <t>19-Apr</t>
  </si>
  <si>
    <t>POTS mac pro for Casey</t>
  </si>
  <si>
    <t>Driltek</t>
  </si>
  <si>
    <t>MS</t>
  </si>
  <si>
    <t>1-Jan</t>
  </si>
  <si>
    <t xml:space="preserve">Nordson Medical </t>
  </si>
  <si>
    <t>EDM Services, Inc.</t>
  </si>
  <si>
    <t xml:space="preserve">POTS 30 min cyber security presentation </t>
  </si>
  <si>
    <t>Clean Foods</t>
  </si>
  <si>
    <t>POTS email domain overhaul</t>
  </si>
  <si>
    <t>POTS security cameras</t>
  </si>
  <si>
    <t>ClarityRx Clinical Skin Care, Inc.</t>
  </si>
  <si>
    <t>POTS phone cable</t>
  </si>
  <si>
    <t>POTS home office cabling</t>
  </si>
  <si>
    <t>Lilac Patisserie</t>
  </si>
  <si>
    <t>POTS POS System</t>
  </si>
  <si>
    <t>Beach House Fish</t>
  </si>
  <si>
    <t>Cabling</t>
  </si>
  <si>
    <t>27-Apr</t>
  </si>
  <si>
    <t xml:space="preserve">MS </t>
  </si>
  <si>
    <t>Phone cutover</t>
  </si>
  <si>
    <t>SW / Switch</t>
  </si>
  <si>
    <t xml:space="preserve">POTS printer </t>
  </si>
  <si>
    <t>Marsh Industries International</t>
  </si>
  <si>
    <t>POTS performance laptop</t>
  </si>
  <si>
    <t>8 - Quote in review</t>
  </si>
  <si>
    <t>Thaxton &amp; Associates</t>
  </si>
  <si>
    <t>POTS Assessment</t>
  </si>
  <si>
    <t>Duverger</t>
  </si>
  <si>
    <t>POTS EDI</t>
  </si>
  <si>
    <t>itracHealth</t>
  </si>
  <si>
    <t>Executive Property Management</t>
  </si>
  <si>
    <t>POTS switch</t>
  </si>
  <si>
    <t>POTS EPM cabling</t>
  </si>
  <si>
    <t>POTS office move</t>
  </si>
  <si>
    <t>Jeremy Wilson - Personal</t>
  </si>
  <si>
    <t>POTS upgrade mac RAM</t>
  </si>
  <si>
    <t>22-Apr</t>
  </si>
  <si>
    <t>Stuart Rose Heating and Air Conditioning</t>
  </si>
  <si>
    <t>POTS - PC Refresh (2) Reburb Computers</t>
  </si>
  <si>
    <t xml:space="preserve">POTS o365 licensing - May </t>
  </si>
  <si>
    <t>POTS Sharepoint</t>
  </si>
  <si>
    <t>Grand Total</t>
  </si>
  <si>
    <t>P1 Computer Refresh</t>
  </si>
  <si>
    <t>Quoting</t>
  </si>
  <si>
    <t>P1 Office365 Migration</t>
  </si>
  <si>
    <t>Qualifying</t>
  </si>
  <si>
    <t>XYZ Test Company</t>
  </si>
  <si>
    <t>TEST OPPORTUNITY</t>
  </si>
  <si>
    <t>New Opportunity</t>
  </si>
  <si>
    <t>P1 Downtown location</t>
  </si>
  <si>
    <t>P1 Sonicwall License Renewal</t>
  </si>
  <si>
    <t>On Hold</t>
  </si>
  <si>
    <t>P1 snipping tool</t>
  </si>
  <si>
    <t>4-May</t>
  </si>
  <si>
    <t>P1 PC Refresh - Win7 1 of 1</t>
  </si>
  <si>
    <t>Awaiting Client Approval</t>
  </si>
  <si>
    <t>P1 AWS - MS</t>
  </si>
  <si>
    <t>P1 PC Refresh 1 of 6</t>
  </si>
  <si>
    <t>P1 PC Refresh 2 of 6</t>
  </si>
  <si>
    <t>21-May</t>
  </si>
  <si>
    <t>G and R Concrete</t>
  </si>
  <si>
    <t>P1 PC Refresh</t>
  </si>
  <si>
    <t>Hod Dunbar</t>
  </si>
  <si>
    <t>P1 WiFI</t>
  </si>
  <si>
    <t>House of Ruth</t>
  </si>
  <si>
    <t>P1 Laptop</t>
  </si>
  <si>
    <t>P1 New Printer</t>
  </si>
  <si>
    <t>P1 replace all computers HDD</t>
  </si>
  <si>
    <t>P1 replace all computers SSD</t>
  </si>
  <si>
    <t>P1 VoIP Proposal</t>
  </si>
  <si>
    <t>Jack Built</t>
  </si>
  <si>
    <t>P1 MS</t>
  </si>
  <si>
    <t>P1 iMac Hard Drive</t>
  </si>
  <si>
    <t>Ojai Oil Company</t>
  </si>
  <si>
    <t>P1 AWS - test server</t>
  </si>
  <si>
    <t>P1 AWS Migration</t>
  </si>
  <si>
    <t>P1 ABAS-3 server setup</t>
  </si>
  <si>
    <t>Pilot Automotive</t>
  </si>
  <si>
    <t>P1 Wi-Fi (Aerohive)</t>
  </si>
  <si>
    <t>Project Sister Family Services</t>
  </si>
  <si>
    <t xml:space="preserve">P1 CURV server renewal Serial HHMQ082	</t>
  </si>
  <si>
    <t>Needs Invoice</t>
  </si>
  <si>
    <t>Ransom Seed Laboratory</t>
  </si>
  <si>
    <t>P1 8x8</t>
  </si>
  <si>
    <t>24-May</t>
  </si>
  <si>
    <t>Smile Shapers</t>
  </si>
  <si>
    <t>P1 Server</t>
  </si>
  <si>
    <t>P1 Server (low)</t>
  </si>
  <si>
    <t>P1 Sodo Server</t>
  </si>
  <si>
    <t>Ventura Harley</t>
  </si>
  <si>
    <t>ZNS</t>
  </si>
  <si>
    <t>P1 Office365 Migratin</t>
  </si>
  <si>
    <t>P1 Server Option 1</t>
  </si>
  <si>
    <t>P1 Server option 2</t>
  </si>
  <si>
    <t>P1 Site location setup</t>
  </si>
  <si>
    <t>16-May</t>
  </si>
  <si>
    <t>P1 Raise AWS amount they pay</t>
  </si>
  <si>
    <t>27-Jun</t>
  </si>
  <si>
    <t>P1 DYNAMICS Migration Project</t>
  </si>
  <si>
    <t>P1 PC Refresh 3 of 6</t>
  </si>
  <si>
    <t>18-Jun</t>
  </si>
  <si>
    <t>99% sure will come in by EOM</t>
  </si>
  <si>
    <t>Recurring - move to June. Deciding this month to start June 1 - Chad to call</t>
  </si>
  <si>
    <t>Charlie to f/u</t>
  </si>
  <si>
    <t>Will get 1 of 2 - customer has become unresponsive. Required to buy new computer. Pricing not issue. Need to find out - when is the grant due? Chad to call customer</t>
  </si>
  <si>
    <t>Will get 1 of 2</t>
  </si>
  <si>
    <t>Approved. Waiting for invoice. f/u if don’t receive by 5/14</t>
  </si>
  <si>
    <t>Chad get this off list - Add to/create drip list?</t>
  </si>
  <si>
    <t>Setting up thin client today. Will have answer this week how it work. F/u if don’t hear back by 5/14. How can we make more money from them!!!! :)</t>
  </si>
  <si>
    <t>Close</t>
  </si>
  <si>
    <t>Want it, no pressing need. IT wants - eventually will come in. Move close date? Adnana meeting with them 5/10</t>
  </si>
  <si>
    <t>Move to purchasing board - add notes as to what we are doing!</t>
  </si>
  <si>
    <t>Chad to call this week - will know definite yes or no</t>
  </si>
  <si>
    <t>Will get 1 of 2 - agreed for 2 PC refreshes/mo. F/u by 5/14</t>
  </si>
  <si>
    <t>Adnan meeting with them - will know yes v no</t>
  </si>
  <si>
    <t>recurring - has to happen, forced to upgrade. F/u try to get meeting with CEO</t>
  </si>
  <si>
    <t>Move to June</t>
  </si>
  <si>
    <t>Remove</t>
  </si>
  <si>
    <t>Close Date</t>
  </si>
  <si>
    <t>&lt;5/18/2018</t>
  </si>
  <si>
    <t>POTS refurbished laptops (3)</t>
  </si>
  <si>
    <t>18-May</t>
  </si>
  <si>
    <t>Waiting client approval - change stage</t>
  </si>
  <si>
    <t>POTS WiFI</t>
  </si>
  <si>
    <t>POTS replace all computers HDD</t>
  </si>
  <si>
    <t>Move close date out of May - CSAT. Need to have an in person meeting with Adnan and Chad</t>
  </si>
  <si>
    <t>POTS replace all computers SSD</t>
  </si>
  <si>
    <t>same as above</t>
  </si>
  <si>
    <t>POTS AWS - test server</t>
  </si>
  <si>
    <t>Move Close date to June?</t>
  </si>
  <si>
    <t>POTS monitors (3)</t>
  </si>
  <si>
    <t>Invoiced this week - waiting client approval</t>
  </si>
  <si>
    <t>POTS AWS MS</t>
  </si>
  <si>
    <t>POTS o365</t>
  </si>
  <si>
    <t xml:space="preserve">Making decision on 5/29 (Tues) </t>
  </si>
  <si>
    <t>POTS Raise AWS amount they pay</t>
  </si>
  <si>
    <t>California Center for Public Health Advocacy</t>
  </si>
  <si>
    <t>POTS monthly website maintenance</t>
  </si>
  <si>
    <t>4-Jun</t>
  </si>
  <si>
    <t>Need to update Revenue $$ - website maintenance monthly fee</t>
  </si>
  <si>
    <t>POTS DYNAMICS Migration Project</t>
  </si>
  <si>
    <t>need to f.u</t>
  </si>
  <si>
    <t>POTS PC Refresh 1 of 6</t>
  </si>
  <si>
    <t>POTS PC Refresh 2 of 6</t>
  </si>
  <si>
    <t>need to f/u</t>
  </si>
  <si>
    <t>POTS server environment upgrade</t>
  </si>
  <si>
    <t>Need to update Revenue $$, update close month</t>
  </si>
  <si>
    <t>POTS iMac Hard Drive</t>
  </si>
  <si>
    <t>invoiced?</t>
  </si>
  <si>
    <t>POTS Wi-Fi (Aerohive)</t>
  </si>
  <si>
    <t>Adnan to intro Chad and make sure proper "hand over"</t>
  </si>
  <si>
    <t>POTS Site location setup</t>
  </si>
  <si>
    <t>New site</t>
  </si>
  <si>
    <t>ACT - cabling for DT LA Office</t>
  </si>
  <si>
    <t>Company</t>
  </si>
  <si>
    <t>(Multiple Items)</t>
  </si>
  <si>
    <t>(All)</t>
  </si>
  <si>
    <t>Campaign</t>
  </si>
  <si>
    <t>POTS-Server Replacement</t>
  </si>
  <si>
    <t>Dec Total</t>
  </si>
  <si>
    <t>Sales Campaign Forecast</t>
  </si>
  <si>
    <t xml:space="preserve">Total </t>
  </si>
  <si>
    <t>January</t>
  </si>
  <si>
    <t>February</t>
  </si>
  <si>
    <t>March</t>
  </si>
  <si>
    <t>July</t>
  </si>
  <si>
    <t>August</t>
  </si>
  <si>
    <t>September</t>
  </si>
  <si>
    <t>October</t>
  </si>
  <si>
    <t>November</t>
  </si>
  <si>
    <t>December</t>
  </si>
  <si>
    <t>POTS - 2011 Small Business Server</t>
  </si>
  <si>
    <t>POTS - Aerohive Renewal</t>
  </si>
  <si>
    <t>POTS - MSFT License Migration</t>
  </si>
  <si>
    <t>POTS - PC Refresh 2019</t>
  </si>
  <si>
    <t>POTS - Server 2008 EOL</t>
  </si>
  <si>
    <t>POTS - Server Renewal</t>
  </si>
  <si>
    <t>POTS - Sonicwall Renewal</t>
  </si>
  <si>
    <t>POTS - VoIP Migration</t>
  </si>
  <si>
    <t>POTS-SSL Renewal</t>
  </si>
  <si>
    <t>Year</t>
  </si>
  <si>
    <t>Status2</t>
  </si>
  <si>
    <t>Column Labels</t>
  </si>
  <si>
    <t>Count of Revenue</t>
  </si>
  <si>
    <t>CWiggins</t>
  </si>
  <si>
    <t>Won</t>
  </si>
  <si>
    <t>jelbek</t>
  </si>
  <si>
    <t>Open</t>
  </si>
  <si>
    <t>Short Description</t>
  </si>
  <si>
    <t>Tag</t>
  </si>
  <si>
    <t>8x8 VoIP Telephone</t>
  </si>
  <si>
    <t>VoIP</t>
  </si>
  <si>
    <t>Backup Data Offsite</t>
  </si>
  <si>
    <t>Backup Management License - Data</t>
  </si>
  <si>
    <t>Backup Management License - Exchange</t>
  </si>
  <si>
    <t>Backup Management License - Image</t>
  </si>
  <si>
    <t>Backup Management License - SQL</t>
  </si>
  <si>
    <t>Battery Backup - Desktop Computer</t>
  </si>
  <si>
    <t>Battery Backup - Server Grade</t>
  </si>
  <si>
    <t>Cabling Hardware</t>
  </si>
  <si>
    <t>Cabling Services</t>
  </si>
  <si>
    <t>California Fee - Electronic Waste Recycling</t>
  </si>
  <si>
    <t>Cloud Services/Hosted Server/Collocation</t>
  </si>
  <si>
    <t>Computer - Dell Monitor</t>
  </si>
  <si>
    <t>Computer - Desktop Standard</t>
  </si>
  <si>
    <t>Computer - Laptop Standard</t>
  </si>
  <si>
    <t>Computer - Monitor 24"</t>
  </si>
  <si>
    <t>Computer - Wireless Keyboard / Mouse</t>
  </si>
  <si>
    <t>Computer Cable DVI</t>
  </si>
  <si>
    <t>Computer Headset</t>
  </si>
  <si>
    <t>Dell Latitude HDD</t>
  </si>
  <si>
    <t>Desktop - Standard Optiplex</t>
  </si>
  <si>
    <t>Email Security Appliance</t>
  </si>
  <si>
    <t>Email Security System</t>
  </si>
  <si>
    <t>Ethernet Cable</t>
  </si>
  <si>
    <t>Firewall - Licenses SonicWall SSL VPN - Qty 5</t>
  </si>
  <si>
    <t>License - HeroTech O365 Business Essentials</t>
  </si>
  <si>
    <t>License - HeroTech O365 Business Premium</t>
  </si>
  <si>
    <t>License - HeroTech O365 Enterprise E3</t>
  </si>
  <si>
    <t>License - HeroTech O365 Kiosk</t>
  </si>
  <si>
    <t>License - MS Azure Information Protection Plan 1</t>
  </si>
  <si>
    <t>License - MS Exchange Online Kiosk</t>
  </si>
  <si>
    <t>License - MS Exchange Online Protection</t>
  </si>
  <si>
    <t>License - MS O365 Business Essentials</t>
  </si>
  <si>
    <t>License - MS O365 Business Premium</t>
  </si>
  <si>
    <t>License - MS O365 E3</t>
  </si>
  <si>
    <t>License - MS O365 Enterprise E1</t>
  </si>
  <si>
    <t>License - MS O365 Exchange Online (Plan 1)</t>
  </si>
  <si>
    <t>License - MS O365 ProPlus</t>
  </si>
  <si>
    <t>License - MS Office 2019 Home &amp; Business</t>
  </si>
  <si>
    <t>License - MS Office 365 Business</t>
  </si>
  <si>
    <t>License - MS Office365 Pro Plus</t>
  </si>
  <si>
    <t>License - Office 365 Business Enterprise E3</t>
  </si>
  <si>
    <t>License - Office 365 Business Essentials</t>
  </si>
  <si>
    <t>License - Office 365 Business Essentials (Nonprofit/Free)</t>
  </si>
  <si>
    <t>License - Office 365 Business Premium</t>
  </si>
  <si>
    <t>License - Office 365 Enterprise E3 (Nonprofit)</t>
  </si>
  <si>
    <t>License - Office 365 Enterprise E5</t>
  </si>
  <si>
    <t>License - Office 365 Exchange Online (Plan 1)</t>
  </si>
  <si>
    <t>License - Office 365 Exchange Online (Plan 2)</t>
  </si>
  <si>
    <t>License - Office 365 Kiosk</t>
  </si>
  <si>
    <t>License - Office 365 Skype for Business Online (Plan 2)</t>
  </si>
  <si>
    <t>License - SharePoint Online (Plan 1)</t>
  </si>
  <si>
    <t>License - Visio Online (Plan 2)</t>
  </si>
  <si>
    <t>License - Visio Online Plan 2</t>
  </si>
  <si>
    <t>License - VMWare 1 Yr Renewal</t>
  </si>
  <si>
    <t>License - Windows 10 Pro</t>
  </si>
  <si>
    <t>Managed Server(s)</t>
  </si>
  <si>
    <t>Managed Workstation</t>
  </si>
  <si>
    <t>Miscellaneous</t>
  </si>
  <si>
    <t>Miscellaneous - Hardware</t>
  </si>
  <si>
    <t>Network Attached Storage Device (NAS)</t>
  </si>
  <si>
    <t>Office Relocation</t>
  </si>
  <si>
    <t>Optiplex 7060</t>
  </si>
  <si>
    <t>RAM Memory</t>
  </si>
  <si>
    <t>Refurbished Desktop</t>
  </si>
  <si>
    <t>Refurbished Laptop</t>
  </si>
  <si>
    <t>Security/Alerting/N.O.C.</t>
  </si>
  <si>
    <t>Server - Server Warranty</t>
  </si>
  <si>
    <t>Services - Admin Fee</t>
  </si>
  <si>
    <t>Services - Adword Marketing</t>
  </si>
  <si>
    <t>RedyRef</t>
  </si>
  <si>
    <t>Services - Client Discount</t>
  </si>
  <si>
    <t>Services - Cloud Services/Hosted Server/Collocation</t>
  </si>
  <si>
    <t>Services - Consulting Services Deferred</t>
  </si>
  <si>
    <t>Services - Directory/Kiosk Installation RedyRef</t>
  </si>
  <si>
    <t>Services - Directory/Kiosk Onsite Service RedyRef</t>
  </si>
  <si>
    <t>Services - End User Support Help Desk</t>
  </si>
  <si>
    <t>Services - FTE Onsite Technician 8 hrs</t>
  </si>
  <si>
    <t>Services - HeroTech Managed Services</t>
  </si>
  <si>
    <t>Services - HeroTech Monitoring Services</t>
  </si>
  <si>
    <t>Services - Monitoring and Alerting</t>
  </si>
  <si>
    <t>Services - Office 365 Hosted Exchange Project / Migration</t>
  </si>
  <si>
    <t>Services - Sales Channel Development</t>
  </si>
  <si>
    <t>Services - Sales Commission</t>
  </si>
  <si>
    <t>Services - Sales Operations</t>
  </si>
  <si>
    <t>Services - Server Warranty</t>
  </si>
  <si>
    <t>Services - Technology Managed Services</t>
  </si>
  <si>
    <t>Services - VOIP Monthly Services</t>
  </si>
  <si>
    <t>Services - VOIP Services</t>
  </si>
  <si>
    <t>Services - Website Development / Admin</t>
  </si>
  <si>
    <t>Services - Workstation Installation and Configuration</t>
  </si>
  <si>
    <t>Shipping and Handling Expedited</t>
  </si>
  <si>
    <t>Software - Add Description</t>
  </si>
  <si>
    <t>Technology Consulting Services</t>
  </si>
  <si>
    <t>Total Secure Annual Renewal</t>
  </si>
  <si>
    <t>TZ300 CGSS Renewal</t>
  </si>
  <si>
    <t>TZ400 CGSS Renewal</t>
  </si>
  <si>
    <t>TZ500 CGSS Renewal</t>
  </si>
  <si>
    <t>TZ600 CGSS Renewal</t>
  </si>
  <si>
    <t>WIFI - Aerohive HiveManager (1yr Support)</t>
  </si>
  <si>
    <t>Wyse 3040 Thin Client (TC OS)</t>
  </si>
  <si>
    <t>&lt;6/20/2018</t>
  </si>
  <si>
    <t>POTS Sonicwall License Renewal</t>
  </si>
  <si>
    <t>POTS tablets</t>
  </si>
  <si>
    <t>approved? f/u with jasmine</t>
  </si>
  <si>
    <t>POTS server warranty renewal</t>
  </si>
  <si>
    <t>f/u with Jasmine</t>
  </si>
  <si>
    <t>POTS onsite visit Palm Desert</t>
  </si>
  <si>
    <t>already invoiced. Change $ to 0 and move to dec 2017 or won at $0</t>
  </si>
  <si>
    <t>POTS 4 Laptops</t>
  </si>
  <si>
    <t>already invocied</t>
  </si>
  <si>
    <t>POTS 12 Sonicwalls</t>
  </si>
  <si>
    <t>POTS Palm Desert Site Visit 2</t>
  </si>
  <si>
    <t>POTS Z&amp;S Sonicwall NSA2600</t>
  </si>
  <si>
    <t>Laptop for Brinton Watts</t>
  </si>
  <si>
    <t>20-Jun</t>
  </si>
  <si>
    <t xml:space="preserve">update to POTS, $5000 = waiting for approval </t>
  </si>
  <si>
    <t>HeroTech</t>
  </si>
  <si>
    <t>POTS o365 migration (EDM Services)</t>
  </si>
  <si>
    <t>f/u with Shaun</t>
  </si>
  <si>
    <t>POTS PC Refresh</t>
  </si>
  <si>
    <t>16-Jul</t>
  </si>
  <si>
    <t>15-Jul</t>
  </si>
  <si>
    <t>move to Aug? how can we make this easier?</t>
  </si>
  <si>
    <t>move to aug</t>
  </si>
  <si>
    <t>2-Jul</t>
  </si>
  <si>
    <t>change stage</t>
  </si>
  <si>
    <t>1-Jul</t>
  </si>
  <si>
    <t>POTS Computer Purchase</t>
  </si>
  <si>
    <t>POTS 4 computers</t>
  </si>
  <si>
    <t>POTS 4 computers - August</t>
  </si>
  <si>
    <t>POTS MDaemon</t>
  </si>
  <si>
    <t>POTS - aprox 20 site visits</t>
  </si>
  <si>
    <t>POTS VoIP (MS)</t>
  </si>
  <si>
    <t>POTS VoIP telephone configuration</t>
  </si>
  <si>
    <t>POTS 20 user cals</t>
  </si>
  <si>
    <t>POTS 10 computers</t>
  </si>
  <si>
    <t>POTS Sonicwall replacements - qty 11</t>
  </si>
  <si>
    <t>POTS computer replacement</t>
  </si>
  <si>
    <t>&lt;6/15/2018</t>
  </si>
  <si>
    <t>Chad to call tomorrow - push to July?</t>
  </si>
  <si>
    <t xml:space="preserve">spoke last week - ready to move forward </t>
  </si>
  <si>
    <t>move to July?</t>
  </si>
  <si>
    <t>already invoiced - remove</t>
  </si>
  <si>
    <t>POTS San Diego Office</t>
  </si>
  <si>
    <t>19-Jun</t>
  </si>
  <si>
    <t>approved by EDM - invoice HT by EOM</t>
  </si>
  <si>
    <t>verbally committed - need to f/u</t>
  </si>
  <si>
    <t>need to f/u - review oppty and validate</t>
  </si>
  <si>
    <t>try to do a drop in</t>
  </si>
  <si>
    <t>POTS 20 computers</t>
  </si>
  <si>
    <t>update price</t>
  </si>
  <si>
    <t>POTS Sonicwall Global Manager</t>
  </si>
  <si>
    <t>Charlie and Chad discuss</t>
  </si>
  <si>
    <t>&lt;12/31/2017</t>
  </si>
  <si>
    <t xml:space="preserve"> POTS Migrate to cloud and o365</t>
  </si>
  <si>
    <t xml:space="preserve">Move close date. </t>
  </si>
  <si>
    <t>POTS ACT DT additional hardware</t>
  </si>
  <si>
    <t>11-Jun</t>
  </si>
  <si>
    <t>Pending relationship</t>
  </si>
  <si>
    <t>Sch call with client</t>
  </si>
  <si>
    <t>Waiting for call back from owner</t>
  </si>
  <si>
    <t>Move close date to July</t>
  </si>
  <si>
    <t>F/u on invoice</t>
  </si>
  <si>
    <t>Liking, testing, pointing to yes</t>
  </si>
  <si>
    <t>POTS Hybrid Exchange</t>
  </si>
  <si>
    <t>:) - making decision this week</t>
  </si>
  <si>
    <t>BLUDOG Telecom</t>
  </si>
  <si>
    <t>POTS Lead Generation Project</t>
  </si>
  <si>
    <t>remove opp</t>
  </si>
  <si>
    <t>POTS PC Refresh 3 of 6</t>
  </si>
  <si>
    <t>&lt;5/10/2018</t>
  </si>
  <si>
    <t>P1 website maintenance updates</t>
  </si>
  <si>
    <t>10-May</t>
  </si>
  <si>
    <t>Dupe</t>
  </si>
  <si>
    <t>POTS Cabling LA Office</t>
  </si>
  <si>
    <t>POTS Sonos Speakers</t>
  </si>
  <si>
    <t>Push to Aug</t>
  </si>
  <si>
    <t>Chad to call</t>
  </si>
  <si>
    <t>Need to follow up - do it then invoice… :)</t>
  </si>
  <si>
    <t>Need to call Ash - verify approvals and next steps</t>
  </si>
  <si>
    <t>Quote in review</t>
  </si>
  <si>
    <t>Need to call - get a firm Yes or No and date</t>
  </si>
  <si>
    <t>Update Amount</t>
  </si>
  <si>
    <t>POTS 200 computers</t>
  </si>
  <si>
    <t xml:space="preserve">Rename Opp - 20 computers </t>
  </si>
  <si>
    <t>POTS o365 or Hybrid Exchange</t>
  </si>
  <si>
    <t>Will come in - need to clarify WHEN</t>
  </si>
  <si>
    <t xml:space="preserve">POTS wireless access points (4) </t>
  </si>
  <si>
    <t>POTS Endless Comm for ACT Van Nuys</t>
  </si>
  <si>
    <t>9-Jul</t>
  </si>
  <si>
    <t>Clean up July</t>
  </si>
  <si>
    <t>POTS Network Cabling - LA</t>
  </si>
  <si>
    <t>29-May</t>
  </si>
  <si>
    <t>approved</t>
  </si>
  <si>
    <t>move to June</t>
  </si>
  <si>
    <t>P1 website updates</t>
  </si>
  <si>
    <t>Dupe - delete one</t>
  </si>
  <si>
    <t>POTS laptop (dolores)</t>
  </si>
  <si>
    <t>invoiced</t>
  </si>
  <si>
    <t>POTS 20 computers (refurb)</t>
  </si>
  <si>
    <t>May come in for May. If not, will push to June</t>
  </si>
  <si>
    <t xml:space="preserve">Dupe - delete </t>
  </si>
  <si>
    <t>dupe - delete</t>
  </si>
  <si>
    <t>move to july</t>
  </si>
  <si>
    <t>Need to call and f/u</t>
  </si>
  <si>
    <t>Need to finish building proposal; Call ash about another invoice need to pay</t>
  </si>
  <si>
    <t>reach out - push to July</t>
  </si>
  <si>
    <t>Meeting on thurs 5/31</t>
  </si>
  <si>
    <t>POTS Aerohive</t>
  </si>
  <si>
    <t xml:space="preserve">Chad sent final approval </t>
  </si>
  <si>
    <t xml:space="preserve">Chad to call. Main contact MIA. </t>
  </si>
  <si>
    <t>Inland Valley Hope Partners</t>
  </si>
  <si>
    <t xml:space="preserve">P1 Refurbished Desktop </t>
  </si>
  <si>
    <t>Waiting for final approval</t>
  </si>
  <si>
    <t>Move to June - opp could be bigger!</t>
  </si>
  <si>
    <t>P1 MS increase</t>
  </si>
  <si>
    <t xml:space="preserve">June </t>
  </si>
  <si>
    <t xml:space="preserve">June - Adnan to upgrate exchange, Charlie to update the June 1 Invoice </t>
  </si>
  <si>
    <t>P1 AWS MS</t>
  </si>
  <si>
    <t>June - Chad to f/u</t>
  </si>
  <si>
    <t>Could be pro-rated for May. If not, will be June</t>
  </si>
  <si>
    <t>P1 o365</t>
  </si>
  <si>
    <t>Will close, may push to June?</t>
  </si>
  <si>
    <t>update cost</t>
  </si>
  <si>
    <t>f/u</t>
  </si>
  <si>
    <t>Won in May - update, set to needs invoice</t>
  </si>
  <si>
    <t>&lt;5/9/2018</t>
  </si>
  <si>
    <t>P1 Battery Backup - Server Grade</t>
  </si>
  <si>
    <t>9-May</t>
  </si>
  <si>
    <t>P1 cynthia headset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</si>
</sst>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_(&quot;$&quot;* #,##0_);_(&quot;$&quot;* \(#,##0\);_(&quot;$&quot;* &quot;-&quot;?_);_(@_)"/>
    <numFmt numFmtId="169" formatCode="_(&quot;$&quot;* #,##0.0_);_(&quot;$&quot;* \(#,##0.0\);_(&quot;$&quot;* &quot;-&quot;?_);_(@_)"/>
    <numFmt numFmtId="170" formatCode="_(* #,##0_);_(* \(#,##0\);_(* &quot;-&quot;??_);_(@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4C1E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0" fillId="0" borderId="10" xfId="0" applyBorder="1"/>
    <xf numFmtId="165" fontId="0" fillId="0" borderId="10" xfId="0" applyNumberFormat="1" applyBorder="1"/>
    <xf numFmtId="0" fontId="13" fillId="34" borderId="18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35" borderId="0" xfId="0" applyNumberFormat="1" applyFill="1"/>
    <xf numFmtId="164" fontId="0" fillId="35" borderId="10" xfId="0" applyNumberFormat="1" applyFill="1" applyBorder="1"/>
    <xf numFmtId="164" fontId="0" fillId="36" borderId="0" xfId="0" applyNumberFormat="1" applyFill="1"/>
    <xf numFmtId="0" fontId="0" fillId="37" borderId="10" xfId="0" applyFill="1" applyBorder="1" applyAlignment="1">
      <alignment horizontal="left" indent="1"/>
    </xf>
    <xf numFmtId="0" fontId="0" fillId="37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38" borderId="10" xfId="0" applyFill="1" applyBorder="1"/>
    <xf numFmtId="0" fontId="0" fillId="0" borderId="10" xfId="0" applyBorder="1" applyAlignment="1">
      <alignment horizontal="left" indent="1"/>
    </xf>
    <xf numFmtId="0" fontId="0" fillId="39" borderId="10" xfId="0" applyFill="1" applyBorder="1"/>
    <xf numFmtId="164" fontId="0" fillId="36" borderId="10" xfId="0" applyNumberFormat="1" applyFill="1" applyBorder="1"/>
    <xf numFmtId="0" fontId="0" fillId="40" borderId="0" xfId="0" applyFill="1" applyAlignment="1">
      <alignment horizontal="left" indent="1"/>
    </xf>
    <xf numFmtId="0" fontId="0" fillId="41" borderId="0" xfId="0" applyFill="1"/>
    <xf numFmtId="0" fontId="0" fillId="39" borderId="0" xfId="0" applyFill="1"/>
    <xf numFmtId="0" fontId="0" fillId="41" borderId="10" xfId="0" applyFill="1" applyBorder="1"/>
    <xf numFmtId="0" fontId="17" fillId="42" borderId="10" xfId="0" applyFont="1" applyFill="1" applyBorder="1"/>
    <xf numFmtId="164" fontId="17" fillId="42" borderId="10" xfId="0" applyNumberFormat="1" applyFont="1" applyFill="1" applyBorder="1"/>
    <xf numFmtId="0" fontId="13" fillId="42" borderId="10" xfId="0" applyFont="1" applyFill="1" applyBorder="1" applyAlignment="1">
      <alignment horizontal="left"/>
    </xf>
    <xf numFmtId="0" fontId="16" fillId="0" borderId="10" xfId="0" applyFont="1" applyBorder="1"/>
    <xf numFmtId="166" fontId="0" fillId="0" borderId="0" xfId="42" applyNumberFormat="1" applyFont="1"/>
    <xf numFmtId="164" fontId="16" fillId="0" borderId="10" xfId="0" applyNumberFormat="1" applyFont="1" applyBorder="1"/>
    <xf numFmtId="0" fontId="0" fillId="0" borderId="10" xfId="0" pivotButton="1" applyBorder="1"/>
    <xf numFmtId="164" fontId="0" fillId="39" borderId="0" xfId="0" applyNumberFormat="1" applyFill="1"/>
    <xf numFmtId="0" fontId="0" fillId="44" borderId="0" xfId="0" applyFill="1"/>
    <xf numFmtId="165" fontId="16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left"/>
    </xf>
    <xf numFmtId="9" fontId="0" fillId="0" borderId="0" xfId="42" applyFont="1" applyBorder="1"/>
    <xf numFmtId="0" fontId="0" fillId="0" borderId="0" xfId="0" applyAlignment="1">
      <alignment horizontal="left" indent="2"/>
    </xf>
    <xf numFmtId="165" fontId="0" fillId="0" borderId="29" xfId="0" applyNumberFormat="1" applyBorder="1"/>
    <xf numFmtId="0" fontId="0" fillId="0" borderId="20" xfId="0" applyBorder="1" applyAlignment="1">
      <alignment vertical="center"/>
    </xf>
    <xf numFmtId="164" fontId="0" fillId="0" borderId="19" xfId="0" applyNumberFormat="1" applyBorder="1"/>
    <xf numFmtId="0" fontId="16" fillId="0" borderId="30" xfId="0" applyFont="1" applyBorder="1"/>
    <xf numFmtId="0" fontId="23" fillId="0" borderId="40" xfId="0" applyFont="1" applyBorder="1" applyAlignment="1">
      <alignment vertical="center"/>
    </xf>
    <xf numFmtId="0" fontId="23" fillId="0" borderId="41" xfId="0" applyFont="1" applyBorder="1" applyAlignment="1">
      <alignment vertical="center"/>
    </xf>
    <xf numFmtId="0" fontId="24" fillId="0" borderId="42" xfId="0" applyFont="1" applyBorder="1" applyAlignment="1">
      <alignment vertical="center"/>
    </xf>
    <xf numFmtId="0" fontId="22" fillId="0" borderId="43" xfId="0" applyFont="1" applyBorder="1"/>
    <xf numFmtId="0" fontId="23" fillId="0" borderId="4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3" fillId="45" borderId="42" xfId="0" applyFont="1" applyFill="1" applyBorder="1" applyAlignment="1">
      <alignment vertical="center"/>
    </xf>
    <xf numFmtId="0" fontId="22" fillId="45" borderId="43" xfId="0" applyFont="1" applyFill="1" applyBorder="1"/>
    <xf numFmtId="0" fontId="22" fillId="0" borderId="42" xfId="0" applyFont="1" applyBorder="1"/>
    <xf numFmtId="0" fontId="23" fillId="0" borderId="0" xfId="0" applyFont="1" applyAlignment="1">
      <alignment vertical="center"/>
    </xf>
    <xf numFmtId="0" fontId="22" fillId="0" borderId="0" xfId="0" applyFont="1"/>
    <xf numFmtId="0" fontId="22" fillId="45" borderId="0" xfId="0" applyFont="1" applyFill="1"/>
    <xf numFmtId="0" fontId="22" fillId="0" borderId="44" xfId="0" applyFont="1" applyBorder="1"/>
    <xf numFmtId="0" fontId="0" fillId="0" borderId="0" xfId="0" applyAlignment="1">
      <alignment horizontal="center" vertical="center"/>
    </xf>
    <xf numFmtId="165" fontId="16" fillId="0" borderId="0" xfId="0" applyNumberFormat="1" applyFont="1"/>
    <xf numFmtId="0" fontId="0" fillId="0" borderId="3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5" xfId="0" applyBorder="1"/>
    <xf numFmtId="164" fontId="0" fillId="0" borderId="39" xfId="0" applyNumberFormat="1" applyBorder="1"/>
    <xf numFmtId="164" fontId="0" fillId="0" borderId="38" xfId="0" applyNumberFormat="1" applyBorder="1"/>
    <xf numFmtId="0" fontId="0" fillId="0" borderId="47" xfId="0" applyBorder="1" applyAlignment="1">
      <alignment vertical="center"/>
    </xf>
    <xf numFmtId="164" fontId="0" fillId="0" borderId="31" xfId="0" applyNumberFormat="1" applyBorder="1"/>
    <xf numFmtId="0" fontId="0" fillId="0" borderId="48" xfId="0" applyBorder="1" applyAlignment="1">
      <alignment vertical="center"/>
    </xf>
    <xf numFmtId="0" fontId="0" fillId="0" borderId="47" xfId="0" applyBorder="1"/>
    <xf numFmtId="165" fontId="20" fillId="0" borderId="10" xfId="0" applyNumberFormat="1" applyFont="1" applyBorder="1"/>
    <xf numFmtId="0" fontId="0" fillId="39" borderId="0" xfId="0" applyFill="1" applyAlignment="1">
      <alignment horizontal="left" indent="1"/>
    </xf>
    <xf numFmtId="0" fontId="21" fillId="0" borderId="0" xfId="0" applyFont="1"/>
    <xf numFmtId="0" fontId="20" fillId="0" borderId="0" xfId="0" applyFont="1"/>
    <xf numFmtId="0" fontId="14" fillId="0" borderId="0" xfId="0" applyFont="1"/>
    <xf numFmtId="9" fontId="14" fillId="0" borderId="0" xfId="42" applyFont="1" applyBorder="1"/>
    <xf numFmtId="165" fontId="0" fillId="0" borderId="16" xfId="0" applyNumberFormat="1" applyBorder="1"/>
    <xf numFmtId="165" fontId="21" fillId="0" borderId="11" xfId="0" applyNumberFormat="1" applyFont="1" applyBorder="1"/>
    <xf numFmtId="0" fontId="16" fillId="0" borderId="28" xfId="0" applyFont="1" applyBorder="1" applyAlignment="1">
      <alignment horizontal="right"/>
    </xf>
    <xf numFmtId="165" fontId="16" fillId="0" borderId="13" xfId="0" applyNumberFormat="1" applyFont="1" applyBorder="1"/>
    <xf numFmtId="165" fontId="21" fillId="0" borderId="10" xfId="0" applyNumberFormat="1" applyFont="1" applyBorder="1"/>
    <xf numFmtId="0" fontId="16" fillId="0" borderId="49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165" fontId="21" fillId="0" borderId="16" xfId="0" applyNumberFormat="1" applyFont="1" applyBorder="1"/>
    <xf numFmtId="0" fontId="0" fillId="0" borderId="0" xfId="0" applyAlignment="1">
      <alignment horizontal="right"/>
    </xf>
    <xf numFmtId="165" fontId="19" fillId="0" borderId="17" xfId="0" applyNumberFormat="1" applyFont="1" applyBorder="1"/>
    <xf numFmtId="165" fontId="25" fillId="0" borderId="17" xfId="0" applyNumberFormat="1" applyFont="1" applyBorder="1"/>
    <xf numFmtId="0" fontId="19" fillId="43" borderId="23" xfId="0" applyFont="1" applyFill="1" applyBorder="1" applyAlignment="1">
      <alignment horizontal="center" vertical="center"/>
    </xf>
    <xf numFmtId="0" fontId="19" fillId="43" borderId="24" xfId="0" applyFont="1" applyFill="1" applyBorder="1" applyAlignment="1">
      <alignment horizontal="center" vertical="center"/>
    </xf>
    <xf numFmtId="165" fontId="21" fillId="0" borderId="33" xfId="0" applyNumberFormat="1" applyFont="1" applyBorder="1"/>
    <xf numFmtId="165" fontId="20" fillId="0" borderId="16" xfId="0" applyNumberFormat="1" applyFont="1" applyBorder="1"/>
    <xf numFmtId="167" fontId="0" fillId="0" borderId="0" xfId="43" applyNumberFormat="1" applyFont="1"/>
    <xf numFmtId="0" fontId="21" fillId="0" borderId="51" xfId="0" applyFont="1" applyBorder="1" applyAlignment="1">
      <alignment horizontal="center" vertical="center"/>
    </xf>
    <xf numFmtId="0" fontId="16" fillId="0" borderId="27" xfId="0" applyFont="1" applyBorder="1" applyAlignment="1">
      <alignment horizontal="right"/>
    </xf>
    <xf numFmtId="0" fontId="16" fillId="0" borderId="39" xfId="0" applyFont="1" applyBorder="1" applyAlignment="1">
      <alignment horizontal="right"/>
    </xf>
    <xf numFmtId="0" fontId="16" fillId="0" borderId="25" xfId="0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9" fontId="14" fillId="0" borderId="0" xfId="42" applyFont="1" applyFill="1" applyBorder="1"/>
    <xf numFmtId="165" fontId="28" fillId="0" borderId="17" xfId="0" applyNumberFormat="1" applyFont="1" applyBorder="1"/>
    <xf numFmtId="165" fontId="16" fillId="0" borderId="20" xfId="0" applyNumberFormat="1" applyFont="1" applyBorder="1"/>
    <xf numFmtId="0" fontId="16" fillId="47" borderId="0" xfId="0" applyFont="1" applyFill="1" applyAlignment="1">
      <alignment horizontal="right"/>
    </xf>
    <xf numFmtId="167" fontId="16" fillId="47" borderId="0" xfId="43" applyNumberFormat="1" applyFont="1" applyFill="1"/>
    <xf numFmtId="165" fontId="16" fillId="39" borderId="13" xfId="0" applyNumberFormat="1" applyFont="1" applyFill="1" applyBorder="1" applyAlignment="1">
      <alignment horizontal="center" vertical="center"/>
    </xf>
    <xf numFmtId="49" fontId="16" fillId="39" borderId="21" xfId="0" applyNumberFormat="1" applyFont="1" applyFill="1" applyBorder="1" applyAlignment="1">
      <alignment horizontal="center" vertical="center" wrapText="1"/>
    </xf>
    <xf numFmtId="167" fontId="16" fillId="0" borderId="0" xfId="43" applyNumberFormat="1" applyFont="1"/>
    <xf numFmtId="0" fontId="16" fillId="39" borderId="22" xfId="0" applyFont="1" applyFill="1" applyBorder="1" applyAlignment="1">
      <alignment horizontal="right"/>
    </xf>
    <xf numFmtId="165" fontId="21" fillId="39" borderId="16" xfId="0" applyNumberFormat="1" applyFont="1" applyFill="1" applyBorder="1"/>
    <xf numFmtId="0" fontId="13" fillId="48" borderId="0" xfId="0" applyFont="1" applyFill="1" applyAlignment="1">
      <alignment horizontal="center" vertical="center" wrapText="1"/>
    </xf>
    <xf numFmtId="0" fontId="16" fillId="48" borderId="0" xfId="0" applyFont="1" applyFill="1"/>
    <xf numFmtId="165" fontId="20" fillId="48" borderId="0" xfId="0" applyNumberFormat="1" applyFont="1" applyFill="1"/>
    <xf numFmtId="165" fontId="20" fillId="48" borderId="0" xfId="42" applyNumberFormat="1" applyFont="1" applyFill="1" applyBorder="1"/>
    <xf numFmtId="165" fontId="0" fillId="48" borderId="0" xfId="0" applyNumberFormat="1" applyFill="1"/>
    <xf numFmtId="0" fontId="26" fillId="48" borderId="0" xfId="0" applyFont="1" applyFill="1" applyAlignment="1">
      <alignment horizontal="center" vertical="center" wrapText="1"/>
    </xf>
    <xf numFmtId="0" fontId="25" fillId="48" borderId="0" xfId="0" applyFont="1" applyFill="1" applyAlignment="1">
      <alignment horizontal="right"/>
    </xf>
    <xf numFmtId="165" fontId="21" fillId="48" borderId="0" xfId="0" applyNumberFormat="1" applyFont="1" applyFill="1"/>
    <xf numFmtId="165" fontId="25" fillId="48" borderId="0" xfId="0" applyNumberFormat="1" applyFont="1" applyFill="1"/>
    <xf numFmtId="0" fontId="13" fillId="48" borderId="0" xfId="0" applyFont="1" applyFill="1" applyAlignment="1">
      <alignment horizontal="center" vertical="center"/>
    </xf>
    <xf numFmtId="165" fontId="18" fillId="48" borderId="0" xfId="0" applyNumberFormat="1" applyFont="1" applyFill="1"/>
    <xf numFmtId="0" fontId="0" fillId="48" borderId="0" xfId="0" applyFill="1"/>
    <xf numFmtId="0" fontId="16" fillId="48" borderId="0" xfId="0" applyFont="1" applyFill="1" applyAlignment="1">
      <alignment horizontal="right"/>
    </xf>
    <xf numFmtId="165" fontId="0" fillId="48" borderId="0" xfId="42" applyNumberFormat="1" applyFont="1" applyFill="1" applyBorder="1"/>
    <xf numFmtId="0" fontId="16" fillId="0" borderId="0" xfId="0" applyFont="1" applyAlignment="1">
      <alignment horizontal="right"/>
    </xf>
    <xf numFmtId="165" fontId="30" fillId="0" borderId="33" xfId="0" applyNumberFormat="1" applyFont="1" applyBorder="1"/>
    <xf numFmtId="0" fontId="21" fillId="0" borderId="0" xfId="0" applyFont="1" applyAlignment="1">
      <alignment horizontal="right"/>
    </xf>
    <xf numFmtId="0" fontId="16" fillId="49" borderId="0" xfId="0" applyFont="1" applyFill="1"/>
    <xf numFmtId="44" fontId="16" fillId="0" borderId="0" xfId="43" applyFont="1"/>
    <xf numFmtId="44" fontId="16" fillId="0" borderId="0" xfId="0" applyNumberFormat="1" applyFont="1"/>
    <xf numFmtId="167" fontId="21" fillId="47" borderId="0" xfId="43" applyNumberFormat="1" applyFont="1" applyFill="1"/>
    <xf numFmtId="167" fontId="20" fillId="0" borderId="0" xfId="43" applyNumberFormat="1" applyFont="1"/>
    <xf numFmtId="0" fontId="20" fillId="0" borderId="0" xfId="0" applyFont="1" applyAlignment="1">
      <alignment horizontal="left"/>
    </xf>
    <xf numFmtId="5" fontId="20" fillId="0" borderId="0" xfId="43" applyNumberFormat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165" fontId="20" fillId="0" borderId="11" xfId="0" applyNumberFormat="1" applyFont="1" applyBorder="1"/>
    <xf numFmtId="167" fontId="0" fillId="0" borderId="0" xfId="0" applyNumberFormat="1"/>
    <xf numFmtId="165" fontId="30" fillId="0" borderId="10" xfId="0" applyNumberFormat="1" applyFont="1" applyBorder="1"/>
    <xf numFmtId="0" fontId="0" fillId="33" borderId="13" xfId="0" applyFill="1" applyBorder="1" applyAlignment="1">
      <alignment horizontal="center"/>
    </xf>
    <xf numFmtId="165" fontId="16" fillId="48" borderId="0" xfId="0" applyNumberFormat="1" applyFont="1" applyFill="1"/>
    <xf numFmtId="165" fontId="16" fillId="47" borderId="13" xfId="0" applyNumberFormat="1" applyFont="1" applyFill="1" applyBorder="1"/>
    <xf numFmtId="165" fontId="16" fillId="47" borderId="10" xfId="0" applyNumberFormat="1" applyFont="1" applyFill="1" applyBorder="1"/>
    <xf numFmtId="165" fontId="29" fillId="47" borderId="10" xfId="0" applyNumberFormat="1" applyFont="1" applyFill="1" applyBorder="1"/>
    <xf numFmtId="165" fontId="19" fillId="47" borderId="33" xfId="0" applyNumberFormat="1" applyFont="1" applyFill="1" applyBorder="1"/>
    <xf numFmtId="165" fontId="21" fillId="47" borderId="16" xfId="0" applyNumberFormat="1" applyFont="1" applyFill="1" applyBorder="1"/>
    <xf numFmtId="165" fontId="16" fillId="47" borderId="11" xfId="0" applyNumberFormat="1" applyFont="1" applyFill="1" applyBorder="1"/>
    <xf numFmtId="165" fontId="21" fillId="47" borderId="13" xfId="0" applyNumberFormat="1" applyFont="1" applyFill="1" applyBorder="1"/>
    <xf numFmtId="164" fontId="16" fillId="0" borderId="0" xfId="0" applyNumberFormat="1" applyFont="1"/>
    <xf numFmtId="165" fontId="20" fillId="48" borderId="53" xfId="42" applyNumberFormat="1" applyFont="1" applyFill="1" applyBorder="1"/>
    <xf numFmtId="0" fontId="16" fillId="0" borderId="54" xfId="0" applyFont="1" applyBorder="1" applyAlignment="1">
      <alignment horizontal="right"/>
    </xf>
    <xf numFmtId="0" fontId="25" fillId="0" borderId="55" xfId="0" applyFont="1" applyBorder="1" applyAlignment="1">
      <alignment horizontal="right"/>
    </xf>
    <xf numFmtId="165" fontId="25" fillId="47" borderId="16" xfId="0" applyNumberFormat="1" applyFont="1" applyFill="1" applyBorder="1"/>
    <xf numFmtId="0" fontId="14" fillId="0" borderId="0" xfId="0" applyFont="1" applyAlignment="1">
      <alignment horizontal="left"/>
    </xf>
    <xf numFmtId="6" fontId="0" fillId="0" borderId="0" xfId="0" applyNumberFormat="1"/>
    <xf numFmtId="44" fontId="0" fillId="0" borderId="0" xfId="43" applyFont="1"/>
    <xf numFmtId="44" fontId="0" fillId="0" borderId="0" xfId="0" applyNumberFormat="1"/>
    <xf numFmtId="5" fontId="16" fillId="0" borderId="0" xfId="43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50" borderId="0" xfId="0" applyFont="1" applyFill="1"/>
    <xf numFmtId="0" fontId="20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1" fillId="50" borderId="0" xfId="0" applyFont="1" applyFill="1"/>
    <xf numFmtId="165" fontId="20" fillId="0" borderId="0" xfId="0" applyNumberFormat="1" applyFont="1"/>
    <xf numFmtId="44" fontId="14" fillId="0" borderId="0" xfId="43" applyFont="1"/>
    <xf numFmtId="168" fontId="0" fillId="0" borderId="0" xfId="0" applyNumberFormat="1"/>
    <xf numFmtId="0" fontId="0" fillId="0" borderId="0" xfId="0" applyAlignment="1">
      <alignment horizontal="center"/>
    </xf>
    <xf numFmtId="0" fontId="0" fillId="51" borderId="0" xfId="0" applyFill="1"/>
    <xf numFmtId="167" fontId="0" fillId="51" borderId="0" xfId="0" applyNumberFormat="1" applyFill="1"/>
    <xf numFmtId="0" fontId="0" fillId="52" borderId="0" xfId="0" applyFill="1"/>
    <xf numFmtId="167" fontId="0" fillId="52" borderId="0" xfId="0" applyNumberFormat="1" applyFill="1"/>
    <xf numFmtId="9" fontId="0" fillId="0" borderId="0" xfId="0" applyNumberFormat="1"/>
    <xf numFmtId="165" fontId="20" fillId="0" borderId="33" xfId="0" applyNumberFormat="1" applyFont="1" applyBorder="1"/>
    <xf numFmtId="167" fontId="16" fillId="38" borderId="0" xfId="43" applyNumberFormat="1" applyFont="1" applyFill="1"/>
    <xf numFmtId="165" fontId="20" fillId="0" borderId="0" xfId="43" applyNumberFormat="1" applyFont="1"/>
    <xf numFmtId="165" fontId="20" fillId="0" borderId="0" xfId="43" applyNumberFormat="1" applyFont="1" applyFill="1"/>
    <xf numFmtId="165" fontId="14" fillId="0" borderId="0" xfId="43" applyNumberFormat="1" applyFont="1"/>
    <xf numFmtId="165" fontId="14" fillId="0" borderId="0" xfId="0" applyNumberFormat="1" applyFont="1"/>
    <xf numFmtId="0" fontId="34" fillId="0" borderId="0" xfId="0" applyFont="1" applyAlignment="1">
      <alignment horizontal="center"/>
    </xf>
    <xf numFmtId="165" fontId="18" fillId="0" borderId="0" xfId="43" applyNumberFormat="1" applyFont="1" applyFill="1"/>
    <xf numFmtId="165" fontId="18" fillId="0" borderId="0" xfId="43" applyNumberFormat="1" applyFont="1"/>
    <xf numFmtId="167" fontId="25" fillId="47" borderId="0" xfId="43" applyNumberFormat="1" applyFont="1" applyFill="1"/>
    <xf numFmtId="165" fontId="0" fillId="0" borderId="0" xfId="43" applyNumberFormat="1" applyFont="1"/>
    <xf numFmtId="165" fontId="21" fillId="0" borderId="0" xfId="0" applyNumberFormat="1" applyFont="1"/>
    <xf numFmtId="0" fontId="21" fillId="0" borderId="0" xfId="0" applyFont="1" applyAlignment="1">
      <alignment horizontal="left"/>
    </xf>
    <xf numFmtId="165" fontId="21" fillId="0" borderId="0" xfId="43" applyNumberFormat="1" applyFont="1"/>
    <xf numFmtId="167" fontId="16" fillId="39" borderId="0" xfId="43" applyNumberFormat="1" applyFont="1" applyFill="1"/>
    <xf numFmtId="165" fontId="25" fillId="0" borderId="10" xfId="0" applyNumberFormat="1" applyFont="1" applyBorder="1"/>
    <xf numFmtId="165" fontId="1" fillId="0" borderId="0" xfId="43" applyNumberFormat="1" applyFont="1"/>
    <xf numFmtId="165" fontId="20" fillId="53" borderId="0" xfId="43" applyNumberFormat="1" applyFont="1" applyFill="1"/>
    <xf numFmtId="165" fontId="16" fillId="0" borderId="0" xfId="43" applyNumberFormat="1" applyFont="1"/>
    <xf numFmtId="0" fontId="16" fillId="0" borderId="0" xfId="0" applyFont="1" applyAlignment="1">
      <alignment horizontal="left"/>
    </xf>
    <xf numFmtId="167" fontId="0" fillId="47" borderId="0" xfId="43" applyNumberFormat="1" applyFont="1" applyFill="1"/>
    <xf numFmtId="0" fontId="25" fillId="0" borderId="0" xfId="0" applyFont="1"/>
    <xf numFmtId="165" fontId="0" fillId="0" borderId="0" xfId="0" applyNumberFormat="1" applyAlignment="1">
      <alignment horizontal="right"/>
    </xf>
    <xf numFmtId="0" fontId="32" fillId="39" borderId="0" xfId="0" applyFont="1" applyFill="1" applyAlignment="1">
      <alignment horizontal="right"/>
    </xf>
    <xf numFmtId="165" fontId="31" fillId="39" borderId="0" xfId="0" applyNumberFormat="1" applyFont="1" applyFill="1"/>
    <xf numFmtId="5" fontId="31" fillId="39" borderId="0" xfId="43" applyNumberFormat="1" applyFont="1" applyFill="1" applyAlignment="1">
      <alignment horizontal="center"/>
    </xf>
    <xf numFmtId="0" fontId="21" fillId="47" borderId="21" xfId="0" applyFont="1" applyFill="1" applyBorder="1" applyAlignment="1">
      <alignment horizontal="right"/>
    </xf>
    <xf numFmtId="165" fontId="20" fillId="48" borderId="0" xfId="42" applyNumberFormat="1" applyFont="1" applyFill="1"/>
    <xf numFmtId="165" fontId="21" fillId="48" borderId="0" xfId="42" applyNumberFormat="1" applyFont="1" applyFill="1"/>
    <xf numFmtId="0" fontId="21" fillId="39" borderId="0" xfId="0" applyFont="1" applyFill="1" applyAlignment="1">
      <alignment horizontal="right"/>
    </xf>
    <xf numFmtId="165" fontId="16" fillId="39" borderId="52" xfId="0" applyNumberFormat="1" applyFont="1" applyFill="1" applyBorder="1"/>
    <xf numFmtId="5" fontId="16" fillId="39" borderId="0" xfId="43" applyNumberFormat="1" applyFont="1" applyFill="1" applyAlignment="1">
      <alignment horizontal="center"/>
    </xf>
    <xf numFmtId="165" fontId="31" fillId="0" borderId="0" xfId="0" applyNumberFormat="1" applyFont="1"/>
    <xf numFmtId="0" fontId="31" fillId="0" borderId="0" xfId="0" applyFont="1"/>
    <xf numFmtId="9" fontId="0" fillId="0" borderId="0" xfId="42" applyFont="1" applyFill="1"/>
    <xf numFmtId="44" fontId="0" fillId="47" borderId="0" xfId="0" applyNumberFormat="1" applyFill="1"/>
    <xf numFmtId="44" fontId="16" fillId="47" borderId="0" xfId="0" applyNumberFormat="1" applyFont="1" applyFill="1"/>
    <xf numFmtId="167" fontId="16" fillId="47" borderId="0" xfId="0" applyNumberFormat="1" applyFont="1" applyFill="1"/>
    <xf numFmtId="167" fontId="0" fillId="0" borderId="0" xfId="43" applyNumberFormat="1" applyFont="1" applyFill="1"/>
    <xf numFmtId="0" fontId="19" fillId="43" borderId="26" xfId="0" applyFont="1" applyFill="1" applyBorder="1" applyAlignment="1">
      <alignment horizontal="right" vertical="center"/>
    </xf>
    <xf numFmtId="0" fontId="25" fillId="43" borderId="26" xfId="0" applyFont="1" applyFill="1" applyBorder="1" applyAlignment="1">
      <alignment horizontal="right" vertical="center"/>
    </xf>
    <xf numFmtId="0" fontId="21" fillId="54" borderId="0" xfId="0" applyFont="1" applyFill="1" applyAlignment="1">
      <alignment horizontal="right"/>
    </xf>
    <xf numFmtId="165" fontId="16" fillId="54" borderId="0" xfId="0" applyNumberFormat="1" applyFont="1" applyFill="1"/>
    <xf numFmtId="5" fontId="16" fillId="54" borderId="0" xfId="43" applyNumberFormat="1" applyFont="1" applyFill="1" applyAlignment="1">
      <alignment horizontal="center"/>
    </xf>
    <xf numFmtId="0" fontId="20" fillId="54" borderId="0" xfId="0" applyFont="1" applyFill="1" applyAlignment="1">
      <alignment horizontal="right"/>
    </xf>
    <xf numFmtId="165" fontId="0" fillId="54" borderId="0" xfId="0" applyNumberFormat="1" applyFill="1"/>
    <xf numFmtId="5" fontId="1" fillId="54" borderId="0" xfId="43" applyNumberFormat="1" applyFont="1" applyFill="1" applyAlignment="1">
      <alignment horizontal="center"/>
    </xf>
    <xf numFmtId="9" fontId="0" fillId="54" borderId="0" xfId="42" applyFont="1" applyFill="1"/>
    <xf numFmtId="167" fontId="16" fillId="0" borderId="0" xfId="43" applyNumberFormat="1" applyFont="1" applyBorder="1"/>
    <xf numFmtId="0" fontId="16" fillId="39" borderId="0" xfId="0" applyFont="1" applyFill="1" applyAlignment="1">
      <alignment horizontal="right"/>
    </xf>
    <xf numFmtId="165" fontId="21" fillId="39" borderId="13" xfId="0" applyNumberFormat="1" applyFont="1" applyFill="1" applyBorder="1" applyAlignment="1">
      <alignment horizontal="center" vertical="center"/>
    </xf>
    <xf numFmtId="167" fontId="25" fillId="47" borderId="0" xfId="0" applyNumberFormat="1" applyFont="1" applyFill="1"/>
    <xf numFmtId="0" fontId="21" fillId="53" borderId="0" xfId="0" applyFont="1" applyFill="1" applyAlignment="1">
      <alignment horizontal="right"/>
    </xf>
    <xf numFmtId="165" fontId="16" fillId="53" borderId="0" xfId="0" applyNumberFormat="1" applyFont="1" applyFill="1"/>
    <xf numFmtId="165" fontId="0" fillId="53" borderId="0" xfId="0" applyNumberFormat="1" applyFill="1"/>
    <xf numFmtId="0" fontId="20" fillId="53" borderId="0" xfId="0" applyFont="1" applyFill="1" applyAlignment="1">
      <alignment horizontal="right"/>
    </xf>
    <xf numFmtId="9" fontId="0" fillId="53" borderId="0" xfId="42" applyFont="1" applyFill="1"/>
    <xf numFmtId="0" fontId="16" fillId="53" borderId="28" xfId="0" applyFont="1" applyFill="1" applyBorder="1" applyAlignment="1">
      <alignment horizontal="right"/>
    </xf>
    <xf numFmtId="165" fontId="20" fillId="53" borderId="13" xfId="0" applyNumberFormat="1" applyFont="1" applyFill="1" applyBorder="1"/>
    <xf numFmtId="0" fontId="16" fillId="54" borderId="12" xfId="0" applyFont="1" applyFill="1" applyBorder="1" applyAlignment="1">
      <alignment horizontal="right"/>
    </xf>
    <xf numFmtId="165" fontId="20" fillId="54" borderId="13" xfId="0" applyNumberFormat="1" applyFont="1" applyFill="1" applyBorder="1"/>
    <xf numFmtId="165" fontId="20" fillId="54" borderId="50" xfId="0" applyNumberFormat="1" applyFont="1" applyFill="1" applyBorder="1"/>
    <xf numFmtId="9" fontId="0" fillId="53" borderId="0" xfId="42" applyFont="1" applyFill="1" applyBorder="1"/>
    <xf numFmtId="165" fontId="21" fillId="47" borderId="11" xfId="0" applyNumberFormat="1" applyFont="1" applyFill="1" applyBorder="1"/>
    <xf numFmtId="165" fontId="16" fillId="47" borderId="16" xfId="0" applyNumberFormat="1" applyFont="1" applyFill="1" applyBorder="1"/>
    <xf numFmtId="165" fontId="21" fillId="47" borderId="10" xfId="0" applyNumberFormat="1" applyFont="1" applyFill="1" applyBorder="1"/>
    <xf numFmtId="165" fontId="21" fillId="47" borderId="33" xfId="0" applyNumberFormat="1" applyFont="1" applyFill="1" applyBorder="1"/>
    <xf numFmtId="165" fontId="21" fillId="47" borderId="17" xfId="0" applyNumberFormat="1" applyFont="1" applyFill="1" applyBorder="1"/>
    <xf numFmtId="167" fontId="21" fillId="0" borderId="0" xfId="43" applyNumberFormat="1" applyFont="1"/>
    <xf numFmtId="9" fontId="31" fillId="0" borderId="0" xfId="42" applyFont="1" applyFill="1"/>
    <xf numFmtId="0" fontId="20" fillId="50" borderId="0" xfId="0" applyFont="1" applyFill="1" applyAlignment="1">
      <alignment horizontal="right"/>
    </xf>
    <xf numFmtId="0" fontId="28" fillId="50" borderId="0" xfId="0" applyFont="1" applyFill="1" applyAlignment="1">
      <alignment horizontal="right"/>
    </xf>
    <xf numFmtId="165" fontId="28" fillId="50" borderId="0" xfId="0" applyNumberFormat="1" applyFont="1" applyFill="1"/>
    <xf numFmtId="165" fontId="33" fillId="50" borderId="0" xfId="0" applyNumberFormat="1" applyFont="1" applyFill="1"/>
    <xf numFmtId="0" fontId="0" fillId="50" borderId="0" xfId="0" applyFill="1"/>
    <xf numFmtId="0" fontId="20" fillId="46" borderId="0" xfId="0" applyFont="1" applyFill="1" applyAlignment="1">
      <alignment horizontal="right"/>
    </xf>
    <xf numFmtId="165" fontId="0" fillId="46" borderId="0" xfId="0" applyNumberFormat="1" applyFill="1"/>
    <xf numFmtId="5" fontId="0" fillId="46" borderId="0" xfId="43" applyNumberFormat="1" applyFont="1" applyFill="1" applyAlignment="1">
      <alignment horizontal="center"/>
    </xf>
    <xf numFmtId="0" fontId="20" fillId="55" borderId="0" xfId="0" applyFont="1" applyFill="1" applyAlignment="1">
      <alignment horizontal="right"/>
    </xf>
    <xf numFmtId="0" fontId="28" fillId="55" borderId="0" xfId="0" applyFont="1" applyFill="1" applyAlignment="1">
      <alignment horizontal="right"/>
    </xf>
    <xf numFmtId="165" fontId="28" fillId="55" borderId="0" xfId="0" applyNumberFormat="1" applyFont="1" applyFill="1"/>
    <xf numFmtId="167" fontId="0" fillId="39" borderId="0" xfId="43" applyNumberFormat="1" applyFont="1" applyFill="1"/>
    <xf numFmtId="9" fontId="20" fillId="54" borderId="0" xfId="42" applyFont="1" applyFill="1"/>
    <xf numFmtId="0" fontId="21" fillId="52" borderId="0" xfId="0" applyFont="1" applyFill="1" applyAlignment="1">
      <alignment horizontal="right"/>
    </xf>
    <xf numFmtId="165" fontId="0" fillId="52" borderId="0" xfId="0" applyNumberFormat="1" applyFill="1"/>
    <xf numFmtId="0" fontId="20" fillId="52" borderId="0" xfId="0" applyFont="1" applyFill="1" applyAlignment="1">
      <alignment horizontal="right"/>
    </xf>
    <xf numFmtId="10" fontId="0" fillId="52" borderId="0" xfId="42" applyNumberFormat="1" applyFont="1" applyFill="1"/>
    <xf numFmtId="44" fontId="0" fillId="0" borderId="0" xfId="43" applyFont="1" applyBorder="1"/>
    <xf numFmtId="44" fontId="0" fillId="0" borderId="0" xfId="43" applyFont="1" applyFill="1" applyBorder="1"/>
    <xf numFmtId="44" fontId="20" fillId="0" borderId="0" xfId="43" applyFont="1" applyFill="1" applyBorder="1"/>
    <xf numFmtId="44" fontId="14" fillId="0" borderId="0" xfId="0" applyNumberFormat="1" applyFont="1"/>
    <xf numFmtId="165" fontId="21" fillId="0" borderId="57" xfId="0" applyNumberFormat="1" applyFont="1" applyBorder="1"/>
    <xf numFmtId="165" fontId="20" fillId="0" borderId="57" xfId="0" applyNumberFormat="1" applyFont="1" applyBorder="1"/>
    <xf numFmtId="165" fontId="0" fillId="0" borderId="57" xfId="0" applyNumberFormat="1" applyBorder="1"/>
    <xf numFmtId="165" fontId="14" fillId="0" borderId="56" xfId="0" applyNumberFormat="1" applyFont="1" applyBorder="1"/>
    <xf numFmtId="165" fontId="14" fillId="0" borderId="58" xfId="0" applyNumberFormat="1" applyFont="1" applyBorder="1"/>
    <xf numFmtId="165" fontId="16" fillId="39" borderId="59" xfId="0" applyNumberFormat="1" applyFont="1" applyFill="1" applyBorder="1"/>
    <xf numFmtId="165" fontId="16" fillId="0" borderId="60" xfId="42" applyNumberFormat="1" applyFont="1" applyFill="1" applyBorder="1"/>
    <xf numFmtId="165" fontId="16" fillId="52" borderId="0" xfId="0" applyNumberFormat="1" applyFont="1" applyFill="1"/>
    <xf numFmtId="165" fontId="20" fillId="54" borderId="18" xfId="0" applyNumberFormat="1" applyFont="1" applyFill="1" applyBorder="1"/>
    <xf numFmtId="165" fontId="20" fillId="0" borderId="56" xfId="0" applyNumberFormat="1" applyFont="1" applyBorder="1"/>
    <xf numFmtId="165" fontId="21" fillId="0" borderId="17" xfId="0" applyNumberFormat="1" applyFont="1" applyBorder="1"/>
    <xf numFmtId="165" fontId="21" fillId="0" borderId="13" xfId="0" applyNumberFormat="1" applyFont="1" applyBorder="1"/>
    <xf numFmtId="165" fontId="21" fillId="0" borderId="20" xfId="0" applyNumberFormat="1" applyFont="1" applyBorder="1"/>
    <xf numFmtId="0" fontId="21" fillId="34" borderId="13" xfId="0" applyFont="1" applyFill="1" applyBorder="1" applyAlignment="1">
      <alignment horizontal="center" vertical="center"/>
    </xf>
    <xf numFmtId="165" fontId="21" fillId="0" borderId="0" xfId="0" applyNumberFormat="1" applyFont="1" applyAlignment="1">
      <alignment horizontal="center"/>
    </xf>
    <xf numFmtId="165" fontId="20" fillId="52" borderId="0" xfId="0" applyNumberFormat="1" applyFont="1" applyFill="1"/>
    <xf numFmtId="10" fontId="20" fillId="52" borderId="0" xfId="42" applyNumberFormat="1" applyFont="1" applyFill="1"/>
    <xf numFmtId="165" fontId="21" fillId="53" borderId="0" xfId="0" applyNumberFormat="1" applyFont="1" applyFill="1"/>
    <xf numFmtId="165" fontId="20" fillId="53" borderId="0" xfId="0" applyNumberFormat="1" applyFont="1" applyFill="1"/>
    <xf numFmtId="9" fontId="20" fillId="53" borderId="0" xfId="42" applyFont="1" applyFill="1" applyBorder="1"/>
    <xf numFmtId="165" fontId="21" fillId="54" borderId="0" xfId="0" applyNumberFormat="1" applyFont="1" applyFill="1"/>
    <xf numFmtId="165" fontId="20" fillId="54" borderId="0" xfId="0" applyNumberFormat="1" applyFont="1" applyFill="1"/>
    <xf numFmtId="165" fontId="21" fillId="0" borderId="60" xfId="42" applyNumberFormat="1" applyFont="1" applyFill="1" applyBorder="1"/>
    <xf numFmtId="165" fontId="21" fillId="39" borderId="59" xfId="0" applyNumberFormat="1" applyFont="1" applyFill="1" applyBorder="1"/>
    <xf numFmtId="165" fontId="32" fillId="39" borderId="0" xfId="0" applyNumberFormat="1" applyFont="1" applyFill="1"/>
    <xf numFmtId="9" fontId="32" fillId="0" borderId="0" xfId="42" applyFont="1" applyFill="1"/>
    <xf numFmtId="165" fontId="20" fillId="46" borderId="0" xfId="0" applyNumberFormat="1" applyFont="1" applyFill="1"/>
    <xf numFmtId="165" fontId="21" fillId="50" borderId="0" xfId="0" applyNumberFormat="1" applyFont="1" applyFill="1"/>
    <xf numFmtId="165" fontId="21" fillId="55" borderId="0" xfId="0" applyNumberFormat="1" applyFont="1" applyFill="1"/>
    <xf numFmtId="0" fontId="21" fillId="50" borderId="0" xfId="0" applyFont="1" applyFill="1"/>
    <xf numFmtId="44" fontId="20" fillId="0" borderId="0" xfId="43" applyFont="1"/>
    <xf numFmtId="167" fontId="20" fillId="0" borderId="0" xfId="0" applyNumberFormat="1" applyFont="1"/>
    <xf numFmtId="44" fontId="20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8" fontId="20" fillId="0" borderId="0" xfId="0" applyNumberFormat="1" applyFont="1"/>
    <xf numFmtId="167" fontId="20" fillId="51" borderId="0" xfId="0" applyNumberFormat="1" applyFont="1" applyFill="1"/>
    <xf numFmtId="167" fontId="20" fillId="52" borderId="0" xfId="0" applyNumberFormat="1" applyFont="1" applyFill="1"/>
    <xf numFmtId="167" fontId="0" fillId="0" borderId="0" xfId="43" applyNumberFormat="1" applyFont="1" applyBorder="1"/>
    <xf numFmtId="44" fontId="14" fillId="0" borderId="0" xfId="43" applyFont="1" applyBorder="1"/>
    <xf numFmtId="167" fontId="14" fillId="0" borderId="0" xfId="0" applyNumberFormat="1" applyFont="1"/>
    <xf numFmtId="10" fontId="20" fillId="0" borderId="0" xfId="42" applyNumberFormat="1" applyFont="1" applyFill="1"/>
    <xf numFmtId="164" fontId="20" fillId="0" borderId="0" xfId="0" applyNumberFormat="1" applyFont="1" applyAlignment="1">
      <alignment horizontal="center"/>
    </xf>
    <xf numFmtId="164" fontId="20" fillId="0" borderId="0" xfId="0" applyNumberFormat="1" applyFont="1"/>
    <xf numFmtId="167" fontId="14" fillId="0" borderId="0" xfId="43" applyNumberFormat="1" applyFont="1"/>
    <xf numFmtId="167" fontId="20" fillId="39" borderId="0" xfId="43" applyNumberFormat="1" applyFont="1" applyFill="1"/>
    <xf numFmtId="165" fontId="20" fillId="56" borderId="0" xfId="0" applyNumberFormat="1" applyFont="1" applyFill="1"/>
    <xf numFmtId="165" fontId="21" fillId="56" borderId="0" xfId="0" applyNumberFormat="1" applyFont="1" applyFill="1"/>
    <xf numFmtId="165" fontId="29" fillId="0" borderId="10" xfId="0" applyNumberFormat="1" applyFont="1" applyBorder="1"/>
    <xf numFmtId="44" fontId="0" fillId="0" borderId="0" xfId="43" applyFont="1" applyFill="1"/>
    <xf numFmtId="44" fontId="1" fillId="0" borderId="0" xfId="43" applyFont="1"/>
    <xf numFmtId="167" fontId="1" fillId="39" borderId="0" xfId="43" applyNumberFormat="1" applyFont="1" applyFill="1"/>
    <xf numFmtId="165" fontId="20" fillId="47" borderId="13" xfId="0" applyNumberFormat="1" applyFont="1" applyFill="1" applyBorder="1"/>
    <xf numFmtId="0" fontId="21" fillId="0" borderId="10" xfId="0" applyFont="1" applyBorder="1" applyAlignment="1">
      <alignment horizontal="right"/>
    </xf>
    <xf numFmtId="14" fontId="0" fillId="0" borderId="0" xfId="0" applyNumberFormat="1" applyAlignment="1">
      <alignment horizontal="center"/>
    </xf>
    <xf numFmtId="165" fontId="21" fillId="53" borderId="13" xfId="0" applyNumberFormat="1" applyFont="1" applyFill="1" applyBorder="1"/>
    <xf numFmtId="165" fontId="14" fillId="0" borderId="0" xfId="43" applyNumberFormat="1" applyFont="1" applyFill="1"/>
    <xf numFmtId="10" fontId="14" fillId="0" borderId="0" xfId="42" applyNumberFormat="1" applyFont="1" applyFill="1"/>
    <xf numFmtId="165" fontId="14" fillId="56" borderId="0" xfId="0" applyNumberFormat="1" applyFont="1" applyFill="1"/>
    <xf numFmtId="165" fontId="16" fillId="0" borderId="0" xfId="42" applyNumberFormat="1" applyFont="1" applyFill="1"/>
    <xf numFmtId="0" fontId="19" fillId="0" borderId="10" xfId="0" applyFont="1" applyBorder="1" applyAlignment="1">
      <alignment horizontal="right"/>
    </xf>
    <xf numFmtId="165" fontId="21" fillId="57" borderId="33" xfId="0" applyNumberFormat="1" applyFont="1" applyFill="1" applyBorder="1"/>
    <xf numFmtId="0" fontId="21" fillId="57" borderId="32" xfId="0" applyFont="1" applyFill="1" applyBorder="1" applyAlignment="1">
      <alignment horizontal="right"/>
    </xf>
    <xf numFmtId="165" fontId="21" fillId="58" borderId="10" xfId="0" applyNumberFormat="1" applyFont="1" applyFill="1" applyBorder="1"/>
    <xf numFmtId="0" fontId="21" fillId="58" borderId="31" xfId="0" applyFont="1" applyFill="1" applyBorder="1" applyAlignment="1">
      <alignment horizontal="right"/>
    </xf>
    <xf numFmtId="165" fontId="20" fillId="57" borderId="16" xfId="0" applyNumberFormat="1" applyFont="1" applyFill="1" applyBorder="1"/>
    <xf numFmtId="165" fontId="0" fillId="57" borderId="16" xfId="0" applyNumberFormat="1" applyFill="1" applyBorder="1"/>
    <xf numFmtId="0" fontId="16" fillId="57" borderId="22" xfId="0" applyFont="1" applyFill="1" applyBorder="1" applyAlignment="1">
      <alignment horizontal="right"/>
    </xf>
    <xf numFmtId="0" fontId="26" fillId="59" borderId="23" xfId="0" applyFont="1" applyFill="1" applyBorder="1" applyAlignment="1">
      <alignment horizontal="center" vertical="center" wrapText="1"/>
    </xf>
    <xf numFmtId="165" fontId="20" fillId="59" borderId="11" xfId="0" applyNumberFormat="1" applyFont="1" applyFill="1" applyBorder="1"/>
    <xf numFmtId="0" fontId="21" fillId="59" borderId="27" xfId="0" applyFont="1" applyFill="1" applyBorder="1" applyAlignment="1">
      <alignment horizontal="right"/>
    </xf>
    <xf numFmtId="165" fontId="14" fillId="0" borderId="61" xfId="0" applyNumberFormat="1" applyFont="1" applyBorder="1"/>
    <xf numFmtId="165" fontId="14" fillId="0" borderId="16" xfId="0" applyNumberFormat="1" applyFont="1" applyBorder="1"/>
    <xf numFmtId="165" fontId="20" fillId="0" borderId="62" xfId="0" applyNumberFormat="1" applyFont="1" applyBorder="1"/>
    <xf numFmtId="4" fontId="20" fillId="0" borderId="10" xfId="0" applyNumberFormat="1" applyFont="1" applyBorder="1"/>
    <xf numFmtId="165" fontId="21" fillId="54" borderId="18" xfId="0" applyNumberFormat="1" applyFont="1" applyFill="1" applyBorder="1"/>
    <xf numFmtId="165" fontId="0" fillId="39" borderId="16" xfId="0" applyNumberFormat="1" applyFill="1" applyBorder="1"/>
    <xf numFmtId="0" fontId="26" fillId="59" borderId="0" xfId="0" applyFont="1" applyFill="1" applyAlignment="1">
      <alignment vertical="center" wrapText="1"/>
    </xf>
    <xf numFmtId="165" fontId="30" fillId="39" borderId="33" xfId="0" applyNumberFormat="1" applyFont="1" applyFill="1" applyBorder="1"/>
    <xf numFmtId="0" fontId="26" fillId="59" borderId="24" xfId="0" applyFont="1" applyFill="1" applyBorder="1" applyAlignment="1">
      <alignment vertical="center" wrapText="1"/>
    </xf>
    <xf numFmtId="165" fontId="21" fillId="39" borderId="10" xfId="0" applyNumberFormat="1" applyFont="1" applyFill="1" applyBorder="1"/>
    <xf numFmtId="0" fontId="26" fillId="59" borderId="26" xfId="0" applyFont="1" applyFill="1" applyBorder="1" applyAlignment="1">
      <alignment vertical="center" wrapText="1"/>
    </xf>
    <xf numFmtId="165" fontId="30" fillId="39" borderId="10" xfId="0" applyNumberFormat="1" applyFont="1" applyFill="1" applyBorder="1"/>
    <xf numFmtId="165" fontId="20" fillId="39" borderId="11" xfId="0" applyNumberFormat="1" applyFont="1" applyFill="1" applyBorder="1"/>
    <xf numFmtId="0" fontId="13" fillId="59" borderId="18" xfId="0" applyFont="1" applyFill="1" applyBorder="1" applyAlignment="1">
      <alignment horizontal="center" vertical="center"/>
    </xf>
    <xf numFmtId="14" fontId="0" fillId="0" borderId="0" xfId="0" applyNumberFormat="1"/>
    <xf numFmtId="165" fontId="21" fillId="39" borderId="0" xfId="0" applyNumberFormat="1" applyFont="1" applyFill="1"/>
    <xf numFmtId="164" fontId="21" fillId="39" borderId="0" xfId="0" applyNumberFormat="1" applyFont="1" applyFill="1" applyAlignment="1">
      <alignment horizontal="center"/>
    </xf>
    <xf numFmtId="165" fontId="20" fillId="39" borderId="16" xfId="0" applyNumberFormat="1" applyFont="1" applyFill="1" applyBorder="1"/>
    <xf numFmtId="0" fontId="21" fillId="43" borderId="23" xfId="0" applyFont="1" applyFill="1" applyBorder="1" applyAlignment="1">
      <alignment horizontal="center" vertical="center"/>
    </xf>
    <xf numFmtId="0" fontId="21" fillId="43" borderId="24" xfId="0" applyFont="1" applyFill="1" applyBorder="1" applyAlignment="1">
      <alignment horizontal="center" vertical="center"/>
    </xf>
    <xf numFmtId="0" fontId="39" fillId="0" borderId="54" xfId="0" applyFont="1" applyBorder="1" applyAlignment="1">
      <alignment horizontal="right"/>
    </xf>
    <xf numFmtId="0" fontId="39" fillId="0" borderId="55" xfId="0" applyFont="1" applyBorder="1" applyAlignment="1">
      <alignment horizontal="right"/>
    </xf>
    <xf numFmtId="165" fontId="39" fillId="47" borderId="10" xfId="0" applyNumberFormat="1" applyFont="1" applyFill="1" applyBorder="1"/>
    <xf numFmtId="165" fontId="39" fillId="47" borderId="16" xfId="0" applyNumberFormat="1" applyFont="1" applyFill="1" applyBorder="1"/>
    <xf numFmtId="165" fontId="21" fillId="47" borderId="13" xfId="0" applyNumberFormat="1" applyFont="1" applyFill="1" applyBorder="1" applyAlignment="1">
      <alignment horizontal="center"/>
    </xf>
    <xf numFmtId="44" fontId="21" fillId="47" borderId="0" xfId="0" applyNumberFormat="1" applyFont="1" applyFill="1"/>
    <xf numFmtId="167" fontId="21" fillId="47" borderId="0" xfId="0" applyNumberFormat="1" applyFont="1" applyFill="1"/>
    <xf numFmtId="165" fontId="14" fillId="0" borderId="17" xfId="0" applyNumberFormat="1" applyFont="1" applyBorder="1"/>
    <xf numFmtId="0" fontId="17" fillId="34" borderId="13" xfId="0" applyFont="1" applyFill="1" applyBorder="1" applyAlignment="1">
      <alignment horizontal="center" vertical="center"/>
    </xf>
    <xf numFmtId="165" fontId="40" fillId="39" borderId="0" xfId="0" applyNumberFormat="1" applyFont="1" applyFill="1"/>
    <xf numFmtId="9" fontId="40" fillId="0" borderId="0" xfId="42" applyFont="1" applyFill="1"/>
    <xf numFmtId="165" fontId="41" fillId="50" borderId="0" xfId="0" applyNumberFormat="1" applyFont="1" applyFill="1"/>
    <xf numFmtId="165" fontId="25" fillId="0" borderId="0" xfId="0" applyNumberFormat="1" applyFont="1"/>
    <xf numFmtId="165" fontId="20" fillId="53" borderId="13" xfId="0" applyNumberFormat="1" applyFont="1" applyFill="1" applyBorder="1" applyAlignment="1">
      <alignment horizontal="center"/>
    </xf>
    <xf numFmtId="10" fontId="1" fillId="52" borderId="0" xfId="42" applyNumberFormat="1" applyFont="1" applyFill="1"/>
    <xf numFmtId="9" fontId="1" fillId="53" borderId="0" xfId="42" applyFont="1" applyFill="1"/>
    <xf numFmtId="9" fontId="1" fillId="54" borderId="0" xfId="42" applyFont="1" applyFill="1"/>
    <xf numFmtId="165" fontId="1" fillId="0" borderId="60" xfId="42" applyNumberFormat="1" applyFont="1" applyFill="1" applyBorder="1"/>
    <xf numFmtId="0" fontId="16" fillId="0" borderId="63" xfId="0" applyFont="1" applyBorder="1" applyAlignment="1">
      <alignment horizontal="right"/>
    </xf>
    <xf numFmtId="0" fontId="16" fillId="60" borderId="15" xfId="0" applyFont="1" applyFill="1" applyBorder="1" applyAlignment="1">
      <alignment horizontal="right"/>
    </xf>
    <xf numFmtId="165" fontId="20" fillId="60" borderId="10" xfId="0" applyNumberFormat="1" applyFont="1" applyFill="1" applyBorder="1"/>
    <xf numFmtId="165" fontId="21" fillId="60" borderId="11" xfId="0" applyNumberFormat="1" applyFont="1" applyFill="1" applyBorder="1"/>
    <xf numFmtId="165" fontId="1" fillId="48" borderId="0" xfId="42" applyNumberFormat="1" applyFont="1" applyFill="1" applyBorder="1"/>
    <xf numFmtId="165" fontId="0" fillId="0" borderId="13" xfId="0" applyNumberFormat="1" applyBorder="1"/>
    <xf numFmtId="165" fontId="0" fillId="0" borderId="20" xfId="0" applyNumberFormat="1" applyBorder="1"/>
    <xf numFmtId="9" fontId="1" fillId="53" borderId="0" xfId="42" applyFont="1" applyFill="1" applyBorder="1"/>
    <xf numFmtId="165" fontId="0" fillId="39" borderId="52" xfId="0" applyNumberFormat="1" applyFill="1" applyBorder="1"/>
    <xf numFmtId="165" fontId="41" fillId="55" borderId="0" xfId="0" applyNumberFormat="1" applyFont="1" applyFill="1"/>
    <xf numFmtId="165" fontId="20" fillId="0" borderId="13" xfId="0" applyNumberFormat="1" applyFont="1" applyBorder="1"/>
    <xf numFmtId="165" fontId="20" fillId="0" borderId="20" xfId="0" applyNumberFormat="1" applyFont="1" applyBorder="1"/>
    <xf numFmtId="165" fontId="20" fillId="60" borderId="11" xfId="0" applyNumberFormat="1" applyFont="1" applyFill="1" applyBorder="1"/>
    <xf numFmtId="165" fontId="41" fillId="0" borderId="17" xfId="0" applyNumberFormat="1" applyFont="1" applyBorder="1"/>
    <xf numFmtId="0" fontId="21" fillId="43" borderId="26" xfId="0" applyFont="1" applyFill="1" applyBorder="1" applyAlignment="1">
      <alignment horizontal="center" vertical="center"/>
    </xf>
    <xf numFmtId="165" fontId="25" fillId="0" borderId="0" xfId="43" applyNumberFormat="1" applyFont="1"/>
    <xf numFmtId="165" fontId="0" fillId="39" borderId="59" xfId="0" applyNumberFormat="1" applyFill="1" applyBorder="1"/>
    <xf numFmtId="9" fontId="42" fillId="0" borderId="0" xfId="42" applyFont="1" applyFill="1"/>
    <xf numFmtId="165" fontId="43" fillId="50" borderId="0" xfId="0" applyNumberFormat="1" applyFont="1" applyFill="1"/>
    <xf numFmtId="166" fontId="16" fillId="0" borderId="0" xfId="42" applyNumberFormat="1" applyFont="1"/>
    <xf numFmtId="0" fontId="20" fillId="56" borderId="0" xfId="0" applyFont="1" applyFill="1"/>
    <xf numFmtId="167" fontId="21" fillId="56" borderId="0" xfId="43" applyNumberFormat="1" applyFont="1" applyFill="1"/>
    <xf numFmtId="0" fontId="21" fillId="56" borderId="0" xfId="0" applyFont="1" applyFill="1"/>
    <xf numFmtId="167" fontId="0" fillId="56" borderId="0" xfId="43" applyNumberFormat="1" applyFont="1" applyFill="1"/>
    <xf numFmtId="0" fontId="0" fillId="56" borderId="0" xfId="0" applyFill="1"/>
    <xf numFmtId="0" fontId="16" fillId="56" borderId="0" xfId="0" applyFont="1" applyFill="1"/>
    <xf numFmtId="0" fontId="20" fillId="56" borderId="0" xfId="0" applyFont="1" applyFill="1" applyAlignment="1">
      <alignment horizontal="center"/>
    </xf>
    <xf numFmtId="167" fontId="16" fillId="52" borderId="0" xfId="43" applyNumberFormat="1" applyFont="1" applyFill="1"/>
    <xf numFmtId="5" fontId="20" fillId="0" borderId="0" xfId="43" applyNumberFormat="1" applyFont="1"/>
    <xf numFmtId="5" fontId="0" fillId="0" borderId="0" xfId="43" applyNumberFormat="1" applyFont="1"/>
    <xf numFmtId="165" fontId="20" fillId="0" borderId="17" xfId="0" applyNumberFormat="1" applyFont="1" applyBorder="1"/>
    <xf numFmtId="0" fontId="20" fillId="34" borderId="13" xfId="0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165" fontId="20" fillId="0" borderId="60" xfId="42" applyNumberFormat="1" applyFont="1" applyFill="1" applyBorder="1"/>
    <xf numFmtId="165" fontId="20" fillId="39" borderId="59" xfId="0" applyNumberFormat="1" applyFont="1" applyFill="1" applyBorder="1"/>
    <xf numFmtId="165" fontId="42" fillId="39" borderId="0" xfId="0" applyNumberFormat="1" applyFont="1" applyFill="1"/>
    <xf numFmtId="165" fontId="20" fillId="50" borderId="0" xfId="0" applyNumberFormat="1" applyFont="1" applyFill="1"/>
    <xf numFmtId="167" fontId="1" fillId="0" borderId="0" xfId="43" applyNumberFormat="1" applyFont="1"/>
    <xf numFmtId="10" fontId="21" fillId="0" borderId="0" xfId="42" applyNumberFormat="1" applyFont="1" applyFill="1"/>
    <xf numFmtId="165" fontId="44" fillId="0" borderId="11" xfId="0" applyNumberFormat="1" applyFont="1" applyBorder="1"/>
    <xf numFmtId="165" fontId="44" fillId="0" borderId="10" xfId="0" applyNumberFormat="1" applyFont="1" applyBorder="1"/>
    <xf numFmtId="165" fontId="44" fillId="0" borderId="33" xfId="0" applyNumberFormat="1" applyFont="1" applyBorder="1"/>
    <xf numFmtId="165" fontId="44" fillId="0" borderId="16" xfId="0" applyNumberFormat="1" applyFont="1" applyBorder="1"/>
    <xf numFmtId="165" fontId="14" fillId="48" borderId="0" xfId="0" applyNumberFormat="1" applyFont="1" applyFill="1"/>
    <xf numFmtId="165" fontId="19" fillId="48" borderId="0" xfId="0" applyNumberFormat="1" applyFont="1" applyFill="1"/>
    <xf numFmtId="169" fontId="0" fillId="0" borderId="0" xfId="0" applyNumberFormat="1"/>
    <xf numFmtId="0" fontId="0" fillId="55" borderId="0" xfId="0" applyFill="1"/>
    <xf numFmtId="165" fontId="45" fillId="0" borderId="11" xfId="0" applyNumberFormat="1" applyFont="1" applyBorder="1"/>
    <xf numFmtId="165" fontId="29" fillId="0" borderId="33" xfId="0" applyNumberFormat="1" applyFont="1" applyBorder="1"/>
    <xf numFmtId="165" fontId="16" fillId="0" borderId="16" xfId="0" applyNumberFormat="1" applyFont="1" applyBorder="1"/>
    <xf numFmtId="165" fontId="16" fillId="0" borderId="57" xfId="0" applyNumberFormat="1" applyFont="1" applyBorder="1"/>
    <xf numFmtId="165" fontId="25" fillId="0" borderId="58" xfId="0" applyNumberFormat="1" applyFont="1" applyBorder="1"/>
    <xf numFmtId="165" fontId="0" fillId="39" borderId="57" xfId="0" applyNumberFormat="1" applyFill="1" applyBorder="1"/>
    <xf numFmtId="165" fontId="14" fillId="39" borderId="58" xfId="0" applyNumberFormat="1" applyFont="1" applyFill="1" applyBorder="1"/>
    <xf numFmtId="44" fontId="20" fillId="0" borderId="0" xfId="0" applyNumberFormat="1" applyFont="1" applyAlignment="1">
      <alignment horizontal="right"/>
    </xf>
    <xf numFmtId="0" fontId="26" fillId="61" borderId="23" xfId="0" applyFont="1" applyFill="1" applyBorder="1" applyAlignment="1">
      <alignment horizontal="center" vertical="center" wrapText="1"/>
    </xf>
    <xf numFmtId="0" fontId="26" fillId="61" borderId="26" xfId="0" applyFont="1" applyFill="1" applyBorder="1" applyAlignment="1">
      <alignment vertical="center" wrapText="1"/>
    </xf>
    <xf numFmtId="0" fontId="26" fillId="61" borderId="24" xfId="0" applyFont="1" applyFill="1" applyBorder="1" applyAlignment="1">
      <alignment vertical="center" wrapText="1"/>
    </xf>
    <xf numFmtId="0" fontId="26" fillId="61" borderId="0" xfId="0" applyFont="1" applyFill="1" applyAlignment="1">
      <alignment vertical="center" wrapText="1"/>
    </xf>
    <xf numFmtId="0" fontId="13" fillId="61" borderId="18" xfId="0" applyFont="1" applyFill="1" applyBorder="1" applyAlignment="1">
      <alignment horizontal="center" vertical="center"/>
    </xf>
    <xf numFmtId="0" fontId="21" fillId="61" borderId="27" xfId="0" applyFont="1" applyFill="1" applyBorder="1" applyAlignment="1">
      <alignment horizontal="right"/>
    </xf>
    <xf numFmtId="165" fontId="20" fillId="61" borderId="11" xfId="0" applyNumberFormat="1" applyFont="1" applyFill="1" applyBorder="1"/>
    <xf numFmtId="165" fontId="21" fillId="61" borderId="11" xfId="0" applyNumberFormat="1" applyFont="1" applyFill="1" applyBorder="1"/>
    <xf numFmtId="0" fontId="21" fillId="61" borderId="31" xfId="0" applyFont="1" applyFill="1" applyBorder="1" applyAlignment="1">
      <alignment horizontal="right"/>
    </xf>
    <xf numFmtId="165" fontId="20" fillId="61" borderId="10" xfId="0" applyNumberFormat="1" applyFont="1" applyFill="1" applyBorder="1"/>
    <xf numFmtId="0" fontId="16" fillId="44" borderId="12" xfId="0" applyFont="1" applyFill="1" applyBorder="1" applyAlignment="1">
      <alignment horizontal="right"/>
    </xf>
    <xf numFmtId="165" fontId="20" fillId="44" borderId="18" xfId="0" applyNumberFormat="1" applyFont="1" applyFill="1" applyBorder="1"/>
    <xf numFmtId="165" fontId="21" fillId="44" borderId="18" xfId="0" applyNumberFormat="1" applyFont="1" applyFill="1" applyBorder="1"/>
    <xf numFmtId="165" fontId="16" fillId="44" borderId="13" xfId="0" applyNumberFormat="1" applyFont="1" applyFill="1" applyBorder="1"/>
    <xf numFmtId="0" fontId="16" fillId="44" borderId="22" xfId="0" applyFont="1" applyFill="1" applyBorder="1" applyAlignment="1">
      <alignment horizontal="right"/>
    </xf>
    <xf numFmtId="165" fontId="0" fillId="44" borderId="16" xfId="0" applyNumberFormat="1" applyFill="1" applyBorder="1"/>
    <xf numFmtId="165" fontId="20" fillId="44" borderId="16" xfId="0" applyNumberFormat="1" applyFont="1" applyFill="1" applyBorder="1"/>
    <xf numFmtId="165" fontId="21" fillId="44" borderId="16" xfId="0" applyNumberFormat="1" applyFont="1" applyFill="1" applyBorder="1"/>
    <xf numFmtId="0" fontId="21" fillId="44" borderId="32" xfId="0" applyFont="1" applyFill="1" applyBorder="1" applyAlignment="1">
      <alignment horizontal="right"/>
    </xf>
    <xf numFmtId="165" fontId="20" fillId="44" borderId="33" xfId="0" applyNumberFormat="1" applyFont="1" applyFill="1" applyBorder="1"/>
    <xf numFmtId="167" fontId="14" fillId="47" borderId="0" xfId="0" applyNumberFormat="1" applyFont="1" applyFill="1"/>
    <xf numFmtId="167" fontId="14" fillId="47" borderId="0" xfId="43" applyNumberFormat="1" applyFont="1" applyFill="1"/>
    <xf numFmtId="167" fontId="20" fillId="47" borderId="0" xfId="43" applyNumberFormat="1" applyFont="1" applyFill="1"/>
    <xf numFmtId="165" fontId="20" fillId="62" borderId="33" xfId="0" applyNumberFormat="1" applyFont="1" applyFill="1" applyBorder="1"/>
    <xf numFmtId="0" fontId="21" fillId="62" borderId="32" xfId="0" applyFont="1" applyFill="1" applyBorder="1" applyAlignment="1">
      <alignment horizontal="right"/>
    </xf>
    <xf numFmtId="165" fontId="20" fillId="33" borderId="10" xfId="0" applyNumberFormat="1" applyFont="1" applyFill="1" applyBorder="1"/>
    <xf numFmtId="0" fontId="21" fillId="33" borderId="31" xfId="0" applyFont="1" applyFill="1" applyBorder="1" applyAlignment="1">
      <alignment horizontal="right"/>
    </xf>
    <xf numFmtId="165" fontId="20" fillId="62" borderId="16" xfId="0" applyNumberFormat="1" applyFont="1" applyFill="1" applyBorder="1"/>
    <xf numFmtId="165" fontId="21" fillId="62" borderId="16" xfId="0" applyNumberFormat="1" applyFont="1" applyFill="1" applyBorder="1"/>
    <xf numFmtId="165" fontId="0" fillId="62" borderId="16" xfId="0" applyNumberFormat="1" applyFill="1" applyBorder="1"/>
    <xf numFmtId="0" fontId="16" fillId="62" borderId="22" xfId="0" applyFont="1" applyFill="1" applyBorder="1" applyAlignment="1">
      <alignment horizontal="right"/>
    </xf>
    <xf numFmtId="0" fontId="26" fillId="33" borderId="23" xfId="0" applyFont="1" applyFill="1" applyBorder="1" applyAlignment="1">
      <alignment horizontal="center" vertical="center" wrapText="1"/>
    </xf>
    <xf numFmtId="165" fontId="20" fillId="33" borderId="11" xfId="0" applyNumberFormat="1" applyFont="1" applyFill="1" applyBorder="1"/>
    <xf numFmtId="165" fontId="21" fillId="33" borderId="11" xfId="0" applyNumberFormat="1" applyFont="1" applyFill="1" applyBorder="1"/>
    <xf numFmtId="0" fontId="21" fillId="33" borderId="27" xfId="0" applyFont="1" applyFill="1" applyBorder="1" applyAlignment="1">
      <alignment horizontal="right"/>
    </xf>
    <xf numFmtId="165" fontId="16" fillId="54" borderId="13" xfId="0" applyNumberFormat="1" applyFont="1" applyFill="1" applyBorder="1"/>
    <xf numFmtId="165" fontId="20" fillId="54" borderId="13" xfId="0" applyNumberFormat="1" applyFont="1" applyFill="1" applyBorder="1" applyAlignment="1">
      <alignment horizontal="center"/>
    </xf>
    <xf numFmtId="0" fontId="26" fillId="33" borderId="0" xfId="0" applyFont="1" applyFill="1" applyAlignment="1">
      <alignment vertical="center" wrapText="1"/>
    </xf>
    <xf numFmtId="0" fontId="26" fillId="33" borderId="24" xfId="0" applyFont="1" applyFill="1" applyBorder="1" applyAlignment="1">
      <alignment vertical="center" wrapText="1"/>
    </xf>
    <xf numFmtId="0" fontId="26" fillId="33" borderId="26" xfId="0" applyFont="1" applyFill="1" applyBorder="1" applyAlignment="1">
      <alignment vertical="center" wrapText="1"/>
    </xf>
    <xf numFmtId="0" fontId="13" fillId="33" borderId="18" xfId="0" applyFont="1" applyFill="1" applyBorder="1" applyAlignment="1">
      <alignment horizontal="center" vertical="center"/>
    </xf>
    <xf numFmtId="165" fontId="16" fillId="46" borderId="0" xfId="0" applyNumberFormat="1" applyFont="1" applyFill="1"/>
    <xf numFmtId="10" fontId="46" fillId="0" borderId="0" xfId="42" applyNumberFormat="1" applyFont="1" applyFill="1"/>
    <xf numFmtId="165" fontId="47" fillId="0" borderId="0" xfId="0" applyNumberFormat="1" applyFont="1"/>
    <xf numFmtId="167" fontId="25" fillId="0" borderId="0" xfId="0" applyNumberFormat="1" applyFont="1"/>
    <xf numFmtId="167" fontId="21" fillId="47" borderId="51" xfId="43" applyNumberFormat="1" applyFont="1" applyFill="1" applyBorder="1"/>
    <xf numFmtId="166" fontId="47" fillId="0" borderId="0" xfId="42" applyNumberFormat="1" applyFont="1"/>
    <xf numFmtId="166" fontId="25" fillId="0" borderId="0" xfId="42" applyNumberFormat="1" applyFont="1"/>
    <xf numFmtId="166" fontId="47" fillId="0" borderId="0" xfId="42" applyNumberFormat="1" applyFont="1" applyFill="1"/>
    <xf numFmtId="165" fontId="16" fillId="50" borderId="13" xfId="0" applyNumberFormat="1" applyFont="1" applyFill="1" applyBorder="1" applyAlignment="1">
      <alignment horizontal="center" vertical="center"/>
    </xf>
    <xf numFmtId="165" fontId="16" fillId="57" borderId="0" xfId="0" applyNumberFormat="1" applyFont="1" applyFill="1"/>
    <xf numFmtId="0" fontId="20" fillId="48" borderId="0" xfId="0" applyFont="1" applyFill="1" applyAlignment="1">
      <alignment horizontal="center"/>
    </xf>
    <xf numFmtId="0" fontId="21" fillId="48" borderId="0" xfId="0" applyFont="1" applyFill="1" applyAlignment="1">
      <alignment horizontal="center"/>
    </xf>
    <xf numFmtId="0" fontId="0" fillId="48" borderId="0" xfId="0" applyFill="1" applyAlignment="1">
      <alignment horizontal="center"/>
    </xf>
    <xf numFmtId="9" fontId="16" fillId="0" borderId="0" xfId="42" applyFont="1"/>
    <xf numFmtId="9" fontId="0" fillId="0" borderId="0" xfId="42" applyFont="1"/>
    <xf numFmtId="170" fontId="14" fillId="0" borderId="0" xfId="44" applyNumberFormat="1" applyFont="1"/>
    <xf numFmtId="170" fontId="25" fillId="47" borderId="0" xfId="44" applyNumberFormat="1" applyFont="1" applyFill="1"/>
    <xf numFmtId="170" fontId="20" fillId="0" borderId="0" xfId="44" applyNumberFormat="1" applyFont="1" applyFill="1"/>
    <xf numFmtId="170" fontId="20" fillId="0" borderId="0" xfId="44" applyNumberFormat="1" applyFont="1"/>
    <xf numFmtId="170" fontId="21" fillId="47" borderId="0" xfId="44" applyNumberFormat="1" applyFont="1" applyFill="1"/>
    <xf numFmtId="170" fontId="0" fillId="0" borderId="0" xfId="44" applyNumberFormat="1" applyFont="1"/>
    <xf numFmtId="170" fontId="18" fillId="0" borderId="0" xfId="44" applyNumberFormat="1" applyFont="1" applyFill="1"/>
    <xf numFmtId="170" fontId="18" fillId="0" borderId="0" xfId="44" applyNumberFormat="1" applyFont="1"/>
    <xf numFmtId="170" fontId="21" fillId="0" borderId="0" xfId="44" applyNumberFormat="1" applyFont="1"/>
    <xf numFmtId="170" fontId="16" fillId="0" borderId="0" xfId="44" applyNumberFormat="1" applyFont="1"/>
    <xf numFmtId="170" fontId="1" fillId="0" borderId="0" xfId="44" applyNumberFormat="1" applyFont="1"/>
    <xf numFmtId="170" fontId="16" fillId="47" borderId="0" xfId="44" applyNumberFormat="1" applyFont="1" applyFill="1"/>
    <xf numFmtId="170" fontId="16" fillId="38" borderId="0" xfId="44" applyNumberFormat="1" applyFont="1" applyFill="1"/>
    <xf numFmtId="165" fontId="48" fillId="0" borderId="11" xfId="0" applyNumberFormat="1" applyFont="1" applyBorder="1"/>
    <xf numFmtId="165" fontId="48" fillId="0" borderId="10" xfId="0" applyNumberFormat="1" applyFont="1" applyBorder="1"/>
    <xf numFmtId="165" fontId="48" fillId="0" borderId="33" xfId="0" applyNumberFormat="1" applyFont="1" applyBorder="1"/>
    <xf numFmtId="165" fontId="48" fillId="0" borderId="16" xfId="0" applyNumberFormat="1" applyFont="1" applyBorder="1"/>
    <xf numFmtId="165" fontId="16" fillId="48" borderId="13" xfId="0" applyNumberFormat="1" applyFont="1" applyFill="1" applyBorder="1" applyAlignment="1">
      <alignment horizontal="center" vertical="center"/>
    </xf>
    <xf numFmtId="9" fontId="21" fillId="0" borderId="0" xfId="42" applyFont="1" applyFill="1" applyBorder="1" applyAlignment="1">
      <alignment horizontal="center"/>
    </xf>
    <xf numFmtId="167" fontId="21" fillId="47" borderId="0" xfId="43" applyNumberFormat="1" applyFont="1" applyFill="1" applyBorder="1"/>
    <xf numFmtId="165" fontId="20" fillId="44" borderId="46" xfId="0" applyNumberFormat="1" applyFont="1" applyFill="1" applyBorder="1"/>
    <xf numFmtId="165" fontId="20" fillId="44" borderId="18" xfId="0" applyNumberFormat="1" applyFont="1" applyFill="1" applyBorder="1" applyAlignment="1">
      <alignment horizontal="center"/>
    </xf>
    <xf numFmtId="165" fontId="21" fillId="47" borderId="31" xfId="0" applyNumberFormat="1" applyFont="1" applyFill="1" applyBorder="1"/>
    <xf numFmtId="165" fontId="25" fillId="47" borderId="22" xfId="0" applyNumberFormat="1" applyFont="1" applyFill="1" applyBorder="1"/>
    <xf numFmtId="0" fontId="21" fillId="0" borderId="64" xfId="0" applyFont="1" applyBorder="1" applyAlignment="1">
      <alignment horizontal="right"/>
    </xf>
    <xf numFmtId="0" fontId="25" fillId="0" borderId="65" xfId="0" applyFont="1" applyBorder="1" applyAlignment="1">
      <alignment horizontal="right"/>
    </xf>
    <xf numFmtId="0" fontId="13" fillId="63" borderId="18" xfId="0" applyFont="1" applyFill="1" applyBorder="1" applyAlignment="1">
      <alignment horizontal="center" vertical="center"/>
    </xf>
    <xf numFmtId="0" fontId="26" fillId="63" borderId="23" xfId="0" applyFont="1" applyFill="1" applyBorder="1" applyAlignment="1">
      <alignment horizontal="center" vertical="center" wrapText="1"/>
    </xf>
    <xf numFmtId="0" fontId="26" fillId="63" borderId="26" xfId="0" applyFont="1" applyFill="1" applyBorder="1" applyAlignment="1">
      <alignment vertical="center" wrapText="1"/>
    </xf>
    <xf numFmtId="0" fontId="26" fillId="63" borderId="24" xfId="0" applyFont="1" applyFill="1" applyBorder="1" applyAlignment="1">
      <alignment vertical="center" wrapText="1"/>
    </xf>
    <xf numFmtId="0" fontId="26" fillId="63" borderId="0" xfId="0" applyFont="1" applyFill="1" applyAlignment="1">
      <alignment vertical="center" wrapText="1"/>
    </xf>
    <xf numFmtId="0" fontId="16" fillId="56" borderId="12" xfId="0" applyFont="1" applyFill="1" applyBorder="1" applyAlignment="1">
      <alignment horizontal="right"/>
    </xf>
    <xf numFmtId="165" fontId="20" fillId="56" borderId="18" xfId="0" applyNumberFormat="1" applyFont="1" applyFill="1" applyBorder="1"/>
    <xf numFmtId="165" fontId="20" fillId="56" borderId="46" xfId="0" applyNumberFormat="1" applyFont="1" applyFill="1" applyBorder="1"/>
    <xf numFmtId="165" fontId="20" fillId="56" borderId="18" xfId="0" applyNumberFormat="1" applyFont="1" applyFill="1" applyBorder="1" applyAlignment="1">
      <alignment horizontal="center"/>
    </xf>
    <xf numFmtId="165" fontId="21" fillId="56" borderId="18" xfId="0" applyNumberFormat="1" applyFont="1" applyFill="1" applyBorder="1"/>
    <xf numFmtId="165" fontId="16" fillId="56" borderId="13" xfId="0" applyNumberFormat="1" applyFont="1" applyFill="1" applyBorder="1"/>
    <xf numFmtId="0" fontId="16" fillId="56" borderId="15" xfId="0" applyFont="1" applyFill="1" applyBorder="1" applyAlignment="1">
      <alignment horizontal="right"/>
    </xf>
    <xf numFmtId="165" fontId="20" fillId="56" borderId="10" xfId="0" applyNumberFormat="1" applyFont="1" applyFill="1" applyBorder="1"/>
    <xf numFmtId="165" fontId="21" fillId="56" borderId="11" xfId="0" applyNumberFormat="1" applyFont="1" applyFill="1" applyBorder="1"/>
    <xf numFmtId="165" fontId="20" fillId="56" borderId="11" xfId="0" applyNumberFormat="1" applyFont="1" applyFill="1" applyBorder="1"/>
    <xf numFmtId="0" fontId="21" fillId="56" borderId="27" xfId="0" applyFont="1" applyFill="1" applyBorder="1" applyAlignment="1">
      <alignment horizontal="right"/>
    </xf>
    <xf numFmtId="0" fontId="16" fillId="56" borderId="22" xfId="0" applyFont="1" applyFill="1" applyBorder="1" applyAlignment="1">
      <alignment horizontal="right"/>
    </xf>
    <xf numFmtId="165" fontId="0" fillId="56" borderId="16" xfId="0" applyNumberFormat="1" applyFill="1" applyBorder="1"/>
    <xf numFmtId="165" fontId="20" fillId="56" borderId="16" xfId="0" applyNumberFormat="1" applyFont="1" applyFill="1" applyBorder="1"/>
    <xf numFmtId="165" fontId="21" fillId="56" borderId="16" xfId="0" applyNumberFormat="1" applyFont="1" applyFill="1" applyBorder="1"/>
    <xf numFmtId="0" fontId="21" fillId="56" borderId="31" xfId="0" applyFont="1" applyFill="1" applyBorder="1" applyAlignment="1">
      <alignment horizontal="right"/>
    </xf>
    <xf numFmtId="0" fontId="21" fillId="56" borderId="32" xfId="0" applyFont="1" applyFill="1" applyBorder="1" applyAlignment="1">
      <alignment horizontal="right"/>
    </xf>
    <xf numFmtId="165" fontId="20" fillId="56" borderId="33" xfId="0" applyNumberFormat="1" applyFont="1" applyFill="1" applyBorder="1"/>
    <xf numFmtId="0" fontId="21" fillId="63" borderId="0" xfId="0" applyFont="1" applyFill="1" applyAlignment="1">
      <alignment horizontal="right"/>
    </xf>
    <xf numFmtId="165" fontId="0" fillId="63" borderId="0" xfId="0" applyNumberFormat="1" applyFill="1"/>
    <xf numFmtId="165" fontId="16" fillId="63" borderId="0" xfId="0" applyNumberFormat="1" applyFont="1" applyFill="1"/>
    <xf numFmtId="0" fontId="20" fillId="63" borderId="0" xfId="0" applyFont="1" applyFill="1" applyAlignment="1">
      <alignment horizontal="right"/>
    </xf>
    <xf numFmtId="10" fontId="1" fillId="63" borderId="0" xfId="42" applyNumberFormat="1" applyFont="1" applyFill="1"/>
    <xf numFmtId="10" fontId="0" fillId="63" borderId="0" xfId="42" applyNumberFormat="1" applyFont="1" applyFill="1"/>
    <xf numFmtId="167" fontId="21" fillId="0" borderId="0" xfId="43" applyNumberFormat="1" applyFont="1" applyFill="1" applyBorder="1"/>
    <xf numFmtId="165" fontId="16" fillId="0" borderId="10" xfId="0" applyNumberFormat="1" applyFont="1" applyBorder="1"/>
    <xf numFmtId="165" fontId="14" fillId="0" borderId="10" xfId="0" applyNumberFormat="1" applyFont="1" applyBorder="1"/>
    <xf numFmtId="165" fontId="20" fillId="53" borderId="10" xfId="0" applyNumberFormat="1" applyFont="1" applyFill="1" applyBorder="1"/>
    <xf numFmtId="166" fontId="21" fillId="0" borderId="0" xfId="42" applyNumberFormat="1" applyFont="1"/>
    <xf numFmtId="166" fontId="21" fillId="0" borderId="0" xfId="42" applyNumberFormat="1" applyFont="1" applyFill="1"/>
    <xf numFmtId="165" fontId="20" fillId="39" borderId="10" xfId="0" applyNumberFormat="1" applyFont="1" applyFill="1" applyBorder="1"/>
    <xf numFmtId="165" fontId="20" fillId="39" borderId="33" xfId="0" applyNumberFormat="1" applyFont="1" applyFill="1" applyBorder="1"/>
    <xf numFmtId="165" fontId="14" fillId="39" borderId="10" xfId="0" applyNumberFormat="1" applyFont="1" applyFill="1" applyBorder="1"/>
    <xf numFmtId="170" fontId="0" fillId="0" borderId="0" xfId="0" applyNumberFormat="1"/>
    <xf numFmtId="0" fontId="0" fillId="40" borderId="0" xfId="0" applyFill="1" applyAlignment="1">
      <alignment horizontal="center"/>
    </xf>
    <xf numFmtId="0" fontId="0" fillId="40" borderId="0" xfId="0" applyFill="1"/>
    <xf numFmtId="0" fontId="16" fillId="40" borderId="0" xfId="0" applyFont="1" applyFill="1"/>
    <xf numFmtId="170" fontId="25" fillId="38" borderId="0" xfId="44" applyNumberFormat="1" applyFont="1" applyFill="1"/>
    <xf numFmtId="170" fontId="14" fillId="0" borderId="0" xfId="44" applyNumberFormat="1" applyFont="1" applyFill="1"/>
    <xf numFmtId="165" fontId="21" fillId="53" borderId="13" xfId="0" applyNumberFormat="1" applyFont="1" applyFill="1" applyBorder="1" applyAlignment="1">
      <alignment horizontal="center"/>
    </xf>
    <xf numFmtId="170" fontId="21" fillId="0" borderId="0" xfId="44" applyNumberFormat="1" applyFont="1" applyFill="1"/>
    <xf numFmtId="0" fontId="14" fillId="0" borderId="0" xfId="0" applyFont="1" applyAlignment="1">
      <alignment horizontal="right"/>
    </xf>
    <xf numFmtId="0" fontId="0" fillId="39" borderId="0" xfId="0" applyFill="1" applyAlignment="1">
      <alignment horizontal="center"/>
    </xf>
    <xf numFmtId="170" fontId="25" fillId="0" borderId="0" xfId="44" applyNumberFormat="1" applyFont="1" applyFill="1"/>
    <xf numFmtId="165" fontId="0" fillId="39" borderId="0" xfId="0" applyNumberFormat="1" applyFill="1"/>
    <xf numFmtId="0" fontId="13" fillId="0" borderId="18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165" fontId="21" fillId="0" borderId="13" xfId="0" applyNumberFormat="1" applyFont="1" applyBorder="1" applyAlignment="1">
      <alignment horizontal="center"/>
    </xf>
    <xf numFmtId="0" fontId="26" fillId="0" borderId="26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165" fontId="19" fillId="0" borderId="33" xfId="0" applyNumberFormat="1" applyFont="1" applyBorder="1"/>
    <xf numFmtId="0" fontId="2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5" fontId="20" fillId="0" borderId="0" xfId="42" applyNumberFormat="1" applyFont="1" applyFill="1" applyBorder="1"/>
    <xf numFmtId="165" fontId="20" fillId="0" borderId="53" xfId="42" applyNumberFormat="1" applyFont="1" applyFill="1" applyBorder="1"/>
    <xf numFmtId="165" fontId="20" fillId="0" borderId="0" xfId="42" applyNumberFormat="1" applyFont="1" applyFill="1"/>
    <xf numFmtId="0" fontId="16" fillId="0" borderId="12" xfId="0" applyFont="1" applyBorder="1" applyAlignment="1">
      <alignment horizontal="right"/>
    </xf>
    <xf numFmtId="165" fontId="21" fillId="0" borderId="18" xfId="0" applyNumberFormat="1" applyFont="1" applyBorder="1"/>
    <xf numFmtId="9" fontId="0" fillId="0" borderId="0" xfId="42" applyFont="1" applyFill="1" applyBorder="1"/>
    <xf numFmtId="165" fontId="21" fillId="0" borderId="31" xfId="0" applyNumberFormat="1" applyFont="1" applyBorder="1"/>
    <xf numFmtId="44" fontId="14" fillId="0" borderId="0" xfId="43" applyFont="1" applyFill="1" applyBorder="1"/>
    <xf numFmtId="165" fontId="25" fillId="0" borderId="22" xfId="0" applyNumberFormat="1" applyFont="1" applyBorder="1"/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/>
    </xf>
    <xf numFmtId="167" fontId="20" fillId="0" borderId="0" xfId="43" applyNumberFormat="1" applyFont="1" applyFill="1"/>
    <xf numFmtId="0" fontId="21" fillId="0" borderId="21" xfId="0" applyFont="1" applyBorder="1" applyAlignment="1">
      <alignment horizontal="right"/>
    </xf>
    <xf numFmtId="165" fontId="16" fillId="0" borderId="11" xfId="0" applyNumberFormat="1" applyFont="1" applyBorder="1"/>
    <xf numFmtId="0" fontId="21" fillId="0" borderId="27" xfId="0" applyFont="1" applyBorder="1" applyAlignment="1">
      <alignment horizontal="right"/>
    </xf>
    <xf numFmtId="0" fontId="16" fillId="0" borderId="22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 wrapText="1"/>
    </xf>
    <xf numFmtId="165" fontId="16" fillId="0" borderId="13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right"/>
    </xf>
    <xf numFmtId="167" fontId="21" fillId="0" borderId="0" xfId="43" applyNumberFormat="1" applyFont="1" applyFill="1"/>
    <xf numFmtId="0" fontId="21" fillId="0" borderId="32" xfId="0" applyFont="1" applyBorder="1" applyAlignment="1">
      <alignment horizontal="right"/>
    </xf>
    <xf numFmtId="165" fontId="1" fillId="0" borderId="0" xfId="42" applyNumberFormat="1" applyFont="1" applyFill="1" applyBorder="1"/>
    <xf numFmtId="165" fontId="0" fillId="0" borderId="0" xfId="42" applyNumberFormat="1" applyFont="1" applyFill="1" applyBorder="1"/>
    <xf numFmtId="167" fontId="16" fillId="0" borderId="0" xfId="43" applyNumberFormat="1" applyFont="1" applyFill="1"/>
    <xf numFmtId="0" fontId="21" fillId="0" borderId="2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19" fillId="0" borderId="26" xfId="0" applyFont="1" applyBorder="1" applyAlignment="1">
      <alignment horizontal="right" vertical="center"/>
    </xf>
    <xf numFmtId="0" fontId="0" fillId="0" borderId="13" xfId="0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5" fillId="0" borderId="26" xfId="0" applyFont="1" applyBorder="1" applyAlignment="1">
      <alignment horizontal="right" vertical="center"/>
    </xf>
    <xf numFmtId="44" fontId="16" fillId="0" borderId="0" xfId="43" applyFont="1" applyFill="1"/>
    <xf numFmtId="166" fontId="16" fillId="0" borderId="0" xfId="42" applyNumberFormat="1" applyFont="1" applyFill="1"/>
    <xf numFmtId="10" fontId="0" fillId="0" borderId="0" xfId="42" applyNumberFormat="1" applyFont="1" applyFill="1"/>
    <xf numFmtId="9" fontId="1" fillId="0" borderId="0" xfId="42" applyFont="1" applyFill="1"/>
    <xf numFmtId="5" fontId="1" fillId="0" borderId="0" xfId="43" applyNumberFormat="1" applyFont="1" applyFill="1" applyAlignment="1">
      <alignment horizontal="center"/>
    </xf>
    <xf numFmtId="9" fontId="20" fillId="0" borderId="0" xfId="42" applyFont="1" applyFill="1"/>
    <xf numFmtId="165" fontId="40" fillId="0" borderId="0" xfId="0" applyNumberFormat="1" applyFont="1"/>
    <xf numFmtId="165" fontId="42" fillId="0" borderId="0" xfId="0" applyNumberFormat="1" applyFont="1"/>
    <xf numFmtId="5" fontId="31" fillId="0" borderId="0" xfId="43" applyNumberFormat="1" applyFont="1" applyFill="1" applyAlignment="1">
      <alignment horizontal="center"/>
    </xf>
    <xf numFmtId="5" fontId="0" fillId="0" borderId="0" xfId="43" applyNumberFormat="1" applyFont="1" applyFill="1" applyAlignment="1">
      <alignment horizontal="center"/>
    </xf>
    <xf numFmtId="166" fontId="25" fillId="0" borderId="0" xfId="42" applyNumberFormat="1" applyFont="1" applyFill="1"/>
    <xf numFmtId="0" fontId="28" fillId="0" borderId="0" xfId="0" applyFont="1" applyAlignment="1">
      <alignment horizontal="right"/>
    </xf>
    <xf numFmtId="165" fontId="41" fillId="0" borderId="0" xfId="0" applyNumberFormat="1" applyFont="1"/>
    <xf numFmtId="165" fontId="28" fillId="0" borderId="0" xfId="0" applyNumberFormat="1" applyFont="1"/>
    <xf numFmtId="165" fontId="43" fillId="0" borderId="0" xfId="0" applyNumberFormat="1" applyFont="1"/>
    <xf numFmtId="165" fontId="33" fillId="0" borderId="0" xfId="0" applyNumberFormat="1" applyFont="1"/>
    <xf numFmtId="164" fontId="21" fillId="0" borderId="0" xfId="0" applyNumberFormat="1" applyFont="1" applyAlignment="1">
      <alignment horizontal="center"/>
    </xf>
    <xf numFmtId="167" fontId="21" fillId="0" borderId="51" xfId="43" applyNumberFormat="1" applyFont="1" applyFill="1" applyBorder="1"/>
    <xf numFmtId="170" fontId="0" fillId="0" borderId="0" xfId="44" applyNumberFormat="1" applyFont="1" applyFill="1"/>
    <xf numFmtId="170" fontId="16" fillId="0" borderId="0" xfId="44" applyNumberFormat="1" applyFont="1" applyFill="1"/>
    <xf numFmtId="170" fontId="1" fillId="0" borderId="0" xfId="44" applyNumberFormat="1" applyFont="1" applyFill="1"/>
    <xf numFmtId="167" fontId="16" fillId="0" borderId="0" xfId="43" applyNumberFormat="1" applyFont="1" applyFill="1" applyBorder="1"/>
    <xf numFmtId="167" fontId="1" fillId="0" borderId="0" xfId="43" applyNumberFormat="1" applyFont="1" applyFill="1"/>
    <xf numFmtId="44" fontId="14" fillId="0" borderId="0" xfId="43" applyFont="1" applyFill="1"/>
    <xf numFmtId="0" fontId="21" fillId="0" borderId="18" xfId="0" applyFont="1" applyBorder="1" applyAlignment="1">
      <alignment horizontal="center" vertical="center"/>
    </xf>
    <xf numFmtId="167" fontId="0" fillId="0" borderId="0" xfId="43" applyNumberFormat="1" applyFont="1" applyFill="1" applyBorder="1"/>
    <xf numFmtId="166" fontId="0" fillId="0" borderId="0" xfId="42" applyNumberFormat="1" applyFont="1" applyFill="1"/>
    <xf numFmtId="9" fontId="16" fillId="0" borderId="0" xfId="42" applyFont="1" applyFill="1"/>
    <xf numFmtId="44" fontId="1" fillId="0" borderId="0" xfId="43" applyFont="1" applyFill="1"/>
    <xf numFmtId="165" fontId="16" fillId="39" borderId="0" xfId="0" applyNumberFormat="1" applyFont="1" applyFill="1"/>
    <xf numFmtId="9" fontId="1" fillId="39" borderId="0" xfId="42" applyFont="1" applyFill="1"/>
    <xf numFmtId="0" fontId="20" fillId="39" borderId="0" xfId="0" applyFont="1" applyFill="1" applyAlignment="1">
      <alignment horizontal="right"/>
    </xf>
    <xf numFmtId="165" fontId="21" fillId="0" borderId="46" xfId="0" applyNumberFormat="1" applyFont="1" applyBorder="1"/>
    <xf numFmtId="165" fontId="21" fillId="0" borderId="18" xfId="0" applyNumberFormat="1" applyFont="1" applyBorder="1" applyAlignment="1">
      <alignment horizontal="center"/>
    </xf>
    <xf numFmtId="0" fontId="21" fillId="39" borderId="18" xfId="0" applyFont="1" applyFill="1" applyBorder="1" applyAlignment="1">
      <alignment horizontal="center" vertical="center"/>
    </xf>
    <xf numFmtId="0" fontId="39" fillId="0" borderId="0" xfId="0" applyFont="1" applyAlignment="1">
      <alignment horizontal="right"/>
    </xf>
    <xf numFmtId="165" fontId="49" fillId="0" borderId="0" xfId="0" applyNumberFormat="1" applyFont="1"/>
    <xf numFmtId="165" fontId="39" fillId="0" borderId="0" xfId="0" applyNumberFormat="1" applyFont="1"/>
    <xf numFmtId="0" fontId="49" fillId="0" borderId="0" xfId="0" applyFont="1" applyAlignment="1">
      <alignment horizontal="right"/>
    </xf>
    <xf numFmtId="10" fontId="49" fillId="0" borderId="0" xfId="42" applyNumberFormat="1" applyFont="1" applyFill="1"/>
    <xf numFmtId="9" fontId="25" fillId="0" borderId="0" xfId="42" applyFont="1" applyFill="1"/>
    <xf numFmtId="165" fontId="25" fillId="0" borderId="0" xfId="42" applyNumberFormat="1" applyFont="1" applyFill="1"/>
    <xf numFmtId="164" fontId="25" fillId="0" borderId="0" xfId="0" applyNumberFormat="1" applyFont="1"/>
    <xf numFmtId="165" fontId="50" fillId="0" borderId="0" xfId="0" applyNumberFormat="1" applyFont="1"/>
    <xf numFmtId="0" fontId="0" fillId="37" borderId="0" xfId="0" applyFill="1" applyAlignment="1">
      <alignment horizontal="right"/>
    </xf>
    <xf numFmtId="14" fontId="0" fillId="37" borderId="0" xfId="0" applyNumberFormat="1" applyFill="1" applyAlignment="1">
      <alignment horizontal="center"/>
    </xf>
    <xf numFmtId="0" fontId="0" fillId="37" borderId="0" xfId="0" applyFill="1"/>
    <xf numFmtId="165" fontId="20" fillId="37" borderId="0" xfId="0" applyNumberFormat="1" applyFont="1" applyFill="1"/>
    <xf numFmtId="0" fontId="0" fillId="37" borderId="0" xfId="0" applyFill="1" applyAlignment="1">
      <alignment horizontal="center"/>
    </xf>
    <xf numFmtId="165" fontId="20" fillId="37" borderId="11" xfId="0" applyNumberFormat="1" applyFont="1" applyFill="1" applyBorder="1"/>
    <xf numFmtId="44" fontId="0" fillId="37" borderId="0" xfId="43" applyFont="1" applyFill="1"/>
    <xf numFmtId="0" fontId="16" fillId="37" borderId="0" xfId="0" applyFont="1" applyFill="1"/>
    <xf numFmtId="170" fontId="1" fillId="0" borderId="52" xfId="44" applyNumberFormat="1" applyFont="1" applyBorder="1"/>
    <xf numFmtId="170" fontId="20" fillId="0" borderId="52" xfId="44" applyNumberFormat="1" applyFont="1" applyBorder="1"/>
    <xf numFmtId="0" fontId="51" fillId="0" borderId="0" xfId="0" applyFont="1"/>
    <xf numFmtId="0" fontId="51" fillId="0" borderId="0" xfId="0" applyFont="1" applyAlignment="1">
      <alignment horizontal="right"/>
    </xf>
    <xf numFmtId="170" fontId="51" fillId="0" borderId="0" xfId="44" applyNumberFormat="1" applyFont="1"/>
    <xf numFmtId="0" fontId="0" fillId="47" borderId="0" xfId="0" applyFill="1"/>
    <xf numFmtId="17" fontId="0" fillId="47" borderId="0" xfId="0" applyNumberFormat="1" applyFill="1"/>
    <xf numFmtId="170" fontId="1" fillId="47" borderId="0" xfId="44" applyNumberFormat="1" applyFont="1" applyFill="1"/>
    <xf numFmtId="0" fontId="0" fillId="54" borderId="0" xfId="0" applyFill="1"/>
    <xf numFmtId="170" fontId="1" fillId="54" borderId="0" xfId="44" applyNumberFormat="1" applyFont="1" applyFill="1"/>
    <xf numFmtId="170" fontId="1" fillId="39" borderId="0" xfId="44" applyNumberFormat="1" applyFont="1" applyFill="1"/>
    <xf numFmtId="170" fontId="1" fillId="56" borderId="0" xfId="44" applyNumberFormat="1" applyFont="1" applyFill="1"/>
    <xf numFmtId="9" fontId="1" fillId="56" borderId="0" xfId="42" applyFont="1" applyFill="1"/>
    <xf numFmtId="10" fontId="0" fillId="0" borderId="0" xfId="42" applyNumberFormat="1" applyFont="1"/>
    <xf numFmtId="0" fontId="37" fillId="63" borderId="35" xfId="0" applyFont="1" applyFill="1" applyBorder="1" applyAlignment="1">
      <alignment horizontal="center"/>
    </xf>
    <xf numFmtId="0" fontId="13" fillId="63" borderId="30" xfId="0" applyFont="1" applyFill="1" applyBorder="1" applyAlignment="1">
      <alignment horizontal="center"/>
    </xf>
    <xf numFmtId="0" fontId="21" fillId="39" borderId="23" xfId="0" applyFont="1" applyFill="1" applyBorder="1" applyAlignment="1">
      <alignment horizontal="center" vertical="center"/>
    </xf>
    <xf numFmtId="0" fontId="26" fillId="63" borderId="23" xfId="0" applyFont="1" applyFill="1" applyBorder="1" applyAlignment="1">
      <alignment horizontal="center" vertical="center" wrapText="1"/>
    </xf>
    <xf numFmtId="0" fontId="37" fillId="37" borderId="35" xfId="0" applyFont="1" applyFill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26" fillId="0" borderId="23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37" fillId="61" borderId="35" xfId="0" applyFont="1" applyFill="1" applyBorder="1" applyAlignment="1">
      <alignment horizontal="center"/>
    </xf>
    <xf numFmtId="0" fontId="13" fillId="61" borderId="30" xfId="0" applyFont="1" applyFill="1" applyBorder="1" applyAlignment="1">
      <alignment horizontal="center"/>
    </xf>
    <xf numFmtId="0" fontId="26" fillId="61" borderId="23" xfId="0" applyFont="1" applyFill="1" applyBorder="1" applyAlignment="1">
      <alignment horizontal="center" vertical="center" wrapText="1"/>
    </xf>
    <xf numFmtId="0" fontId="37" fillId="33" borderId="35" xfId="0" applyFont="1" applyFill="1" applyBorder="1" applyAlignment="1">
      <alignment horizontal="center"/>
    </xf>
    <xf numFmtId="0" fontId="13" fillId="33" borderId="30" xfId="0" applyFont="1" applyFill="1" applyBorder="1" applyAlignment="1">
      <alignment horizontal="center"/>
    </xf>
    <xf numFmtId="0" fontId="26" fillId="33" borderId="23" xfId="0" applyFont="1" applyFill="1" applyBorder="1" applyAlignment="1">
      <alignment horizontal="center" vertical="center" wrapText="1"/>
    </xf>
    <xf numFmtId="0" fontId="38" fillId="59" borderId="35" xfId="0" applyFont="1" applyFill="1" applyBorder="1" applyAlignment="1">
      <alignment horizontal="center"/>
    </xf>
    <xf numFmtId="0" fontId="13" fillId="59" borderId="30" xfId="0" applyFont="1" applyFill="1" applyBorder="1" applyAlignment="1">
      <alignment horizontal="center"/>
    </xf>
    <xf numFmtId="0" fontId="26" fillId="59" borderId="23" xfId="0" applyFont="1" applyFill="1" applyBorder="1" applyAlignment="1">
      <alignment horizontal="center" vertical="center" wrapText="1"/>
    </xf>
    <xf numFmtId="0" fontId="0" fillId="39" borderId="35" xfId="0" applyFill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FF0000"/>
      </font>
    </dxf>
    <dxf>
      <fill>
        <patternFill patternType="solid">
          <bgColor rgb="FFFFFF00"/>
        </patternFill>
      </fill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&quot;$&quot;#,##0"/>
    </dxf>
    <dxf>
      <numFmt numFmtId="165" formatCode="&quot;$&quot;#,##0"/>
    </dxf>
    <dxf>
      <numFmt numFmtId="171" formatCode="&quot;$&quot;#,##0.0"/>
    </dxf>
    <dxf>
      <numFmt numFmtId="171" formatCode="&quot;$&quot;#,##0.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colors>
    <mruColors>
      <color rgb="FFE4C1ED"/>
      <color rgb="FFC47AD8"/>
      <color rgb="FFBC67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CurrentDir/01-11-2022%20-%20Sales%20Review%20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Parker" refreshedDate="43587.418565046297" createdVersion="6" refreshedVersion="6" minRefreshableVersion="3" recordCount="1465" xr:uid="{00000000-000A-0000-FFFF-FFFF5E000000}">
  <cacheSource type="worksheet">
    <worksheetSource ref="A1:AQ1048576" sheet="Opp Report" r:id="rId2"/>
  </cacheSource>
  <cacheFields count="45">
    <cacheField name="Month" numFmtId="0">
      <sharedItems containsString="0" containsBlank="1" containsNumber="1" containsInteger="1" minValue="1" maxValue="12" count="13">
        <n v="1"/>
        <n v="3"/>
        <n v="5"/>
        <n v="7"/>
        <n v="2"/>
        <n v="4"/>
        <n v="6"/>
        <n v="8"/>
        <n v="9"/>
        <n v="10"/>
        <n v="11"/>
        <n v="12"/>
        <m/>
      </sharedItems>
    </cacheField>
    <cacheField name="Year" numFmtId="0">
      <sharedItems containsString="0" containsBlank="1" containsNumber="1" containsInteger="1" minValue="2010" maxValue="2019" count="11">
        <n v="2019"/>
        <m/>
        <n v="2018" u="1"/>
        <n v="2014" u="1"/>
        <n v="2010" u="1"/>
        <n v="2015" u="1"/>
        <n v="2011" u="1"/>
        <n v="2016" u="1"/>
        <n v="2012" u="1"/>
        <n v="2017" u="1"/>
        <n v="2013" u="1"/>
      </sharedItems>
    </cacheField>
    <cacheField name="Flag" numFmtId="0">
      <sharedItems containsBlank="1"/>
    </cacheField>
    <cacheField name="status" numFmtId="0">
      <sharedItems containsBlank="1"/>
    </cacheField>
    <cacheField name="Status2" numFmtId="0">
      <sharedItems containsBlank="1" count="13">
        <s v="Won"/>
        <s v="Lost - Unknown"/>
        <s v="Lost - Price"/>
        <s v="Open"/>
        <s v="Closed - Client Cancel"/>
        <s v="Lost - Competition"/>
        <s v="Closed - Bad data"/>
        <s v="Closed - Unresponsive"/>
        <m/>
        <s v="No decision" u="1"/>
        <s v="Won - XP Replacement" u="1"/>
        <s v="Lost - Client Cancel" u="1"/>
        <s v="Won - New Client" u="1"/>
      </sharedItems>
    </cacheField>
    <cacheField name="Close Date" numFmtId="0">
      <sharedItems containsNonDate="0" containsDate="1" containsString="0" containsBlank="1" minDate="2019-01-01T00:00:00" maxDate="2020-01-01T00:00:00" count="90">
        <d v="2019-01-01T00:00:00"/>
        <d v="2019-01-31T00:00:00"/>
        <d v="2019-03-31T00:00:00"/>
        <d v="2019-05-27T00:00:00"/>
        <d v="2019-07-08T00:00:00"/>
        <d v="2019-02-28T00:00:00"/>
        <d v="2019-03-13T00:00:00"/>
        <d v="2019-04-17T00:00:00"/>
        <d v="2019-04-30T00:00:00"/>
        <d v="2019-05-30T00:00:00"/>
        <d v="2019-05-31T00:00:00"/>
        <d v="2019-06-30T00:00:00"/>
        <d v="2019-05-22T00:00:00"/>
        <d v="2019-06-15T00:00:00"/>
        <d v="2019-08-15T00:00:00"/>
        <d v="2019-03-22T00:00:00"/>
        <d v="2019-03-29T00:00:00"/>
        <d v="2019-06-10T00:00:00"/>
        <d v="2019-06-22T00:00:00"/>
        <d v="2019-07-31T00:00:00"/>
        <d v="2019-08-30T00:00:00"/>
        <d v="2019-08-31T00:00:00"/>
        <d v="2019-09-20T00:00:00"/>
        <d v="2019-09-30T00:00:00"/>
        <d v="2019-10-31T00:00:00"/>
        <d v="2019-01-02T00:00:00"/>
        <d v="2019-01-03T00:00:00"/>
        <d v="2019-01-04T00:00:00"/>
        <d v="2019-01-07T00:00:00"/>
        <d v="2019-01-08T00:00:00"/>
        <d v="2019-01-09T00:00:00"/>
        <d v="2019-01-11T00:00:00"/>
        <d v="2019-01-12T00:00:00"/>
        <d v="2019-01-14T00:00:00"/>
        <d v="2019-01-16T00:00:00"/>
        <d v="2019-01-21T00:00:00"/>
        <d v="2019-01-23T00:00:00"/>
        <d v="2019-01-24T00:00:00"/>
        <d v="2019-01-25T00:00:00"/>
        <d v="2019-01-28T00:00:00"/>
        <d v="2019-01-30T00:00:00"/>
        <d v="2019-02-01T00:00:00"/>
        <d v="2019-02-04T00:00:00"/>
        <d v="2019-02-05T00:00:00"/>
        <d v="2019-02-06T00:00:00"/>
        <d v="2019-02-08T00:00:00"/>
        <d v="2019-02-09T00:00:00"/>
        <d v="2019-02-11T00:00:00"/>
        <d v="2019-02-13T00:00:00"/>
        <d v="2019-02-15T00:00:00"/>
        <d v="2019-02-18T00:00:00"/>
        <d v="2019-02-20T00:00:00"/>
        <d v="2019-02-25T00:00:00"/>
        <d v="2019-02-26T00:00:00"/>
        <d v="2019-02-27T00:00:00"/>
        <d v="2019-03-01T00:00:00"/>
        <d v="2019-03-04T00:00:00"/>
        <d v="2019-03-05T00:00:00"/>
        <d v="2019-03-06T00:00:00"/>
        <d v="2019-03-11T00:00:00"/>
        <d v="2019-03-14T00:00:00"/>
        <d v="2019-03-15T00:00:00"/>
        <d v="2019-03-18T00:00:00"/>
        <d v="2019-03-20T00:00:00"/>
        <d v="2019-03-27T00:00:00"/>
        <d v="2019-04-01T00:00:00"/>
        <d v="2019-04-04T00:00:00"/>
        <d v="2019-04-05T00:00:00"/>
        <d v="2019-04-07T00:00:00"/>
        <d v="2019-04-08T00:00:00"/>
        <d v="2019-04-10T00:00:00"/>
        <d v="2019-04-11T00:00:00"/>
        <d v="2019-04-12T00:00:00"/>
        <d v="2019-04-16T00:00:00"/>
        <d v="2019-04-18T00:00:00"/>
        <d v="2019-04-19T00:00:00"/>
        <d v="2019-04-22T00:00:00"/>
        <d v="2019-04-23T00:00:00"/>
        <d v="2019-04-24T00:00:00"/>
        <d v="2019-04-25T00:00:00"/>
        <d v="2019-04-26T00:00:00"/>
        <d v="2019-04-27T00:00:00"/>
        <d v="2019-04-29T00:00:00"/>
        <d v="2019-05-01T00:00:00"/>
        <d v="2019-05-17T00:00:00"/>
        <d v="2019-06-08T00:00:00"/>
        <d v="2019-06-28T00:00:00"/>
        <d v="2019-11-30T00:00:00"/>
        <d v="2019-12-31T00:00:00"/>
        <m/>
      </sharedItems>
      <fieldGroup par="44" base="5">
        <rangePr groupBy="days" startDate="2019-01-01T00:00:00" endDate="2020-01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0"/>
        </groupItems>
      </fieldGroup>
    </cacheField>
    <cacheField name="Sales Rep" numFmtId="0">
      <sharedItems containsBlank="1"/>
    </cacheField>
    <cacheField name="Company" numFmtId="0">
      <sharedItems containsBlank="1" count="299">
        <s v="Driltek"/>
        <s v="Nelson and Associates"/>
        <s v="Chadmar"/>
        <s v="Dave Jaskolski Insurance"/>
        <s v="Instrument Control Services"/>
        <s v="Lilac Patisserie"/>
        <s v="Cloudburst Misting Systems, Inc."/>
        <s v="A Change in Trajectory (ACT)"/>
        <s v="Manduka"/>
        <s v="Snap Creative"/>
        <s v="Bible Fellowship Church"/>
        <s v="Cole and Clark Oral Surgery"/>
        <s v="Fire Sprinkler Systems Inc."/>
        <s v="Crossroads Community Church"/>
        <s v="Cool Pak"/>
        <s v="Vintage Marina"/>
        <s v="SC Sheet Metal"/>
        <s v="Passport to Adaptive Living"/>
        <s v="Nordson Medical "/>
        <s v="Drapery Affair"/>
        <s v="Notes for Notes"/>
        <s v="Studio Designs"/>
        <s v="California Center Public Health Advocacy (CCPHA)"/>
        <s v="Southland Stone USA Inc."/>
        <s v="AVF Group Incorporated"/>
        <s v="Conejo Valley Heating and Air"/>
        <s v="ABEDI"/>
        <s v="Performance Glass"/>
        <s v="Mission Oaks Tax and Accounting"/>
        <s v="CAPS MEDIA"/>
        <s v="Turning Point Foundation"/>
        <s v="Advanced Chiropractic"/>
        <s v="Connecting Dot by Dot"/>
        <s v="Autism Behavioral Health (ABH)"/>
        <s v="Organic Certifiers"/>
        <s v="Total Barricade Service"/>
        <s v="Monzon Dental"/>
        <s v="Pacifica Institute of Cosmetic Surgery"/>
        <s v="Z&amp;S Management Corporation"/>
        <s v="DITEC Manufacturing"/>
        <s v="Autism Response Team (ART)"/>
        <s v="Clean Foods"/>
        <s v="MMHSM OBGYN Management, LLC"/>
        <s v="Stellar Biotechnologies"/>
        <s v="ClarityRx Clinical Skin Care, Inc."/>
        <s v="Palm Garden Hotel"/>
        <s v="PulseOne"/>
        <s v="Focus On The Masters"/>
        <s v="Rubicon Theatre"/>
        <s v="Ventura County Overhead Door"/>
        <s v="Beach House Fish"/>
        <s v="Sierra Traffic Services"/>
        <s v="Executive Property Management"/>
        <s v="Jeremy Wilson - Personal"/>
        <s v="Stuart Rose Heating and Air Conditioning"/>
        <s v="Duverger"/>
        <s v="Daigh Rick Landscape Architects, LLC"/>
        <s v="EDM Services, Inc."/>
        <s v="Marsh Industries International"/>
        <s v="Thaxton &amp; Associates"/>
        <s v="itracHealth"/>
        <m/>
        <s v="Fausset Printing" u="1"/>
        <s v="Law Offices of Daniel A. Higson" u="1"/>
        <s v="Pacific Aire" u="1"/>
        <s v="David Lehr Law" u="1"/>
        <s v="BKM" u="1"/>
        <s v="Myers, Widders, Gibson, Jones &amp; Feingold, LLP" u="1"/>
        <s v="Applied Powdercoat" u="1"/>
        <s v="Aberdeen Broadcasting Services" u="1"/>
        <s v="G and R Concrete" u="1"/>
        <s v="HeroTech" u="1"/>
        <s v="! OPPORTUNITY TEMPLATES !" u="1"/>
        <s v="Animal Eye Care Clinics" u="1"/>
        <s v="Cardno ERI" u="1"/>
        <s v="Sunny Smiles Dental" u="1"/>
        <s v="City Church / College Heights" u="1"/>
        <s v="Robbins Auto Top, LLC" u="1"/>
        <s v="Quirk Law Firm" u="1"/>
        <s v="RPM Mortgage" u="1"/>
        <s v="Trans FX" u="1"/>
        <s v="REMAX" u="1"/>
        <s v="Abex" u="1"/>
        <s v="Duo Venues" u="1"/>
        <s v="Consortium Media Services" u="1"/>
        <s v="Crowell, Weedon and Co" u="1"/>
        <s v="The Boatworks" u="1"/>
        <s v="Spencer Mckenzie's" u="1"/>
        <s v="Hollywood Studios International" u="1"/>
        <s v="Magnuson Products" u="1"/>
        <s v="Barnett Tool &amp; Engineering" u="1"/>
        <s v="Fashion Forms" u="1"/>
        <s v="Pacific Structural &amp; Forensic Engineers Group Inc" u="1"/>
        <s v="Whaling West Packaging Corporation" u="1"/>
        <s v="Camarillo Health Care District" u="1"/>
        <s v="ClimaTech" u="1"/>
        <s v="Chaz Distributing" u="1"/>
        <s v="Pilot Automotive" u="1"/>
        <s v="Document Systems" u="1"/>
        <s v="Santa Barbara Roasting Company" u="1"/>
        <s v="McCarthy Companies" u="1"/>
        <s v="VanderGeest Landscape Care" u="1"/>
        <s v="InvoMax" u="1"/>
        <s v="House of Ruth" u="1"/>
        <s v="Dufau Landscaping" u="1"/>
        <s v="Ventura County Coastal Assocation of Realtors" u="1"/>
        <s v="Anterra" u="1"/>
        <s v="Coreland Companies" u="1"/>
        <s v="Slaughter, Reagan &amp; Cole, LLP" u="1"/>
        <s v="AWS Automotive" u="1"/>
        <s v="Resource Conservation District" u="1"/>
        <s v="AG Machining" u="1"/>
        <s v="Burger IM" u="1"/>
        <s v="Ability Medical Supplies" u="1"/>
        <s v="InterAct" u="1"/>
        <s v="AXCO" u="1"/>
        <s v="St. Anthony Parish" u="1"/>
        <s v="Austin, Reily and Doud Insurance" u="1"/>
        <s v="Agrian" u="1"/>
        <s v="Integrated Scanning of America" u="1"/>
        <s v="HMH Constructors" u="1"/>
        <s v="Wedding Line" u="1"/>
        <s v="DeGraw Techinical Services" u="1"/>
        <s v="LORAC Cosmetics" u="1"/>
        <s v="Watson &amp; Company" u="1"/>
        <s v="Livingston Construction" u="1"/>
        <s v="GW Surfaces" u="1"/>
        <s v="911 Restoration" u="1"/>
        <s v="Hoffman and Associates" u="1"/>
        <s v="Kohan Group" u="1"/>
        <s v="Blaze PR" u="1"/>
        <s v="Agromin" u="1"/>
        <s v="Drilteck" u="1"/>
        <s v="Champion Power Equipment" u="1"/>
        <s v="Coast Physical Therapy Specialists" u="1"/>
        <s v="Omega Financial Group" u="1"/>
        <s v="AMS Realty" u="1"/>
        <s v="Priority Safety" u="1"/>
        <s v="M&amp;C TechGroup" u="1"/>
        <s v="TrueVisioin Systems Inc" u="1"/>
        <s v="SGB-NIA" u="1"/>
        <s v="Aquastar Pool Products" u="1"/>
        <s v="tireswarehouse.net" u="1"/>
        <s v="Capital Mortgage Services" u="1"/>
        <s v="Goleta Water District" u="1"/>
        <s v="Fraker Fire Protection, Inc." u="1"/>
        <s v="Project Sister Family Services" u="1"/>
        <s v="Gothic Landscape" u="1"/>
        <s v="Magnum Enterprises" u="1"/>
        <s v="The Bridge Evangelical Free Church" u="1"/>
        <s v="Tolman &amp; Wiker" u="1"/>
        <s v="Envicom Corporation" u="1"/>
        <s v="Silver Air" u="1"/>
        <s v="Fast Undercar" u="1"/>
        <s v="House Sanitary Supply" u="1"/>
        <s v="Spark Industries" u="1"/>
        <s v="Opto Diode Corporation" u="1"/>
        <s v="Island View Enterprises" u="1"/>
        <s v="Suddock Insurance Agency" u="1"/>
        <s v="Anne Daigh Landscape Architect" u="1"/>
        <s v="Stub, Boeddinghaus &amp; Velasco" u="1"/>
        <s v="DJS Team Marketing" u="1"/>
        <s v="Providea" u="1"/>
        <s v="Surfside Pediatrics" u="1"/>
        <s v="Farber Hass Hurley, LLP" u="1"/>
        <s v="Ferguson Case Orr Patterson LLP" u="1"/>
        <s v="Bill Terry Insurance Agency" u="1"/>
        <s v="Clamshell Buildins" u="1"/>
        <s v="Gospel Light" u="1"/>
        <s v="Craftsmen Construction &amp; Erectors Corp" u="1"/>
        <s v="Epsteen And Associates" u="1"/>
        <s v="Danna Rossi" u="1"/>
        <s v="Ace-Ana" u="1"/>
        <s v="Phoenix Civil Engineering, Inc" u="1"/>
        <s v="LinkTech LLC" u="1"/>
        <s v="Sunbelt Enterprises" u="1"/>
        <s v="California Center for Public Health Advocacy" u="1"/>
        <s v="MoonRay" u="1"/>
        <s v="Pal Services" u="1"/>
        <s v="Larson-Flynn" u="1"/>
        <s v="William Morris Chevrolet" u="1"/>
        <s v="Ojai Oil Company" u="1"/>
        <s v="Maps.com" u="1"/>
        <s v="KL Megla" u="1"/>
        <s v="Janon Printing Corp" u="1"/>
        <s v="MTI Capital Inc." u="1"/>
        <s v="DUO" u="1"/>
        <s v="Workrite Uniform" u="1"/>
        <s v="Counseling 4 Kids" u="1"/>
        <s v="Siwel" u="1"/>
        <s v="Brinkman and Company CPA" u="1"/>
        <s v="Jurgensen Law" u="1"/>
        <s v="PureTec Industrial Water" u="1"/>
        <s v="Boys and Girls Club of Greater Ventura" u="1"/>
        <s v="Smile Shapers" u="1"/>
        <s v="Bold Worldwide" u="1"/>
        <s v="Kimble Plumbing" u="1"/>
        <s v="Montecio Bank and Trust" u="1"/>
        <s v="Goldenring and Prosser Law" u="1"/>
        <s v="Anticouni &amp; Associates" u="1"/>
        <s v="Zenith Properties NW LLC" u="1"/>
        <s v="Ransom Seed Laboratory" u="1"/>
        <s v="Korean Farm" u="1"/>
        <s v="Gear Solutions" u="1"/>
        <s v="Missionary Church" u="1"/>
        <s v="Whitewood &amp; Associates" u="1"/>
        <s v="Nye &amp; Nelson" u="1"/>
        <s v="Ventura Harley" u="1"/>
        <s v="Lowthorp Richards, LLC" u="1"/>
        <s v="ARM Solutions" u="1"/>
        <s v="Sincerus Solutions" u="1"/>
        <s v="KamaSutra" u="1"/>
        <s v="Professional Teleconcepts" u="1"/>
        <s v="The Nut House" u="1"/>
        <s v="New Era Body Shop" u="1"/>
        <s v="Natren" u="1"/>
        <s v="Centre Salon &amp; Spa Calabasas" u="1"/>
        <s v="in Focus Advertising" u="1"/>
        <s v="One Way Boardshop" u="1"/>
        <s v="Cleggpromo" u="1"/>
        <s v="Jack Built" u="1"/>
        <s v="Industrial Forming" u="1"/>
        <s v="NY State Department of Environmental Conservation" u="1"/>
        <s v="Norman Dowler, LLP" u="1"/>
        <s v="Heeluxe" u="1"/>
        <s v="Rocklin" u="1"/>
        <s v="Desert Rose Elder Care" u="1"/>
        <s v="PetroSpecs, Inc." u="1"/>
        <s v="Beautyhabit" u="1"/>
        <s v="Caresight" u="1"/>
        <s v="Swift Financial" u="1"/>
        <s v="Century Electronics" u="1"/>
        <s v="Realty World" u="1"/>
        <s v="Aliso Escrow, Inc" u="1"/>
        <s v="RoAndCo" u="1"/>
        <s v="Bridgeport Benefits" u="1"/>
        <s v="West Coast Environmental and Engineering" u="1"/>
        <s v="JNB Mechanical, Inc." u="1"/>
        <s v="Johnson &amp; Muller Architects" u="1"/>
        <s v="Terry Cole" u="1"/>
        <s v="Zephyr Sports Warehouse" u="1"/>
        <s v="Great American Records Management" u="1"/>
        <s v="Smith Bros, Inc" u="1"/>
        <s v="Koichiro Doi Studio, Inc." u="1"/>
        <s v="Edwards" u="1"/>
        <s v="Seaside Packaging" u="1"/>
        <s v="MASS Global Solution" u="1"/>
        <s v="Superior Service Corp" u="1"/>
        <s v="Farmers Santa Barbara" u="1"/>
        <s v="Alert Communications" u="1"/>
        <s v="Parktree Community Health Center (Kids Come First)" u="1"/>
        <s v="AGQ Labs and Technologies Services" u="1"/>
        <s v="Himelsein Group" u="1"/>
        <s v="Inland Valley Hope Partners" u="1"/>
        <s v="Otto International" u="1"/>
        <s v="D.D. Ford Construction Inc." u="1"/>
        <s v="Hanson" u="1"/>
        <s v="Coastal Orthodontic Care" u="1"/>
        <s v="Industrial Insulations" u="1"/>
        <s v="Traffic Technologies " u="1"/>
        <s v="Speed Insurance Agency" u="1"/>
        <s v="Carey &amp; Hanna" u="1"/>
        <s v="SilverGens" u="1"/>
        <s v="Dioji, Inc." u="1"/>
        <s v="Amiad Filtration Systems" u="1"/>
        <s v="Project Projects" u="1"/>
        <s v="Xenel International" u="1"/>
        <s v="American Integrated Services, Inc" u="1"/>
        <s v="Boys and Girls Club of Santa Barbara" u="1"/>
        <s v="META Law, Inc" u="1"/>
        <s v="CardioLabs, Inc" u="1"/>
        <s v="PierPont Racquet Club" u="1"/>
        <s v="Ledgerock Capital, LLC" u="1"/>
        <s v="California Solar" u="1"/>
        <s v="Charles Conway" u="1"/>
        <s v="Pyne, Waltrip, Decker &amp; McCoy" u="1"/>
        <s v="Three Angels Pre-School" u="1"/>
        <s v="Barna Group The" u="1"/>
        <s v="800loanmart" u="1"/>
        <s v="Hod Dunbar" u="1"/>
        <s v="Three Hands Corp" u="1"/>
        <s v="Petunia Pickle Bottom" u="1"/>
        <s v="Goodwill" u="1"/>
        <s v="AFC Plumbing and Solar" u="1"/>
        <s v="Realty One Group" u="1"/>
        <s v="General Lab &amp; Cleanroom Supply" u="1"/>
        <s v="Professional Binding Products, Inc." u="1"/>
        <s v="ZNS" u="1"/>
        <s v="800 Loan Mart" u="1"/>
        <s v="Incredible Children's Art Network" u="1"/>
        <s v="BLUDOG Telecom" u="1"/>
        <s v="Advantage Physical Therapy" u="1"/>
        <s v="B and R Fabrication" u="1"/>
        <s v="XYZ Test Company" u="1"/>
        <s v="Davies Communications" u="1"/>
        <s v="High Tech Pet" u="1"/>
        <s v="Western Computer" u="1"/>
        <s v="Douglas G. Murray, CPA" u="1"/>
        <s v="First Press PR" u="1"/>
      </sharedItems>
    </cacheField>
    <cacheField name="Opportunity Summary" numFmtId="0">
      <sharedItems containsBlank="1" count="1326">
        <s v="MS"/>
        <s v="POTS SBS - Cloud upgrade"/>
        <s v="POTS cloud migration "/>
        <s v="POTS Sonicwall - Resturant"/>
        <s v="POTS PM / Security GPOs local &amp; Cloud"/>
        <s v="POTS POS System"/>
        <s v="POTS cabling"/>
        <s v="POTS SBS / Cloud only (w/PCs)- Office 365 Migration"/>
        <s v="POTS Adobe Acrobat DC licenses 32 exp 3/22"/>
        <s v="POTS mac mouse (3)"/>
        <s v="POTS Quickbooks Project"/>
        <s v="POTS upgrade laptop drive/ram"/>
        <s v="POTS xray computer"/>
        <s v="POTS Infrastructure Clean up / On-boarding"/>
        <s v="POTS noise cancelling panels"/>
        <s v="POTS server migration"/>
        <s v="POTS PC Refresh "/>
        <s v="POTS PC refresh"/>
        <s v="POTS PC refresh 2 of 3 "/>
        <s v="POTS PC refresh 3 of 3 "/>
        <s v="POTS  PC Refresh"/>
        <s v="POTS PC Refresh (2 computers)"/>
        <s v="POTS PC Refresh ALL"/>
        <s v="POTS PC Refresh - Hardware Only "/>
        <s v="POTS sonicwall renewal"/>
        <s v="POTS January O365 Essentials License"/>
        <s v="POTS laptop battery "/>
        <s v="POTS on site tech - carson"/>
        <s v="POTS computer and monitor"/>
        <s v="POTS Refurb Desktop"/>
        <s v="POTS laptop charger"/>
        <s v="POTS fax adapter"/>
        <s v="POTS MS Office 2019"/>
        <s v="POTS LabelView Renewal"/>
        <s v="POTS VMware renewal"/>
        <s v="POTS keyboard/mouse combo"/>
        <s v="POTS Sonicwall TZ500 2 yr renewal"/>
        <s v="POTS refurb laptop"/>
        <s v="POTS cables for server room"/>
        <s v="POTS new workstation (Rosa)"/>
        <s v="POTS Email Appliance replacement"/>
        <s v="POTS new computer"/>
        <s v="POTS Van Nuys Cable Add'l"/>
        <s v="POTS VPN license"/>
        <s v="POTS server battery backup"/>
        <s v="POTS PC Refresh (remaining 8 comps)"/>
        <s v="POTS laptop adapters"/>
        <s v="POTS Quickbooks 2019 upgrade"/>
        <s v="POTS - Large Printer Relocation"/>
        <s v="POTS after hour support"/>
        <s v="POTS headsets for softphones"/>
        <s v="POTS No Elevator - Carry Up Cost"/>
        <s v="POTS TV (4) and brackets"/>
        <s v="POTS polycom phone"/>
        <s v="POTS config ESA 5000"/>
        <s v="POTS 2-in-1 laptop"/>
        <s v="POTS guest wifi cabling"/>
        <s v="8x8 Admin Office Deployment"/>
        <s v="POTS 70&quot; TVs"/>
        <s v="POTS PC Refresh (laptop)"/>
        <s v="POTS nextech upgrade"/>
        <s v="POTS 95 computers / 485 thin clients"/>
        <s v="POTS laptop quote"/>
        <s v="POTS backup battery"/>
        <s v="POTS windows 10 pro licenses (cost diff)"/>
        <s v="POTS 82&quot; tvs"/>
        <s v="POTS dry erase board"/>
        <s v="POTS keytags"/>
        <s v="Office Misc Hardware"/>
        <s v="POTS apple tvs"/>
        <s v="POTS misc hardware"/>
        <s v="POTS quickbooks 2019 3 user license"/>
        <s v="POTS quickbooks 2019 upgrade "/>
        <s v="POTS 6x4 white board - Isu"/>
        <s v="POTS scanner/fax adapter"/>
        <s v="POTS drive rescue"/>
        <s v="POTS new user setup"/>
        <s v="POTS expand computer memory"/>
        <s v="POTS 55&quot; TV"/>
        <s v="POTS Windows 10 Pro"/>
        <s v="POTS wireless headset, ipad mount"/>
        <s v="POTS phone adapter "/>
        <s v="POTS server grade battery backup"/>
        <s v="POTS warehouse and analytics computers"/>
        <s v="POTS Hive manager renewal"/>
        <s v="POTS server battery backup 3"/>
        <s v="POTS magic mouse "/>
        <s v="POTS micro computer"/>
        <s v="POTS monitor and thunderbolt"/>
        <s v="POTS bludog cabling T&amp;M"/>
        <s v="POTS laptop reconfig"/>
        <s v="POTS headset"/>
        <s v="POTS Forever Social Cabling"/>
        <s v="POTS laptop"/>
        <s v="POTS print server setup "/>
        <s v="POTS email domain overhaul"/>
        <s v="POTS additional moving"/>
        <s v="POTS FT onsite techs"/>
        <s v="POTS manduka electrical"/>
        <s v="POTS new computer (Kim Nixon)"/>
        <s v="POTS wireless KB/M"/>
        <s v="POTS o365 recurring"/>
        <s v="POTS new workstation (off server)"/>
        <s v="POTS server backup batteries"/>
        <s v="POTS refurb laptops"/>
        <s v="POTS backup batteries"/>
        <s v="POTS laptop dock"/>
        <s v="POTS Antivirus "/>
        <s v="POTS phone cable"/>
        <s v="POTS server cables"/>
        <s v="POTS Isu's white board"/>
        <s v="POTS mac mouse"/>
        <s v="Emergency ransomware attach recovery"/>
        <s v="POTS cabling site assessment"/>
        <s v="POTS PulseOne Test opportunity project PF"/>
        <s v="POTS relocating cameras"/>
        <s v="POTS battery backup"/>
        <s v="POTS server renewal"/>
        <s v="POTS NAS"/>
        <s v="POTS ESA 1 year subscription"/>
        <s v="POTS new workstation "/>
        <s v="POTS two workstations"/>
        <s v="Refurb Laptop"/>
        <s v="POTS server desktop"/>
        <s v="POTS on site tech - remove monitor brackets"/>
        <s v="POTS monitor"/>
        <s v="POTS HDMI converter"/>
        <s v="POTS new workstation (Kathy)"/>
        <s v="POTS DON'T INVOICE "/>
        <s v="POTS flex rep laptops"/>
        <s v="POTS HDMI cables, remote mounts"/>
        <s v="POTS mac "/>
        <s v="POTS dual monitor"/>
        <s v="POTS Fresno Computers"/>
        <s v="POTS Riverside Computers "/>
        <s v="POTS Van Nuys computers"/>
        <s v="POTS home office cabling"/>
        <s v="POTS Premise to Cloud Migration"/>
        <s v="POTS dbPix 3.0 license"/>
        <s v="POTS restaurant website"/>
        <s v="POTS docking station "/>
        <s v="POTS Naomi macbook pro"/>
        <s v="POTS universal remote"/>
        <s v="POTS upgrade cabling"/>
        <s v="POTS choti desktop"/>
        <s v="POTS outdoor AP"/>
        <s v="POTS Q1-2019-laptop refresh (3 of 18)"/>
        <s v="POTS laptop re-config"/>
        <s v="POTS new kitchen camera "/>
        <s v="POTS 2008 migrate to the cloud"/>
        <s v="POTS printer "/>
        <s v="POTS troubleshoot conference rooms"/>
        <s v="POTS new workstation (Alexandria)"/>
        <s v="POTS expedited shipping"/>
        <s v="POTS Flex Rep Janice - Laptop"/>
        <s v="POTS Hive Manager Renewal (7)"/>
        <s v="POTS QB 2019 Premier Upgrade"/>
        <s v="POTS server renewal "/>
        <s v="POTS cables"/>
        <s v="POTS server backup battery"/>
        <s v="POTS USB-C mac charger"/>
        <s v="POTS upgrade SSD - Choti's desktop"/>
        <s v="POTS enable salesforce email plugin"/>
        <s v="POTS mac adapter "/>
        <s v="POTS RPA laptop"/>
        <s v="POTS offsite backup"/>
        <s v="POTS IT inventory"/>
        <s v="POTS polycom adapter"/>
        <s v="POTS EPM cabling"/>
        <s v="POTS monitors and cables (Naomi)"/>
        <s v="POTS Andy's dual monitors"/>
        <s v="POTS upgrade mac RAM"/>
        <s v="POTS laptop for new employee"/>
        <s v="POTS - PC Refresh (2) Reburb Computers"/>
        <s v="POTS SW/Aerohives"/>
        <s v="POTS canada sales rep setup"/>
        <s v="POTS two workstation setup"/>
        <s v="POTS new computer setup"/>
        <s v="Cabling"/>
        <s v="POTS switch"/>
        <s v="POTS configure kiosk computer"/>
        <s v="POTS May update MS Agreement"/>
        <s v="POTS switches"/>
        <s v="POTS aerohive"/>
        <s v="POTS SBS / Hybrid (no PCs) - Office 365 Migration"/>
        <s v="POTS sonicwall for server upgrade"/>
        <s v="POTS o365 2 factor auth "/>
        <s v="POTS EDI"/>
        <s v="POTS office move"/>
        <s v="POTS SonicWall Aerohive"/>
        <s v="POTS relocate E Commerce TV"/>
        <s v="POTS TV management / cabling"/>
        <s v="POTS mac mini"/>
        <s v="POTS Penetration Testing / Vulnerability Assessment"/>
        <s v="POTS PulseOne Communication"/>
        <s v="POTS Adobe license addition"/>
        <s v="POTS on-site tech"/>
        <s v="POTS reconfigure firewall"/>
        <s v="POTS MS"/>
        <s v="POTS cable"/>
        <s v="POTS o365 licensing - May "/>
        <s v="POTS SOHO Renewal"/>
        <s v="POTS SnapC setup employee - FT Remote"/>
        <s v="POTS 2 monitors and cables"/>
        <s v="POTS SBS to Cloud "/>
        <s v="POTS clone AWS"/>
        <s v="POTS remove ZNS icons"/>
        <s v="POTS San Diego Office - New"/>
        <s v="POTS Wyse Thin Client Management Suite"/>
        <s v="Phone cutover"/>
        <s v="POTS exterior camera cabling"/>
        <s v="POTS security cameras"/>
        <s v="POTS AWS Recurring"/>
        <s v="POTS server room cleanup (new rack)"/>
        <s v="POTS server room cleanup (old rack)"/>
        <s v="POTS 15 inch Macbook Pro -16gb"/>
        <s v="POTS MacBook - 32gb"/>
        <s v="POTS 30 min cyber security presentation "/>
        <s v="POTS Bakersfield Office"/>
        <s v="POTS Hive Manager"/>
        <s v="POTS Network Switches"/>
        <s v="POTS Phase 2 - IT policies"/>
        <s v="8x8 EU users"/>
        <s v="call Isu - review contract/vendor list "/>
        <s v="POTS 2 FA for Office 365"/>
        <s v="POTS 3rd floor tv's"/>
        <s v="POTS Carson cabling / aerohive"/>
        <s v="POTS E Comm TV Move - Overage"/>
        <s v="POTS employee break room "/>
        <s v="POTS inventory - computers"/>
        <s v="POTS laptops - basic "/>
        <s v="POTS polycom trio phone"/>
        <s v="POTS Security Camera Setup and Management "/>
        <s v="POTS performance laptop"/>
        <s v="POTS infrastructure upgrade"/>
        <s v="POTS QB 2019 upgrade"/>
        <s v="TPF - Rescope Phase 3 (for Chad)"/>
        <s v="POTS mac pro for Casey"/>
        <s v="POTS azure recurring"/>
        <s v="POTS P1 Comm "/>
        <s v="POTS Sharepoint"/>
        <s v="POTS Assessment"/>
        <s v="POTS Project Management / Process improvement"/>
        <s v="MS "/>
        <s v="SW / Switch"/>
        <s v="POTS external security audit "/>
        <s v="POTS 0365 TEAMS"/>
        <s v="POTS Sharepont / o365 training"/>
        <s v="POTS Chadmar o365 recurring"/>
        <s v="POTS cyber security (recurring) "/>
        <s v="POTS Re-purpose Server for local backup"/>
        <s v="POTS email security "/>
        <s v="POTS computer upgrade / Cabling"/>
        <s v="POTS PulseOne Communications"/>
        <s v="POTS SBS to On-Premise Server"/>
        <s v="POTS SBS to Cloud"/>
        <s v="POTS 2008 upgrade - premise"/>
        <s v="POTS Echange Upgrade - Cloud or Premise? / Increase storage"/>
        <s v="POTS cloud recurring"/>
        <s v="POTS Migrate server T610 to AWS"/>
        <s v="POTS AWS"/>
        <s v="POTS Server Replacement "/>
        <s v="POTS VoIP Proposal"/>
        <s v="POTS AWS - MS"/>
        <s v="POTS foodsafety...com"/>
        <s v="POTS Websystem"/>
        <m/>
        <s v="HW: Monitors" u="1"/>
        <s v="POTS Wi-Fi" u="1"/>
        <s v="POTS sonicwall TZ400" u="1"/>
        <s v="MS - VOIP" u="1"/>
        <s v="HW: migration wiz" u="1"/>
        <s v="HW: Computer Hardware" u="1"/>
        <s v="HW:" u="1"/>
        <s v="get to know Jeff" u="1"/>
        <s v="P1 Windows 10 Pro 64-bit" u="1"/>
        <s v="HW: Texarkana Office" u="1"/>
        <s v="P1 Premise Cloud Hybrid Option 2X - Monthly" u="1"/>
        <s v="TW ISP" u="1"/>
        <s v="HW:Voip" u="1"/>
        <s v="David Morgan Laptop" u="1"/>
        <s v="P1 ABAS-3 server setup" u="1"/>
        <s v="Pacific Aire" u="1"/>
        <s v="POTS Endless Comm for ACT Van Nuys" u="1"/>
        <s v="P1 AVF AWS" u="1"/>
        <s v="POTS - aprox 20 site visits" u="1"/>
        <s v="POTS Apple Valley Move SB Allstars" u="1"/>
        <s v="P1 Websystem" u="1"/>
        <s v="Office 365 Migration" u="1"/>
        <s v="P1 New Printer" u="1"/>
        <s v="2 new computers" u="1"/>
        <s v="POTS Wellness Center Computer" u="1"/>
        <s v="POTS refurb laptop (Laguna Hills)" u="1"/>
        <s v="POTS Projector" u="1"/>
        <s v="P1 Fresno Cabling" u="1"/>
        <s v="POTS Camarillo - computer " u="1"/>
        <s v="P1 SonicWall VPN License" u="1"/>
        <s v="Office 2011 for MAC" u="1"/>
        <s v="POTS albert's computer replacement " u="1"/>
        <s v="POTS 2 Macs" u="1"/>
        <s v="BKM" u="1"/>
        <s v="HW: SW Renewal" u="1"/>
        <s v="P1 computer setup " u="1"/>
        <s v="Roklin" u="1"/>
        <s v="Memory Upgrade D91MD21" u="1"/>
        <s v="POTS Sonicwall Replacement 26" u="1"/>
        <s v="POTS ACT DT additional hardware" u="1"/>
        <s v="POTS computer upgrade" u="1"/>
        <s v="POTS 10 computers" u="1"/>
        <s v="POTS 20 computers" u="1"/>
        <s v="P1 Network Cable Install 8 Louisville" u="1"/>
        <s v="P1 Computer Refresh" u="1"/>
        <s v="Chad Lande Real Estate Office" u="1"/>
        <s v="POTS program 2 laptops, purchase 1 laptop" u="1"/>
        <s v="HW: Kingston 1 iPad pro package" u="1"/>
        <s v="P1 Cable Testing" u="1"/>
        <s v="POTS Manduka infrastructure upgrade" u="1"/>
        <s v="POTS CB Testing SELL -- do not delete - From Manage to SELL" u="1"/>
        <s v="P1 email encryption" u="1"/>
        <s v="P1 Invoice for ticket #1015960" u="1"/>
        <s v="8x8 Implementation" u="1"/>
        <s v="Aerohive Additional Units" u="1"/>
        <s v="HW: Cabling New Office" u="1"/>
        <s v="P1 Lead Generation Project" u="1"/>
        <s v="P1 Network 6 Chandler" u="1"/>
        <s v="Covina - troubleshoot data cable and replace " u="1"/>
        <s v="MS - Bus Office" u="1"/>
        <s v="5 SSLVPN " u="1"/>
        <s v="POTS Covina Monitor" u="1"/>
        <s v="POTS MS increase to $5,000" u="1"/>
        <s v="POTS Z&amp;S Santa Barbara Cabling" u="1"/>
        <s v="POTS o365 or Hybrid Exchange" u="1"/>
        <s v="P1 laptop setup and configure" u="1"/>
        <s v="POTS network printer for Z&amp;S Commerce office " u="1"/>
        <s v="HW: Computer" u="1"/>
        <s v="HW: Migrate to AWS" u="1"/>
        <s v="P1 Jazmin's laptop" u="1"/>
        <s v="POTS AP130 Palm Desert replacement" u="1"/>
        <s v="Azure Recurring" u="1"/>
        <s v="TV Troubleshoot New Albany, NY" u="1"/>
        <s v="SonicWall" u="1"/>
        <s v="POTS website update" u="1"/>
        <s v="P1 Aerohive AP250" u="1"/>
        <s v="POTS new hire workstation dual monitor (Christie)" u="1"/>
        <s v="POTS 30 computers- Santa Clarita" u="1"/>
        <s v="POTS Camera System - Covina" u="1"/>
        <s v="P1 laptop refurb" u="1"/>
        <s v="POTS Covina (water damage)" u="1"/>
        <s v="POTS dell speakers" u="1"/>
        <s v="POTS LifeSize Icon Flex Renewal" u="1"/>
        <s v="P1 Site location setup" u="1"/>
        <s v="POTS o365 migration (EDM Services)" u="1"/>
        <s v="Sonicwall TZ-100W for Adult Wellness Center" u="1"/>
        <s v="POTS BCAT Testing - Santa Barbara" u="1"/>
        <s v="New System" u="1"/>
        <s v="P1 Firewall Access Point" u="1"/>
        <s v="POTS Van Nuys camera install overage " u="1"/>
        <s v="P1 AWS Migration / Office 365 Migration" u="1"/>
        <s v="POTS SBS / Cloud - Office 365 Migration" u="1"/>
        <s v="Laptop for Brinton Watts" u="1"/>
        <s v="POTS Palm Desert Site Visit 2" u="1"/>
        <s v="HW: SW" u="1"/>
        <s v="P1 convert to cloud" u="1"/>
        <s v="Adobe Acrobat X for Ravi @Soutland Stone" u="1"/>
        <s v="HW: iPad 3 South Jordan" u="1"/>
        <s v="P1 CURV server renewal Serial D7D3SR1" u="1"/>
        <s v="POTS cysco phones power cords (5) to van nuys" u="1"/>
        <s v="HW: Battery Backup" u="1"/>
        <s v="POTS AWS - test server" u="1"/>
        <s v="POTS scanner for insurance dept" u="1"/>
        <s v="P1 Laptop" u="1"/>
        <s v="get to know Danna" u="1"/>
        <s v="POTS Bakersfield project" u="1"/>
        <s v="POTS DT LA hardware" u="1"/>
        <s v="POTS ethernet dongle" u="1"/>
        <s v="HW: Hardware Refresh September" u="1"/>
        <s v="POTS Agilysis upgrade" u="1"/>
        <s v="P1 Exchange Migration" u="1"/>
        <s v="HW - NAS, backup configuratoin, and server upgrade to Server 2012 Re" u="1"/>
        <s v="HW: Laptops" u="1"/>
        <s v="POTS printer" u="1"/>
        <s v="SonicWall hardware" u="1"/>
        <s v="POTS Computer Front Panel " u="1"/>
        <s v="HW: Video Conference Room January" u="1"/>
        <s v="New Licensing and Mail Archiving" u="1"/>
        <s v="POTS network cable assessment" u="1"/>
        <s v="POTS Dallas cabling" u="1"/>
        <s v="POTS Site Survey North Region " u="1"/>
        <s v="POTS Site Survey South Region " u="1"/>
        <s v="POTS webpage email and o365 group" u="1"/>
        <s v="P1 Premise Cloud Hybrid Option 2X" u="1"/>
        <s v="P1 QUOTE: please send proposal VPN NetExtender - Qty 5" u="1"/>
        <s v="HW: TS on new server" u="1"/>
        <s v="Davies New Server" u="1"/>
        <s v="Fashion Forms" u="1"/>
        <s v="POTS PC Refresh 6 of 6" u="1"/>
        <s v="Rail kit @ agm" u="1"/>
        <s v="P1 Term. Serv. Lic." u="1"/>
        <s v="HW: Elizabeth Computer" u="1"/>
        <s v="P1 Network Cable South Jordan" u="1"/>
        <s v="POTS server battery backup 2" u="1"/>
        <s v="Environment Upgrade" u="1"/>
        <s v="P1 Cloud Controller" u="1"/>
        <s v="P1 CURV server renewal Serial: 57LJT52" u="1"/>
        <s v="P1 Charlotte - network cabling" u="1"/>
        <s v="POTS desktops for Van Nuys (2)" u="1"/>
        <s v="Meet and Greet" u="1"/>
        <s v="POTS djazz phones and cabling" u="1"/>
        <s v="POTS MS Office Licenses" u="1"/>
        <s v="POTS 100 computers / 500 thin clients" u="1"/>
        <s v="POTS computer + dual monitors for Camarillo" u="1"/>
        <s v="PC Refresh" u="1"/>
        <s v="2 Drive NAS &amp; UPS" u="1"/>
        <s v="McCarthy Companies (Sarah)" u="1"/>
        <s v="HW: Server Expiration(2 machines)" u="1"/>
        <s v="Teams / SharePoint Deployment" u="1"/>
        <s v="New monitor sound bar for lynn" u="1"/>
        <s v="HW: phase 1 and 2" u="1"/>
        <s v="HW: TJ switch 2" u="1"/>
        <s v="HW: SW Analyzer" u="1"/>
        <s v="HW: Switch - Move" u="1"/>
        <s v="P1 Psuedo Server" u="1"/>
        <s v="P1 PC Refresh ADNAN PROJECT - EXISTING OP QUOTING" u="1"/>
        <s v="Switch Replacement" u="1"/>
        <s v="POTS convert to cloud" u="1"/>
        <s v="POTS BCAT Ridgecrest 10/18" u="1"/>
        <s v="4GB RAM - Mike" u="1"/>
        <s v="POTS ZNS Tarzana AV setup" u="1"/>
        <s v="HW: Standard DELL w/ Monitor" u="1"/>
        <s v="2GB Kit" u="1"/>
        <s v="SonicPoint" u="1"/>
        <s v="Manged Services" u="1"/>
        <s v="P1 WiFI" u="1"/>
        <s v="Office 365 Project Climatechrefrigeration.com" u="1"/>
        <s v="HW: Sonicwall" u="1"/>
        <s v="P1 PC Refresh - Win7 1 of 1" u="1"/>
        <s v="POTS Testing Kit" u="1"/>
        <s v="Spam Soap Archiving/Offsite B/U" u="1"/>
        <s v="P1 laptop reconfiguration " u="1"/>
        <s v="Network Infrastructure for Co-Working space" u="1"/>
        <s v="HW - Code Two" u="1"/>
        <s v="P1 Aerohive License" u="1"/>
        <s v="POTS New Laptop (B. Haskins)" u="1"/>
        <s v="POTS Visalia - monitor" u="1"/>
        <s v="HW: Computers" u="1"/>
        <s v="HW: Sonicwall x 2" u="1"/>
        <s v="InvoMax" u="1"/>
        <s v="HW: Networking Technology" u="1"/>
        <s v="Desktops for new location" u="1"/>
        <s v="4 GB Ram Stick" u="1"/>
        <s v="POTS Van Nuys Relocation" u="1"/>
        <s v="HW: Video Conference Room Febuary" u="1"/>
        <s v="P1 new computer" u="1"/>
        <s v="P1 CURV server renewal Serial: 3PH0FZ1_x0009_" u="1"/>
        <s v="RCD" u="1"/>
        <s v="POTS email encryption " u="1"/>
        <s v="POTS MS Sys admin support for NAV and MS CRM " u="1"/>
        <s v="POTS wireless KB and mouse (5)" u="1"/>
        <s v="P1 Invoice Request: CCPHA Switch" u="1"/>
        <s v="P1 Battery Backup" u="1"/>
        <s v="HW:  Tyler Tx Networking equipment" u="1"/>
        <s v="POTS Laptops (10)" u="1"/>
        <s v="HW: Network 2 Plano/Frisco" u="1"/>
        <s v="POTS Palm Desert Setup" u="1"/>
        <s v="POTS Hybrid Exchange" u="1"/>
        <s v="Phone System and Switch" u="1"/>
        <s v="HW: Migrate from Premise to AWS and Box" u="1"/>
        <s v="HW: regular iPad Chandler" u="1"/>
        <s v="Dell Micro Desktop - Intel i5" u="1"/>
        <s v="POTS monthly website maintenance" u="1"/>
        <s v="POTS Apple Valley Cabling (additional)" u="1"/>
        <s v="Camarillo Health Care" u="1"/>
        <s v="Performance Glass" u="1"/>
        <s v="new PC's" u="1"/>
        <s v="POTS 200 computers" u="1"/>
        <s v="POTS two computers" u="1"/>
        <s v="HW (Premise)" u="1"/>
        <s v="HW: Server Warranty Renewal" u="1"/>
        <s v="HW: Server / Switch / Sonicwall" u="1"/>
        <s v="PC Refresh (4 of 4) / o365" u="1"/>
        <s v="MS Onboading" u="1"/>
        <s v="P1 Refurb Dell Desktop" u="1"/>
        <s v="HW: PC" u="1"/>
        <s v="P1 Deploy Apple Management tools on 2 sales iphones" u="1"/>
        <s v="P1 Switch" u="1"/>
        <s v="POTS AWS Project" u="1"/>
        <s v="Ability Medical Supplies" u="1"/>
        <s v="P1 convert to cloud " u="1"/>
        <s v="P1 CURV server renewal Serial: GSJRS52" u="1"/>
        <s v="P1 iPad 16 Madison" u="1"/>
        <s v="Server Re-install and Sage SQL" u="1"/>
        <s v="HW: Exchange 2013" u="1"/>
        <s v="POTS 2 computers Van Nuys" u="1"/>
        <s v="HW: regular iPad Katy" u="1"/>
        <s v="POTS computer (new dell)" u="1"/>
        <s v="HW: HDD, Sonicwall, Switch" u="1"/>
        <s v="POTS 5 desktops / 15 thin clients" u="1"/>
        <s v="Monitor Arm" u="1"/>
        <s v="POTS SBS / Hybrid (w/PCs) - Office 365 Migration" u="1"/>
        <s v="P1 snipping tool" u="1"/>
        <s v="POTS onsite visit Palm Desert" u="1"/>
        <s v="POTS Covina Cabling - Water Damage " u="1"/>
        <s v="P1 Battery Backup - Server Grade" u="1"/>
        <s v="POTS Ridgecrest BCAT - Addtl Tech Time " u="1"/>
        <s v="POTS Lancaster needs cabling in 1 office" u="1"/>
        <s v="POTS program computers" u="1"/>
        <s v="Services were traded and money is owed" u="1"/>
        <s v="POTS 2 laptops " u="1"/>
        <s v="POTS Santa Clarita keyboard + mouse (22)" u="1"/>
        <s v="24 inch monitor for Eric" u="1"/>
        <s v="New Exchange / DC Server" u="1"/>
        <s v="P1 CURV server renewal Serial 976YK02" u="1"/>
        <s v="POTS Eagan, MN location" u="1"/>
        <s v="POTS two computers (16GB)" u="1"/>
        <s v="P1 HW: Joni &amp; Kylie MacBook" u="1"/>
        <s v="Amicus Server / Offsite Services / WP to Word" u="1"/>
        <s v="windows 7" u="1"/>
        <s v="POTS Z&amp;S moving furniture" u="1"/>
        <s v="POTS Santa Clarita - Additional Time " u="1"/>
        <s v="Onsite AppAssure" u="1"/>
        <s v="P1 website maintenance updates" u="1"/>
        <s v="POTS refurbished laptops (3)" u="1"/>
        <s v="Higson Law" u="1"/>
        <s v="POTS cabling at PICS Camarillo " u="1"/>
        <s v="POTS FSC Website Document Update" u="1"/>
        <s v="POTS Z&amp;S Sonicwall TZ600" u="1"/>
        <s v="POTS " u="1"/>
        <s v="POTS super laptop" u="1"/>
        <s v="HW: Aerohive" u="1"/>
        <s v="MS Project/SharePoint/SQL Project" u="1"/>
        <s v="P1 new computer setup" u="1"/>
        <s v="P1 QUOTE THIN CLIENT FOR: Dual monitor installation" u="1"/>
        <s v="P1 Downtown location" u="1"/>
        <s v="POTS Z&amp;S SLO - Cabling and Aerohive" u="1"/>
        <s v="POTS BCAT Test 8/31" u="1"/>
        <s v="POTS o365" u="1"/>
        <s v="P1 2 New Computer Monitors" u="1"/>
        <s v="Aerohive AP230" u="1"/>
        <s v="Test - send to Amy" u="1"/>
        <s v="POTS TPF aerohive and sonicwall " u="1"/>
        <s v="MS: Mexico" u="1"/>
        <s v="POTS Fresno troubleshoot computer" u="1"/>
        <s v="HW: 8x8" u="1"/>
        <s v="2 GB Kit" u="1"/>
        <s v="HW: Qty 2 Computers" u="1"/>
        <s v="Dynamic Support" u="1"/>
        <s v="POTS thin client monitors (2) and cables" u="1"/>
        <s v="AGM Ram upgrade" u="1"/>
        <s v="P1 cynthia headset" u="1"/>
        <s v="P1 Sonicwall License Renewal" u="1"/>
        <s v="P1 Monitor" u="1"/>
        <s v="New server" u="1"/>
        <s v="Toner Waste Container" u="1"/>
        <s v="P1 NetSuite-S&amp;O Inventory/Quote Migration" u="1"/>
        <s v="HW: New Sonicwall" u="1"/>
        <s v="POTS ethernet cabling" u="1"/>
        <s v="TV Replacement New Albany, NY" u="1"/>
        <s v="POTS email signature creation" u="1"/>
        <s v="Agromin" u="1"/>
        <s v="POTS computers and phones at SB office" u="1"/>
        <s v="POTS NAS backup repository upgrade" u="1"/>
        <s v="P1 SonicWall GMS License" u="1"/>
        <s v="P1 iPad 17 Chesapeake" u="1"/>
        <s v="HW: Van Nuys Networking" u="1"/>
        <s v="P1 Wi-Fi (Aerohive)" u="1"/>
        <s v="HW: win 10 upgrade" u="1"/>
        <s v="Drip" u="1"/>
        <s v="HW: Hardware Refresh March" u="1"/>
        <s v="POTS Skype for business roll out/Training" u="1"/>
        <s v="Office 365 and AWS Migration" u="1"/>
        <s v="POTS Z&amp;S San Diego - Cabling and Aerohive" u="1"/>
        <s v="P1 DocuSign and Adobe Pro" u="1"/>
        <s v="POTS on site tech " u="1"/>
        <s v="P1 Office Relocation" u="1"/>
        <s v="Computer Refresh 1 of 4 " u="1"/>
        <s v="P1 Wichita Network Refresh" u="1"/>
        <s v="Server" u="1"/>
        <s v="P1 website updates" u="1"/>
        <s v="P1 Office365 Migration" u="1"/>
        <s v="HW: AWS / Backups" u="1"/>
        <s v="P1 Two Monitors " u="1"/>
        <s v="P1 Network Cable Install 6 Chandler" u="1"/>
        <s v="POTS Van Nuys Computer Workstation" u="1"/>
        <s v="P1 CURV server renewal Serial 6GTYPW1_x0009_" u="1"/>
        <s v="MANDUKA SOFTWARE LIST " u="1"/>
        <s v="the rack mount kit for the second epicore server" u="1"/>
        <s v="HW: Software" u="1"/>
        <s v="TEST OPPORTUNITY" u="1"/>
        <s v="P1 Server Farm" u="1"/>
        <s v="HW: Migrate from BOX to AWS" u="1"/>
        <s v="POTS computer configuration" u="1"/>
        <s v="POTS TZ500 sonicwall renewals" u="1"/>
        <s v="P1 Laptops - 10" u="1"/>
        <s v="HW: Office 365 Migration" u="1"/>
        <s v="P1 PC Refresh - ADNAN PROJECT" u="1"/>
        <s v="P1 AWS - Migrate Domain controller and Data " u="1"/>
        <s v="P1 PC Refresh 1 of 4" u="1"/>
        <s v="POTS after hours support (Rich)" u="1"/>
        <s v="Server warranty expiration" u="1"/>
        <s v="P1 replace all computers SSD" u="1"/>
        <s v="P1 VPN license " u="1"/>
        <s v="24 Port Switch" u="1"/>
        <s v="Memory Upgrade for Eric" u="1"/>
        <s v="P1 Premise Hardware Option 1" u="1"/>
        <s v="POTS  AWS - Migrate Domain controller and Data " u="1"/>
        <s v="Microsoft SharePoint cloud services" u="1"/>
        <s v="POTS DYNAMICS Migration Project" u="1"/>
        <s v="POTS PC Refresh - ADNAN PROJECT" u="1"/>
        <s v="Assessment" u="1"/>
        <s v="HW: Office 365 Hosted Exchange" u="1"/>
        <s v="POTS upgrade laptop drives/ram" u="1"/>
        <s v="HW: Sonicwall Upgrades" u="1"/>
        <s v="P1 PC Refresh 1 of 6" u="1"/>
        <s v="P1 MS increase" u="1"/>
        <s v="HW: Labor 25% Mid project" u="1"/>
        <s v="HW: Upgrade SQL Server software" u="1"/>
        <s v="HW: 25% Labor - Setup at PulseOne HQ" u="1"/>
        <s v="POTS TPF wifi " u="1"/>
        <s v="P1 docking station" u="1"/>
        <s v="P1 PC Refresh 2 of 6" u="1"/>
        <s v="POTS adapters" u="1"/>
        <s v="P1 replace all computers HDD" u="1"/>
        <s v="POTS Network Upgrade" u="1"/>
        <s v="HW: Upgrade existing Server" u="1"/>
        <s v="HW: NAS" u="1"/>
        <s v="POTS Sage to Yardi Migration" u="1"/>
        <s v="P1 PC Refresh 3 of 6" u="1"/>
        <s v="HW: Mexico Hardware" u="1"/>
        <s v="POTS server license renewal till 12/31/18" u="1"/>
        <s v="POTS computer (refurb dell)" u="1"/>
        <s v="test" u="1"/>
        <s v="New Dell Workstation" u="1"/>
        <s v="POTS Palmdale Cabling" u="1"/>
        <s v="P1 AWS Load Balanced Server Build" u="1"/>
        <s v="P1 New Desktop" u="1"/>
        <s v="POTS Santa Clarita BCAT 10/22" u="1"/>
        <s v="POTS sonicwall " u="1"/>
        <s v="POTS PC Refresh November" u="1"/>
        <s v="P1 foodsafety...com" u="1"/>
        <s v="HW: TJ networking equipment" u="1"/>
        <s v="POTS camera in social skills room" u="1"/>
        <s v="HW: Telephone VoIP 8x8" u="1"/>
        <s v="Sonicwall TZ-100 and backup drives" u="1"/>
        <s v="P1 8x8" u="1"/>
        <s v="XP Replacements" u="1"/>
        <s v="New Dell Computer+Monitor for Gracie" u="1"/>
        <s v="Phil and Nikea" u="1"/>
        <s v="POTS Palmdale Desktop" u="1"/>
        <s v="HW: Hardware Refresh" u="1"/>
        <s v="POTS Riverside cabling VoIP phone" u="1"/>
        <s v="POTS SLO level 1 tech to site" u="1"/>
        <s v="HW:Technology Upgrade" u="1"/>
        <s v="P1 CURV server renewal Serial: 1H3QM02_x0009_" u="1"/>
        <s v="POTS Covina - Monitor" u="1"/>
        <s v="HW - Computers" u="1"/>
        <s v="POTS Cabling LA Office" u="1"/>
        <s v="HW: Network - SW, AeroHives, Switch, UPS" u="1"/>
        <s v="POTS Site Survey Central Region " u="1"/>
        <s v="POTS laptop and printer" u="1"/>
        <s v="POTS cyber security" u="1"/>
        <s v="POTS wireless access points (4) " u="1"/>
        <s v="POTS Sonicwall replacements - qty 11" u="1"/>
        <s v="POTS 150 CALs" u="1"/>
        <s v="HW: SW email appliance" u="1"/>
        <s v="APC Replacement Valencia Office" u="1"/>
        <s v="P1 Sodo Server" u="1"/>
        <s v="P1 Monitor / Mount / Computer" u="1"/>
        <s v="POTS Covina Site" u="1"/>
        <s v="POTS BCAT Test El Centro 10/15" u="1"/>
        <s v="APPAsure offsite or Intronis Quote" u="1"/>
        <s v="POTS projector bulb" u="1"/>
        <s v="POTS Santa Clarita Cabling" u="1"/>
        <s v="P1 Server (low)" u="1"/>
        <s v="Battery Back Up" u="1"/>
        <s v="POTS Emergency IT Support" u="1"/>
        <s v="P1 MS" u="1"/>
        <s v="POTS Z&amp;S Van Nuys - Aerohives" u="1"/>
        <s v="HW: PCs/SW/Laptop/Offsite Backup" u="1"/>
        <s v="SonicPoint Ne" u="1"/>
        <s v="P1 AWS MS" u="1"/>
        <s v="POTS Laguna Hills monitor and power cord, setup" u="1"/>
        <s v="POTS Laptop (Texas)" u="1"/>
        <s v="P1 Ram Upgrade" u="1"/>
        <s v="POTS PC Refresh (6 of 6 - refurbs)" u="1"/>
        <s v="POTS PC Refresh / Office 365 Hosted Exchange" u="1"/>
        <s v="Migration Wizard Licenses" u="1"/>
        <s v="HW: External Hard Drives" u="1"/>
        <s v="POTS computer replacement" u="1"/>
        <s v="POTS outdoor access point" u="1"/>
        <s v="P1 vmware setup" u="1"/>
        <s v="Windows 7 and RAM" u="1"/>
        <s v="HW: Network Cable Install 2 Frisco/Plano" u="1"/>
        <s v="AppAsure" u="1"/>
        <s v="POTS eFax solution" u="1"/>
        <s v="Computer Refresh 1 of 3" u="1"/>
        <s v="POTS Forever Social Phone System" u="1"/>
        <s v="POTS new medium computer" u="1"/>
        <s v="P1 Server Option 1" u="1"/>
        <s v="P1 Server option 2" u="1"/>
        <s v="P1 AWS - test server" u="1"/>
        <s v="DJS Phone System" u="1"/>
        <s v="P1 iMac Hard Drive" u="1"/>
        <s v="HW: Switch" u="1"/>
        <s v="HW - Home upgrade" u="1"/>
        <s v="HW - VOIP" u="1"/>
        <s v="P1 iPad 7 Albuquerque" u="1"/>
        <s v="memory upgrad from WS 1" u="1"/>
        <s v="P1 MS Sys admin support for NAV and MS CRM " u="1"/>
        <s v="P1 CURV server renewal Serial: 57LFT52_x0009_" u="1"/>
        <s v="HW: Network 1 Ft Worth" u="1"/>
        <s v="POTS computer" u="1"/>
        <s v="Gospel Light" u="1"/>
        <s v="HW: Video Camera" u="1"/>
        <s v="Suite for TZ 210" u="1"/>
        <s v="Terry L Cole,  OD" u="1"/>
        <s v="P1 8x8 - Move NEW" u="1"/>
        <s v="Computer for Melissa Pitts" u="1"/>
        <s v="POTS new macbook (derrick)" u="1"/>
        <s v="POTS MDaemon" u="1"/>
        <s v="P1 WiFi - Van Nuys" u="1"/>
        <s v="HW: iPad 11 Oklahoma City" u="1"/>
        <s v="POTS BCAT Testing - Ridgecrest" u="1"/>
        <s v="HW: 2 laptops" u="1"/>
        <s v="P1 TV / Computer" u="1"/>
        <s v="Upgrade to Server environment" u="1"/>
        <s v="P1 Network Cable Install 7 Wichita" u="1"/>
        <s v="HW - Server and Networking" u="1"/>
        <s v="POTS Raise AWS amount they pay" u="1"/>
        <s v="Quicken" u="1"/>
        <s v="HW: Server / Sonicwall / Switch" u="1"/>
        <s v="POTS 15 laptops - second BCAT test kit" u="1"/>
        <s v="P1 Thin Client" u="1"/>
        <s v="2gb x 2 kit (Roy)" u="1"/>
        <s v="Terminal Server Licenses" u="1"/>
        <s v="AWS Migration-Domain Controller/File Print" u="1"/>
        <s v="MS - Onboarding" u="1"/>
        <s v="POTS children's ministry cabling" u="1"/>
        <s v="Network Hardware / Backup" u="1"/>
        <s v="POTS replace all computers HDD" u="1"/>
        <s v="P1 NAS required for onsite" u="1"/>
        <s v="POTS NAS 16GB" u="1"/>
        <s v="P1 Cradlepoint failover ISP install" u="1"/>
        <s v="HW - Servers/SAN" u="1"/>
        <s v="HW: Sonicwall Analyzer" u="1"/>
        <s v="NY State Department of Environmental Conservation  " u="1"/>
        <s v="POTS BCAT second test kit" u="1"/>
        <s v="PowerEdge T110 II x 2" u="1"/>
        <s v="P1 8x8 wireless phone" u="1"/>
        <s v="POTS Sonos Speakers" u="1"/>
        <s v="P1 CURV server renewal Serial 2L8LN22" u="1"/>
        <s v="P1 Wi-Fi" u="1"/>
        <s v="Manage Services" u="1"/>
        <s v="P1 8x8 - Move" u="1"/>
        <s v="Wireless adapter for Jennifer's Home Computer:  VC" u="1"/>
        <s v="Server Expiration" u="1"/>
        <s v="POTS Cabling and AV issues" u="1"/>
        <s v="quote basic computer for southland stone to Choti" u="1"/>
        <s v="POTS Audio Video for storage facilities" u="1"/>
        <s v="P1 Server Renewal" u="1"/>
        <s v="Carson cabling / aerohive" u="1"/>
        <s v="POTS 20 user cals" u="1"/>
        <s v="video card" u="1"/>
        <s v="POTS Sonicwall License Renewal " u="1"/>
        <s v="POTS 4 computers - August" u="1"/>
        <s v="POTS computer and soundbar" u="1"/>
        <s v="Sonicwall and Aerohive" u="1"/>
        <s v="POTS check IDF/MDF on property" u="1"/>
        <s v="HW: server quote" u="1"/>
        <s v="P1 printer scanner" u="1"/>
        <s v="P1 CURV server renewal Serial F9XMKS1_x0009_" u="1"/>
        <s v="POTS Sonicwall License Renewal" u="1"/>
        <s v="POTS refurb laptop (dolores)" u="1"/>
        <s v="POTS greg's computer" u="1"/>
        <s v="POTS refurb computer" u="1"/>
        <s v="POTS Network Cabling - LA" u="1"/>
        <s v="P1 printplace booklets" u="1"/>
        <s v="HW: 2 basic desktops w/monitors" u="1"/>
        <s v="Vostro 1540 Laptop" u="1"/>
        <s v="POTS Lead Generation Project" u="1"/>
        <s v="POTS desktop" u="1"/>
        <s v="HSI (Hosted Exchange)" u="1"/>
        <s v="POTS PC Refresh 1 of 6" u="1"/>
        <s v="HW: SW, LT, DT, Switch, UPS" u="1"/>
        <s v="POTS laptops (4) for North Region" u="1"/>
        <s v="Hardware needed for X-Ray machine" u="1"/>
        <s v="POTS ZNS Santa Clarita " u="1"/>
        <s v="POTS laptop refresh (3 out of 18)" u="1"/>
        <s v="POTS server room cleanup" u="1"/>
        <s v="POTS laptop " u="1"/>
        <s v="HW: Network 3 South Jordan" u="1"/>
        <s v="P1 Wireless Keyboard &amp; Mouse" u="1"/>
        <s v="POTS DT-LA additional adapters " u="1"/>
        <s v="MS: Santa Maria" u="1"/>
        <s v="POTS Z&amp;S Sonicwall NSA2600" u="1"/>
        <s v="POTS aerohives x4 and switches" u="1"/>
        <s v="P1 AWS Migration" u="1"/>
        <s v="New 24&quot; Ultra Sharp Monitor for Danielle" u="1"/>
        <s v="POTS 12 Sonicwalls" u="1"/>
        <s v="HW: Sonicwall Renewal" u="1"/>
        <s v="POTS Desktop Dual Monitors (SB)" u="1"/>
        <s v="HW - Network hardware upgrade" u="1"/>
        <s v="POTS Z&amp;S Van Nuys - Cabling and Aerohive" u="1"/>
        <s v="HW: iPad 4 Fairview" u="1"/>
        <s v="POTS Santa Maria on-site for Comcast" u="1"/>
        <s v="POTS Covina ThinClient" u="1"/>
        <s v="POTS server IDRAC license" u="1"/>
        <s v="POTS 2 battery backup for DT location" u="1"/>
        <s v="HW: Visalia/Covina - Wi-Fi Aerohive" u="1"/>
        <s v="HW - Expansion to another building" u="1"/>
        <s v="HW - Assessment" u="1"/>
        <s v="Renew SonicWall license" u="1"/>
        <s v="MS: AWS" u="1"/>
        <s v="3 new computers" u="1"/>
        <s v="POTS ELT corporate calendar setup " u="1"/>
        <s v="P1 RAM Sale" u="1"/>
        <s v="POTS Santa Clarita Aerohive #3" u="1"/>
        <s v="Configure Computers and SonicWALL Firewall" u="1"/>
        <s v="POTS cisco phone adapter" u="1"/>
        <s v="HW: iPad 1 FT. Worth " u="1"/>
        <s v="POTS Park Pl Relocation" u="1"/>
        <s v="OptiPlex 790 Minitower" u="1"/>
        <s v="OptiPlex 990 Minitower" u="1"/>
        <s v="HW: Manduka-TZ500s" u="1"/>
        <s v="HW: Video Conference" u="1"/>
        <s v="POTS laptop refresh (3 of 18)" u="1"/>
        <s v="POTS desktop and laptop" u="1"/>
        <s v="MS: IT / Netsuite Level 1" u="1"/>
        <s v="HW: SQL Server" u="1"/>
        <s v="POTS website change (spanish)" u="1"/>
        <s v="POTS Downtown location" u="1"/>
        <s v="Davies Phone system Setup" u="1"/>
        <s v="POTS Aerohives" u="1"/>
        <s v="Office 2010 H&amp;B" u="1"/>
        <s v="P1 PC Refresh " u="1"/>
        <s v="POTS Forever Social" u="1"/>
        <s v="POTS email appliance renewal 1yr" u="1"/>
        <s v="POTS New Laptop (P. Roxborough)" u="1"/>
        <s v="get to know sean" u="1"/>
        <s v="P1 Project / Screen / Labor" u="1"/>
        <s v="P1 CURV server renewal Serial CZMLXQ1_x0009_" u="1"/>
        <s v="POTS San Diego Laptops - 4" u="1"/>
        <s v="POTS email appliance renewal 2yr" u="1"/>
        <s v="P1 CURV server renewal Serial: 1H2WM02" u="1"/>
        <s v="HW: Office 365" u="1"/>
        <s v="call greg marsh" u="1"/>
        <s v="HW: Sonicwall + Desktop" u="1"/>
        <s v="HW: Fresno location" u="1"/>
        <s v="Computer Refresh 1" u="1"/>
        <s v="Network Relocation" u="1"/>
        <s v="P1 iPad 15 Utah County" u="1"/>
        <s v="HW: Jacey MacAir" u="1"/>
        <s v="Warehouse Laptop Computer" u="1"/>
        <s v="POTS TS Licenses " u="1"/>
        <s v="HW: HSI Internet Connection" u="1"/>
        <s v="P1 NetSuite-DocuSign" u="1"/>
        <s v="POTS server renewal (expired)" u="1"/>
        <s v="HW - PCI Labor" u="1"/>
        <s v="POTS (Rubicon) computer replacement" u="1"/>
        <s v="P1 Electrical Construction - Fresno Projector and Screen" u="1"/>
        <s v="Terminal Server" u="1"/>
        <s v="POTS VoIP (Project)" u="1"/>
        <s v="P1 Email Sonicwall Security Renewal" u="1"/>
        <s v="HW: Network Cable Install 3 Westminster" u="1"/>
        <s v="Monitor and VGA Adaptor" u="1"/>
        <s v="HW: AWS Migration Project" u="1"/>
        <s v="POTS replace all computers SSD" u="1"/>
        <s v="Lauren @ Nelson" u="1"/>
        <s v="POTS Dion On-Site Support" u="1"/>
        <s v="POTS VoIP telephone configuration" u="1"/>
        <s v="HW: Server Renewal" u="1"/>
        <s v="P1 Video Conference" u="1"/>
        <s v="P1 Guadalajara Labor" u="1"/>
        <s v="POTS Wi-Fi (Aerohive)" u="1"/>
        <s v="HW: Transition away from TS for Line computers" u="1"/>
        <s v="P1 CURV server renewal Serial 224NW12_x0009_" u="1"/>
        <s v="RR-CA-58012 Burger IM Desktop" u="1"/>
        <s v="POTS BCAT SLO 9/26" u="1"/>
        <s v="POTS new computer (basic)" u="1"/>
        <s v="POTS 20 computers (refurb)" u="1"/>
        <s v="Pat Schied Mem/Computer" u="1"/>
        <s v="P1 Hard Drive Kit" u="1"/>
        <s v="Win 7 Pro" u="1"/>
        <s v="RAM Upgrade 2gb (Roy)" u="1"/>
        <s v="HW: Server Upgrade " u="1"/>
        <s v="P1 CURV server warranty" u="1"/>
        <s v="POTS Sonicwall Replacement" u="1"/>
        <s v="POTS Jill house visit" u="1"/>
        <s v="P1 Fresno Projector Mic and Video Camera" u="1"/>
        <s v="P1 PC Refresh" u="1"/>
        <s v="Johnny Speed (Farmers)" u="1"/>
        <s v="P1 dual monitor cords " u="1"/>
        <s v="HW: Networking Technology for Vince St." u="1"/>
        <s v="POTS Ravi Laptop" u="1"/>
        <s v="P1 CAT5 and HDMI for ACT Van Nuys" u="1"/>
        <s v="POTS Troubleshooting" u="1"/>
        <s v="P1 Raise AWS amount they pay" u="1"/>
        <s v="adobe acrobat quote" u="1"/>
        <s v="Office H&amp;B 2010" u="1"/>
        <s v="P1 Louisville Network Refresh" u="1"/>
        <s v="HW: Office 365 - Hosted Exchange" u="1"/>
        <s v="POTS 95 computers / 85 thin clients" u="1"/>
        <s v="Office 2010 for Peter" u="1"/>
        <s v=" backoffice PC RAM upgrade quote" u="1"/>
        <s v="POTS Palm Desert IT Visit" u="1"/>
        <s v="P1 ThinClient for Rene" u="1"/>
        <s v="P1 Dual Monitor Setup" u="1"/>
        <s v="Penetration Testing / Vulnerability Assessment" u="1"/>
        <s v="P1 iPads" u="1"/>
        <s v="Missionary Church" u="1"/>
        <s v="P1 CURV server renewal Serial: 57LHT52" u="1"/>
        <s v="P1 CURV server renewal Serial KQ07X7W_x0009_" u="1"/>
        <s v="P1 network switch" u="1"/>
        <s v="POTS 5 new computers" u="1"/>
        <s v="P1 Qty 50 TS Licenses" u="1"/>
        <s v="POTS PC Refresh 2 of 6" u="1"/>
        <s v="POTS o365 license for Conejo - add to MS " u="1"/>
        <s v="Managed Services and hardware" u="1"/>
        <s v="Hardware" u="1"/>
        <s v="P1 TS Device CALs" u="1"/>
        <s v="HW (Cloud)" u="1"/>
        <s v="POTS 10 laptops" u="1"/>
        <s v="HW: SQL Upgrade" u="1"/>
        <s v="HW: Server Rack / Cleanup" u="1"/>
        <s v="crucial" u="1"/>
        <s v="P1 CURV server renewal Serial C6Q3SH1_x0009_" u="1"/>
        <s v="MS - Main Office" u="1"/>
        <s v="HW: Server" u="1"/>
        <s v="HW: Video Conference Room March" u="1"/>
        <s v="HW - Desktop Upgrade" u="1"/>
        <s v="Web Cam Scanner Headset Speakers" u="1"/>
        <s v="HW: IT Policy / Compliance / Training" u="1"/>
        <s v="POTS San Diego Office" u="1"/>
        <s v="HW: Sonicwall and AP" u="1"/>
        <s v="HW - Office 365 Migration" u="1"/>
        <s v="HW - DC / Exch" u="1"/>
        <s v="POTS Apple Valley cabling company and tech request" u="1"/>
        <s v="P1 NAS Purchase" u="1"/>
        <s v="HW: iPad 9 Las Colinas (Irving)" u="1"/>
        <s v="POTS new laptop" u="1"/>
        <s v="HW: W.A.P. Deployment" u="1"/>
        <s v="P1 Computer refresh (Windows 7 end of life)" u="1"/>
        <s v="SonicPOint N wireless" u="1"/>
        <s v="POTS Endless Comm for DT LA" u="1"/>
        <s v="P1 Wi-Fi 2" u="1"/>
        <s v="Microsofts Cloud Services" u="1"/>
        <s v="Projector Troubleshoot Naperville, IL" u="1"/>
        <s v="HW: Project Labor" u="1"/>
        <s v="HW: Infrastructure Upgrade" u="1"/>
        <s v="P1 o365" u="1"/>
        <s v="POTS paula's computer config" u="1"/>
        <s v="POTS less expensive server" u="1"/>
        <s v="POTS (Canejo HVAC) o365 migration" u="1"/>
        <s v="POTS TPF Cabling" u="1"/>
        <s v="POTS Palmdale Projector + Screen (install)" u="1"/>
        <s v="MS: Texas" u="1"/>
        <s v="P1 overnight shipping" u="1"/>
        <s v="POTS computer monitor setup" u="1"/>
        <s v="POTS San Diego projector, monitors" u="1"/>
        <s v="P1 DRV - Free Space Remaining &lt; 10% Total Size:9451 - ORGANIC-DCFP 4277 C" u="1"/>
        <s v="HW: 50% computer labor" u="1"/>
        <s v="P1 50 ft HDMI" u="1"/>
        <s v="POTS computer setup" u="1"/>
        <s v="P1 Exchange Troubleshooting additional 3 hours" u="1"/>
        <s v="davies Sonic Point N" u="1"/>
        <s v="HW: Sonicwall Renewal Main" u="1"/>
        <s v="POTS cable drops (Van Nuys)" u="1"/>
        <s v="P1 Wi-Fi 1" u="1"/>
        <s v="POTS Computer Purchase" u="1"/>
        <s v="Terry Sierra Traffic:  New Home computer" u="1"/>
        <s v="POTS AWS migration" u="1"/>
        <s v="POTS desktop price increase (RE Inv 16199 - already ordered)" u="1"/>
        <s v="P1 Network Cable 9 Charlotte " u="1"/>
        <s v="HW: TJ and OX Desk/Lap" u="1"/>
        <s v="Offsite Backups - Appassure" u="1"/>
        <s v="POTS Site location setup" u="1"/>
        <s v="P1 iPad 6 Westminster" u="1"/>
        <s v="3 Laptop Installs" u="1"/>
        <s v="P1 external backup HDD" u="1"/>
        <s v="POTS MyCloud media server " u="1"/>
        <s v="Sonicwall for Torrance and Burbank locations" u="1"/>
        <s v="POTS on-site tech request for printer " u="1"/>
        <s v="HW: Office365" u="1"/>
        <s v="P1 TV" u="1"/>
        <s v="POTS Santa Maria on-site for cutover" u="1"/>
        <s v="P1 CURV server renewal Serial 3NWRLV1" u="1"/>
        <s v="Meet an Greet Doug" u="1"/>
        <s v="POTS Aloha POS system " u="1"/>
        <s v="4 GB Kit x 5" u="1"/>
        <s v="HW: DUO iPad Accessories" u="1"/>
        <s v="P1 iPad 14 Little Rock" u="1"/>
        <s v="Backup Battery" u="1"/>
        <s v="Quote Rack" u="1"/>
        <s v="HW: Assessment" u="1"/>
        <s v="HP Thin Clients" u="1"/>
        <s v="POTS dual monitors + cables (Lancaster)" u="1"/>
        <s v="POTS PC Refresh (laptop) i7" u="1"/>
        <s v="P1 20 Laptops" u="1"/>
        <s v="P1 Windows 10 Pro License" u="1"/>
        <s v="POTS Covina Computer Install" u="1"/>
        <s v="POTS add expansion card to PCs" u="1"/>
        <s v="POTS refurb" u="1"/>
        <s v="HW: Server Expiration" u="1"/>
        <s v="HW: Sonicwall Renewal 2016" u="1"/>
        <s v="P1 Sonicwall Warranty Renewal" u="1"/>
        <s v="POTS headsets" u="1"/>
        <s v="POTS sonicwall renewal " u="1"/>
        <s v="POTS ACT DT hive managers" u="1"/>
        <s v="MS - Managed Services" u="1"/>
        <s v="P1 iPad 8 Chandler" u="1"/>
        <s v="P1 Replace HDD with SSD" u="1"/>
        <s v="HW: Labor 25% Target completion date" u="1"/>
        <s v="P1 CURV server renewal Serial: 57LGT52_x0009_" u="1"/>
        <s v="New Site Location" u="1"/>
        <s v="POTS license upgrade " u="1"/>
        <s v="POTS two laptops to support TOVA software" u="1"/>
        <s v="P1 Refurbished Desktop " u="1"/>
        <s v="New Computer" u="1"/>
        <s v="POTS Van Nuys web cam, speakers" u="1"/>
        <s v="P1 CURV server renewal Serial 06VN505_x0009_" u="1"/>
        <s v="POTS laptops for SLO" u="1"/>
        <s v="HW: TJ desktops" u="1"/>
        <s v="POTS Sonicwall Global Manager" u="1"/>
        <s v="POTS dispatch computer setup" u="1"/>
        <s v="HW: Battery Backup w/management card" u="1"/>
        <s v="MS: LA" u="1"/>
        <s v="Phone System" u="1"/>
        <s v="Keay Financial" u="1"/>
        <s v="HW:Switches" u="1"/>
        <s v="POTS AWS MS" u="1"/>
        <s v="POTS new computer with dual monitor" u="1"/>
        <s v="POTS monitors (3)" u="1"/>
        <s v="P1 Dell Printer for QC Lab" u="1"/>
        <s v="POTS MS increase" u="1"/>
        <s v="P1 Sonicwall License Renewal " u="1"/>
        <s v=" POTS Migrate to AWS" u="1"/>
        <s v="POTS Drilteck cabling" u="1"/>
        <s v="POTS Z&amp;S - SB - Cabling Aerohive " u="1"/>
        <s v="POTS printer for chuck" u="1"/>
        <s v="Onsite - Appassure" u="1"/>
        <s v="HW - Appasure" u="1"/>
        <s v="POTS computers" u="1"/>
        <s v="8x8 call center" u="1"/>
        <s v="New system for Ursula @ Slaughter" u="1"/>
        <s v="Speed Insurance (Farmers)" u="1"/>
        <s v="try and setup a meet and greet with Aimee" u="1"/>
        <s v="4 new computers per Chad" u="1"/>
        <s v="Small Business Switch 24 port" u="1"/>
        <s v="USB Add-in card for server" u="1"/>
        <s v="Swift Financial" u="1"/>
        <s v="P1 CAPS Media NAS revised" u="1"/>
        <s v="HW: Dell Thin Client Computers" u="1"/>
        <s v="POTS Azure AD" u="1"/>
        <s v="P1 iPad 5 Des Moines" u="1"/>
        <s v="POTS PC Refresh 3 of 6" u="1"/>
        <s v="POTS Sonicwall Replacement TZ300" u="1"/>
        <s v="Hardware / Software Purchases" u="1"/>
        <s v="P1 Skype for business roll out/Training" u="1"/>
        <s v="POTS BCAT test Santa Maria 7/23" u="1"/>
        <s v=" POTS Migrate to cloud and o365" u="1"/>
        <s v="HW: Computer Refresh Qty 2" u="1"/>
        <s v="P1 Sonicwall Renewal" u="1"/>
        <s v="Quote 2 new PCs" u="1"/>
        <s v="P1 new computer (Susan)" u="1"/>
        <s v="HW: Kate MacAir (2)" u="1"/>
        <s v="POTS emergency on-site tech support" u="1"/>
        <s v="Office 365" u="1"/>
        <s v="HW: laptop" u="1"/>
        <s v="OptiPlex 390 desktop" u="1"/>
        <s v="OptiPlex 790 Desktop" u="1"/>
        <s v="HW: Switch/Firewall" u="1"/>
        <s v="P1 Sonicwall Reinstatement Fee" u="1"/>
        <s v="P1 CURV server renewal Serial 5Q0DR22_x0009_" u="1"/>
        <s v="CPA SafeMail" u="1"/>
        <s v="Server Hardware" u="1"/>
        <s v="P1 CURV server renewal Serial B8972Y1" u="1"/>
        <s v="HW: iPad 1 FT. Worth - Second shipment" u="1"/>
        <s v="HW: conference room computers" u="1"/>
        <s v="2TB External Hard Drive" u="1"/>
        <s v="backup MACS" u="1"/>
        <s v="HW: 4 new desktops" u="1"/>
        <s v="POTS ACT DT thin client mounts" u="1"/>
        <s v="POTS Microsoft Surface Pro Laptop" u="1"/>
        <s v="New hard drive on Maryland computer" u="1"/>
        <s v="HW: App Server" u="1"/>
        <s v="New Sonic Point?" u="1"/>
        <s v="HW - Server 2008 - Mike" u="1"/>
        <s v="Server Replacement" u="1"/>
        <s v="Start Relationship with Eddie" u="1"/>
        <s v="P1 Cabling Project" u="1"/>
        <s v="basic computer quote" u="1"/>
        <s v="POTS two computers (8GB)" u="1"/>
        <s v="POTS pacifica electrical" u="1"/>
        <s v="POTS monitors (2) and cables" u="1"/>
        <s v="HW: o365" u="1"/>
        <s v="P1 Memory Upgrade" u="1"/>
        <s v="POTS weekly onsite tech" u="1"/>
        <s v="P1 Server" u="1"/>
        <s v="P1 QUOTE: please send proposal VPN NetExtender - Qty 10" u="1"/>
        <s v="P1 Park Tree Server" u="1"/>
        <s v="Petunia Pickle Bottom - Wednesday, A...(#AAAQ1007)" u="1"/>
        <s v="P1 Network Cable Install 5 Oklahoma City" u="1"/>
        <s v="POTS o365 / AWS" u="1"/>
        <s v="POTS Print Server Project" u="1"/>
        <s v="Server / Thin Clients" u="1"/>
        <s v="HW: regular iPad - inventory PulseOne" u="1"/>
        <s v="HW: iPad 11 V2 Oklahoma City" u="1"/>
        <s v="new computers" u="1"/>
        <s v="Coolpak TJ Server" u="1"/>
        <s v="HW: regular iPad Mentor" u="1"/>
        <s v="POTS HDD/Data Recovery" u="1"/>
        <s v="HW: Sonicwall Renewal-Santa Barbara" u="1"/>
        <s v="POTS mike's laptop config" u="1"/>
        <s v="AWS Migration - Terminal Server" u="1"/>
        <s v="HW: S.W. / TS Licenses" u="1"/>
        <s v="POTS Trailer Setup" u="1"/>
        <s v="HW: new location" u="1"/>
        <s v="HW: Network Cable Install 1 Fort Worth " u="1"/>
        <s v="HW: MS Server 2012 R2 Licenses and CALs" u="1"/>
        <s v="HW: Desktops - " u="1"/>
        <s v="POTS Aerohive Renewal" u="1"/>
        <s v="SonicWALL TZ500 Wireless" u="1"/>
        <s v="POTS laser printer" u="1"/>
        <s v="Quote #000105 Remote Desktop User CALS" u="1"/>
        <s v="Lowthrop, Richards, McMillan, Miller &amp; Templeman," u="1"/>
        <s v="P1 CURV server renewal Serial: JXQX842_x0009_" u="1"/>
        <s v="P1 Audio Video" u="1"/>
        <s v="Drip MS" u="1"/>
        <s v="RAM, OS and Video Card for Erik" u="1"/>
        <s v="Managed Services" u="1"/>
        <s v="Managed Services (Desktop Support)" u="1"/>
        <s v="Joe Laptop" u="1"/>
        <s v="P1 Shipping" u="1"/>
        <s v="P1 Quote new PC for Stacy" u="1"/>
        <s v="Choti Upgrades" u="1"/>
        <s v="FrakerFire Office Home and Business 2010" u="1"/>
        <s v="Upgrade Backup Exec to 12.0 or 12.5" u="1"/>
        <s v="P1 Netsuite Development" u="1"/>
        <s v="HW: Hardware Refresh October" u="1"/>
        <s v="Spencer Mckenzies" u="1"/>
        <s v="HW - Watson SonicPoint" u="1"/>
        <s v="P1 iPad 13 Kingston" u="1"/>
        <s v="POTS Sonicwall Replacement TZ300W" u="1"/>
        <s v="Hive Managers" u="1"/>
        <s v="Critical Systems" u="1"/>
        <s v="AWS Server Implementation" u="1"/>
        <s v="P1 Networking Equipment" u="1"/>
        <s v="P1 Miscellaneous Hardware" u="1"/>
        <s v="HW: TS Licenses" u="1"/>
        <s v="POTS server renewal PARENT OP" u="1"/>
        <s v="POTS laptops 10 " u="1"/>
        <s v="New PC" u="1"/>
        <s v="POTS thin clients w monitors" u="1"/>
        <s v="New Location 8 computers MS raise" u="1"/>
        <s v="HW: John MacAir" u="1"/>
        <s v="HW: Onboard Project" u="1"/>
        <s v="Purchase Server OS, Exch, TS" u="1"/>
        <s v="POTS setup new pc (TJ office)" u="1"/>
        <s v="HD Webcams" u="1"/>
        <s v="POTS iMac Hard Drive" u="1"/>
        <s v="HW: iPad 2 Plano/Frisco" u="1"/>
        <s v="POTS 8x8 VoIP migration" u="1"/>
        <s v="P1 Aerohive warranty renewal" u="1"/>
        <s v="POTS server warranty renewal" u="1"/>
        <s v="POTS Print Server Project (October)" u="1"/>
        <s v="HW: iPad 12 Sugar Land" u="1"/>
        <s v="POTS sonicwall renewal - parent" u="1"/>
        <s v="P1 SonicWall" u="1"/>
        <s v="Ram upgrade" u="1"/>
        <s v="POTS PC Refresh (Mike only)" u="1"/>
        <s v="Desktop for Standard PSU" u="1"/>
        <s v="AV Graphics" u="1"/>
        <s v="15&quot; Touch Screen" u="1"/>
        <s v="P1 PC Refresh 1 and 2 of 18" u="1"/>
        <s v="HW: Video Conference Icon Flex" u="1"/>
        <s v="POTS flash drive" u="1"/>
        <s v="AWS Server Setup" u="1"/>
        <s v="POTS SBS / o365 - Premise Server Migration" u="1"/>
        <s v="POTS WiFI" u="1"/>
        <s v="DSL Extreme" u="1"/>
        <s v="P1 CAPS Media NAS" u="1"/>
        <s v="Backup Exec" u="1"/>
        <s v="Latitude E5520" u="1"/>
        <s v="2 Laptop Purchase and Install" u="1"/>
        <s v="Office Relocation" u="1"/>
        <s v="HW: Network 4 Westminster" u="1"/>
        <s v="POTS server fan replacement part" u="1"/>
        <s v="HW: ACT 10 Computers" u="1"/>
        <s v="POTS outdoor cabling" u="1"/>
        <s v="P1 Forms" u="1"/>
        <s v="POTS server environment upgrade" u="1"/>
        <s v="E Folder Backups" u="1"/>
        <s v="HW: Server Rebuild" u="1"/>
        <s v="P1 Sonicwall Replacement" u="1"/>
        <s v="POTS 25 desktops" u="1"/>
        <s v="POTS 40 desktops" u="1"/>
        <s v="Vostro 360 - all in one" u="1"/>
        <s v="P1 Web Development " u="1"/>
        <s v="POTS Lancaster cabling" u="1"/>
        <s v="HW: Network 5.1 Oklahoma City" u="1"/>
        <s v="POTS Bitdefender AV Renewal" u="1"/>
        <s v="P1 CURV server renewal Serial C8658Y1_x0009_" u="1"/>
        <s v="P1 CURV server renewal Serial HHMQ082_x0009_" u="1"/>
        <s v="POTS overnight shipping for June Z&amp;S projects" u="1"/>
        <s v="POTS Aerohive Install" u="1"/>
        <s v="P1 AWS - MS" u="1"/>
        <s v="POTS box label printer" u="1"/>
        <s v="4 pack sonicpoints ne w/poe" u="1"/>
        <s v="POTS o365 recurring december" u="1"/>
        <s v="Exchange Server" u="1"/>
        <s v="ConnectWise Iphone app" u="1"/>
        <s v="OpenDNS" u="1"/>
        <s v="HW: Office Relocation" u="1"/>
        <s v="HW: Monitor 24" u="1"/>
        <s v="POTS on-site technician FTE" u="1"/>
        <s v="HW: Sonicwall and Switches" u="1"/>
        <s v="P1 Exchange Troubleshooting / Audit" u="1"/>
        <s v="HW - Server/Infrastructure Upgrade" u="1"/>
        <s v="P1 upwork weekly billing summary " u="1"/>
        <s v="POTS Z&amp;S Palm Desert - Cabling and Aerohive" u="1"/>
        <s v="HW - Server" u="1"/>
        <s v="HW - Server/Firewall/UPS" u="1"/>
        <s v="POTS WiFi Access Points Van Nuys &amp; Palm Desert" u="1"/>
        <s v="UPS" u="1"/>
        <s v="POTS MS Office Pro 2016" u="1"/>
        <s v="POTS Migrate Exchange server" u="1"/>
        <s v="HW: 8x8 Labor" u="1"/>
        <s v="P1 Infrastructure Assesment" u="1"/>
        <s v="Mem: Wes per Matt - ticket 10019" u="1"/>
        <s v="HW: SSLVPN" u="1"/>
        <s v="POTS PC Refresh ADNAN PROJECT - EXISTING OP QUOTING" u="1"/>
        <s v="P1 Migrate server T610 to AWS" u="1"/>
        <s v="P1 Exchange Server - less than 2% drive space" u="1"/>
        <s v="Hardware Replacement" u="1"/>
        <s v="P1 WiFi Access Point " u="1"/>
        <s v="POTS 3 computers" u="1"/>
        <s v="POTS 4 computers" u="1"/>
        <s v="P1 AWS" u="1"/>
        <s v="Phase 2" u="1"/>
        <s v="P1 Computer Purchase" u="1"/>
        <s v="Managed Service" u="1"/>
        <s v="POTS MMHSM Infrastructure" u="1"/>
        <s v="SB and LA office" u="1"/>
        <s v="Windows 10 Upgrade " u="1"/>
        <s v="server warraty renewal" u="1"/>
        <s v="POTS Staffing" u="1"/>
        <s v="POTS BCAT test - Temecula " u="1"/>
        <s v="HW - MediaTemple email migration for Mark Fletcher" u="1"/>
        <s v="AWS Automotive - Monday, April 15, 2013(#AAAQ1008)" u="1"/>
        <s v="Computer Refresh 1a" u="1"/>
        <s v="POTS covina camera additional" u="1"/>
        <s v="SonicWall Renewal" u="1"/>
        <s v="POTS on-site tech for printer" u="1"/>
        <s v="Computer ugrades" u="1"/>
        <s v="HW: iPad 10 Memphis " u="1"/>
        <s v="HW - Watson Font Explorer Labor" u="1"/>
        <s v="POTS - PO Comm" u="1"/>
        <s v="POTS Cable Run" u="1"/>
        <s v="Cancell Autotask" u="1"/>
        <s v="P1 DYNAMICS Migration Project" u="1"/>
        <s v="HW: Wi-Fi Access Points" u="1"/>
        <s v="POTS Laptop for Brinton Watts" u="1"/>
        <s v="POTS laptop and docking station " u="1"/>
        <s v="HW" u="1"/>
        <s v="POTS PAL Aerohive AP130" u="1"/>
        <s v="Computer Quote" u="1"/>
        <s v="P1 Office365 Migratin" u="1"/>
        <s v="P1 Aerohive - cover church" u="1"/>
        <s v="POTS OnSite Tech" u="1"/>
        <s v="POTS kiosks" u="1"/>
        <s v="HW: Santa Maria" u="1"/>
        <s v="Dell Computers" u="1"/>
        <s v="Exchang / SharePoint Server" u="1"/>
        <s v="Laser Jet Pro P1606dn" u="1"/>
        <s v="POTS upgrade from W7 to W10" u="1"/>
        <s v="POTS Print Server Project (November)" u="1"/>
        <s v="P1 Network 5.2 Oklahoma City" u="1"/>
        <s v="POTS laptop for Maritza (Visalia)" u="1"/>
        <s v="POTS tablets" u="1"/>
        <s v="Keyboard for Carole (White)" u="1"/>
        <s v="P1 need to invoice 4 hours: Chadmar onsite Tech" u="1"/>
        <s v="Manaed Services" u="1"/>
        <s v="POTS IT Documentation " u="1"/>
        <s v="Lowthorp" u="1"/>
        <s v="POTS o365 recurring november" u="1"/>
        <s v="TZ100 and SonicPoint Ne" u="1"/>
        <s v="HW: 0ffice 365 - Hosted Exchange / Skype" u="1"/>
        <s v="POTS 4 Laptops" u="1"/>
        <s v="Backup Battery 350 VA" u="1"/>
        <s v="P1 CURV server renewal Serial 90RVVX1_x0009_" u="1"/>
        <s v="HW: Labor 25% Setup and Ready at Pilot HQ " u="1"/>
        <s v="ECH / Dylan Chan" u="1"/>
        <s v="POTS HiveManager renewal (3)" u="1"/>
        <s v="POTS VoIP (MS)" u="1"/>
        <s v="Terminal Server CALs" u="1"/>
        <s v="POTS Refurbished Desktop " u="1"/>
        <s v="POTS AWS monthly" u="1"/>
        <s v="POTS macbook charger" u="1"/>
        <s v="POTS PC Refresh (4 of 4)" u="1"/>
        <s v="Managed Serivces" u="1"/>
        <s v="POTS infrastructure upgrade " u="1"/>
        <s v="P1 additional SSL VPN license" u="1"/>
        <s v="P1 Receptionist Computer" u="1"/>
        <s v="OptiPlex 390" u="1"/>
        <s v="Increased Managed Services" u="1"/>
        <s v="POTS On-site technician FTE Aug" u="1"/>
        <s v="P1 SonicWall renewal " u="1"/>
        <s v="memory upgrade for giraffe" u="1"/>
        <s v="HW: QB upgrade" u="1"/>
        <s v="HW: Web server for PPB" u="1"/>
        <s v="ROCO: Quote for HW" u="1"/>
        <s v="POTS SM phone setup" u="1"/>
        <s v="Visio Standard 2010" u="1"/>
        <s v="POTS Dell Compellent Support Renewal" u="1"/>
        <s v="P1 Aerohive" u="1"/>
        <s v="POTS laptop (dolores)" u="1"/>
        <s v="Full Size Server Rack" u="1"/>
        <s v="HW: Printers" u="1"/>
        <s v="Himelsein Security Cameras" u="1"/>
        <s v="P1 Nas" u="1"/>
        <s v="POTS Hive Managers (2)" u="1"/>
        <s v="HW - HDD / Labor" u="1"/>
        <s v="P1 VoIP Proposal" u="1"/>
        <s v="POTS Manduka Software List" u="1"/>
        <s v="P1 Printers" u="1"/>
        <s v="Wireless Access Point" u="1"/>
        <s v="P1 Network Kingston" u="1"/>
      </sharedItems>
    </cacheField>
    <cacheField name="Revenue" numFmtId="0">
      <sharedItems containsString="0" containsBlank="1" containsNumber="1" minValue="0" maxValue="25000"/>
    </cacheField>
    <cacheField name="Margin" numFmtId="0">
      <sharedItems containsString="0" containsBlank="1" containsNumber="1" minValue="-285.95" maxValue="25000"/>
    </cacheField>
    <cacheField name="Campaign" numFmtId="0">
      <sharedItems containsBlank="1" count="16">
        <m/>
        <s v="POTS - 2011 Small Business Server"/>
        <s v="POTS - PC Refresh 2019"/>
        <s v="POTS - Sonicwall Renewal"/>
        <s v="POTS - Server 2008 EOL"/>
        <s v="POTS - Server Renewal"/>
        <s v="POTS-Server Replacement"/>
        <s v="POTS - Aerohive Renewal" u="1"/>
        <s v="POTS-Migrating to Cloud" u="1"/>
        <s v="POTS-PC Refresh 2019" u="1"/>
        <s v="RR-Kiosk Marketplace Ad" u="1"/>
        <s v="POTS-Sonicwall Renewal" u="1"/>
        <s v="POTS-Server Renewal" u="1"/>
        <s v="POTS-PC Refresh" u="1"/>
        <s v="Client Referral" u="1"/>
        <s v="RR - Homepage Form" u="1"/>
      </sharedItems>
    </cacheField>
    <cacheField name="Prob %" numFmtId="0">
      <sharedItems containsString="0" containsBlank="1" containsNumber="1" containsInteger="1" minValue="0" maxValue="100"/>
    </cacheField>
    <cacheField name="Stage" numFmtId="0">
      <sharedItems containsBlank="1" count="25">
        <s v="13 - Needs Invoice"/>
        <s v="10 - Awaiting Client Approval"/>
        <s v="90 - Lost"/>
        <s v="7 - Quoting"/>
        <s v="5 - Solution Development"/>
        <s v="14 - On Hold"/>
        <s v="95 - Won"/>
        <s v="50 - Requested Future Followup"/>
        <s v="1 - New Opportunity"/>
        <s v="12 - Order in Process"/>
        <s v="4 - Qualifying"/>
        <s v="8 - Quote in review"/>
        <m/>
        <s v="New Opportunity" u="1"/>
        <s v="Qualifying" u="1"/>
        <s v="Awaiting Client Approval" u="1"/>
        <s v="11 - PO Pending" u="1"/>
        <s v="Quoting" u="1"/>
        <s v="Needs Invoice" u="1"/>
        <s v="3 - Unresponsive/Active" u="1"/>
        <s v="On Hold" u="1"/>
        <s v="17 - Won" u="1"/>
        <s v="16 - Lost" u="1"/>
        <s v="2 - Contact Attempted" u="1"/>
        <s v="Quote in review" u="1"/>
      </sharedItems>
    </cacheField>
    <cacheField name="Install Type" numFmtId="0">
      <sharedItems containsBlank="1" count="5">
        <m/>
        <s v="Project"/>
        <s v="Install"/>
        <s v="Drop Ship Only"/>
        <s v="Service" u="1"/>
      </sharedItems>
    </cacheField>
    <cacheField name="Next Step" numFmtId="0">
      <sharedItems containsBlank="1"/>
    </cacheField>
    <cacheField name="Source Type" numFmtId="0">
      <sharedItems containsBlank="1"/>
    </cacheField>
    <cacheField name="Age" numFmtId="0">
      <sharedItems containsString="0" containsBlank="1" containsNumber="1" containsInteger="1" minValue="1" maxValue="539"/>
    </cacheField>
    <cacheField name="Notes" numFmtId="0">
      <sharedItems containsNonDate="0" containsString="0" containsBlank="1"/>
    </cacheField>
    <cacheField name="Open" numFmtId="0">
      <sharedItems containsString="0" containsBlank="1" containsNumber="1" minValue="0" maxValue="25000"/>
    </cacheField>
    <cacheField name="Location" numFmtId="0">
      <sharedItems containsBlank="1"/>
    </cacheField>
    <cacheField name="Contact Name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curring" numFmtId="0">
      <sharedItems containsString="0" containsBlank="1" containsNumber="1" containsInteger="1" minValue="0" maxValue="0"/>
    </cacheField>
    <cacheField name="Won" numFmtId="0">
      <sharedItems containsString="0" containsBlank="1" containsNumber="1" minValue="0" maxValue="14621.02"/>
    </cacheField>
    <cacheField name="Lost" numFmtId="0">
      <sharedItems containsString="0" containsBlank="1" containsNumber="1" minValue="0" maxValue="418952.5"/>
    </cacheField>
    <cacheField name="Expected" numFmtId="0">
      <sharedItems containsString="0" containsBlank="1" containsNumber="1" minValue="0" maxValue="18027.704000000002"/>
    </cacheField>
    <cacheField name="Rating" numFmtId="0">
      <sharedItems containsBlank="1" containsMixedTypes="1" containsNumber="1" containsInteger="1" minValue="0" maxValue="0"/>
    </cacheField>
    <cacheField name="Inside Rep" numFmtId="0">
      <sharedItems containsBlank="1" count="3">
        <m/>
        <s v="jelbek"/>
        <s v="CWiggins"/>
      </sharedItems>
    </cacheField>
    <cacheField name="Time" numFmtId="0">
      <sharedItems containsString="0" containsBlank="1" containsNumber="1" containsInteger="1" minValue="0" maxValue="0"/>
    </cacheField>
    <cacheField name="Agreement" numFmtId="0">
      <sharedItems containsString="0" containsBlank="1" containsNumber="1" containsInteger="1" minValue="0" maxValue="0"/>
    </cacheField>
    <cacheField name="Product" numFmtId="0">
      <sharedItems containsString="0" containsBlank="1" containsNumber="1" minValue="0" maxValue="25000"/>
    </cacheField>
    <cacheField name="Service" numFmtId="0">
      <sharedItems containsString="0" containsBlank="1" containsNumber="1" minValue="0" maxValue="15145"/>
    </cacheField>
    <cacheField name="Managed Services" numFmtId="0">
      <sharedItems containsString="0" containsBlank="1" containsNumber="1" containsInteger="1" minValue="0" maxValue="0"/>
    </cacheField>
    <cacheField name="Other" numFmtId="0">
      <sharedItems containsString="0" containsBlank="1" containsNumber="1" containsInteger="1" minValue="0" maxValue="0"/>
    </cacheField>
    <cacheField name="Type" numFmtId="0">
      <sharedItems containsBlank="1"/>
    </cacheField>
    <cacheField name="Department" numFmtId="0">
      <sharedItems containsBlank="1"/>
    </cacheField>
    <cacheField name="Site" numFmtId="0">
      <sharedItems containsBlank="1"/>
    </cacheField>
    <cacheField name="Opportunity #" numFmtId="0">
      <sharedItems containsString="0" containsBlank="1" containsNumber="1" containsInteger="1" minValue="1474" maxValue="3123"/>
    </cacheField>
    <cacheField name="Territory" numFmtId="0">
      <sharedItems containsBlank="1"/>
    </cacheField>
    <cacheField name="Converted" numFmtId="0">
      <sharedItems containsBlank="1"/>
    </cacheField>
    <cacheField name="SO Date" numFmtId="0">
      <sharedItems containsNonDate="0" containsString="0" containsBlank="1"/>
    </cacheField>
    <cacheField name="Months" numFmtId="0" databaseField="0">
      <fieldGroup base="5">
        <rangePr groupBy="months" startDate="2019-01-01T00:00:00" endDate="2020-01-0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0"/>
        </groupItems>
      </fieldGroup>
    </cacheField>
    <cacheField name="Years" numFmtId="0" databaseField="0">
      <fieldGroup base="5">
        <rangePr groupBy="years" startDate="2019-01-01T00:00:00" endDate="2020-01-01T00:00:00"/>
        <groupItems count="4">
          <s v="&lt;1/1/2019"/>
          <s v="2019"/>
          <s v="2020"/>
          <s v="&gt;1/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5">
  <r>
    <x v="0"/>
    <x v="0"/>
    <s v="common/images/infoicons/opp-flag-red_32x32.png"/>
    <s v="common/images/infoicons/Flag_Overridden.svg"/>
    <x v="0"/>
    <x v="0"/>
    <s v="CWiggins"/>
    <x v="0"/>
    <x v="0"/>
    <n v="500"/>
    <n v="250"/>
    <x v="0"/>
    <n v="0"/>
    <x v="0"/>
    <x v="0"/>
    <s v="Mon 11/12/2018 Call Lane - Review pricing for MS"/>
    <m/>
    <n v="268"/>
    <m/>
    <n v="0"/>
    <s v="Corporate"/>
    <s v="Lane Linthicum"/>
    <s v="Bakersfield"/>
    <s v="CA"/>
    <n v="0"/>
    <n v="500"/>
    <n v="0"/>
    <n v="0"/>
    <n v="0"/>
    <x v="0"/>
    <n v="0"/>
    <n v="0"/>
    <n v="0"/>
    <n v="500"/>
    <n v="0"/>
    <n v="0"/>
    <s v="P1 Hardware / Software"/>
    <s v="Admin"/>
    <s v="Main"/>
    <n v="2312"/>
    <s v="Ventura"/>
    <b v="1"/>
    <m/>
  </r>
  <r>
    <x v="0"/>
    <x v="0"/>
    <s v="common/images/infoicons/opp-flag-red_32x32.png"/>
    <s v="common/images/infoicons/Status_CredsNotVaild.svg"/>
    <x v="1"/>
    <x v="1"/>
    <s v="CWiggins"/>
    <x v="1"/>
    <x v="1"/>
    <n v="0"/>
    <n v="0"/>
    <x v="1"/>
    <n v="80"/>
    <x v="1"/>
    <x v="0"/>
    <m/>
    <m/>
    <n v="146"/>
    <m/>
    <n v="0"/>
    <s v="Corporate"/>
    <s v="Donna Nelson"/>
    <s v="Ventura"/>
    <s v="CA"/>
    <n v="0"/>
    <n v="0"/>
    <n v="6115"/>
    <n v="0"/>
    <n v="0"/>
    <x v="0"/>
    <n v="0"/>
    <n v="0"/>
    <n v="0"/>
    <n v="0"/>
    <n v="0"/>
    <n v="0"/>
    <s v="P1 Hardware / Software"/>
    <s v="Admin"/>
    <s v="Main"/>
    <n v="2652"/>
    <s v="Ventura"/>
    <b v="0"/>
    <m/>
  </r>
  <r>
    <x v="1"/>
    <x v="0"/>
    <s v="common/images/infoicons/opp-flag-blue_32x32.png"/>
    <s v="common/images/infoicons/Flag_Overridden.svg"/>
    <x v="0"/>
    <x v="2"/>
    <s v="CWiggins"/>
    <x v="2"/>
    <x v="2"/>
    <n v="5100"/>
    <n v="2550"/>
    <x v="1"/>
    <n v="0"/>
    <x v="0"/>
    <x v="1"/>
    <s v="Wed 03/27/2019 Call Jessica "/>
    <m/>
    <n v="239"/>
    <m/>
    <n v="0"/>
    <s v="Corporate"/>
    <s v="Chad Lande"/>
    <s v="Santa Monica"/>
    <s v="CA"/>
    <n v="0"/>
    <n v="5100"/>
    <n v="0"/>
    <n v="0"/>
    <n v="0"/>
    <x v="1"/>
    <n v="0"/>
    <n v="0"/>
    <n v="0"/>
    <n v="5100"/>
    <n v="0"/>
    <n v="0"/>
    <s v="P1 Technology MS"/>
    <s v="Sales"/>
    <s v="Main"/>
    <n v="2364"/>
    <s v="Ventura"/>
    <b v="1"/>
    <m/>
  </r>
  <r>
    <x v="1"/>
    <x v="0"/>
    <s v="common/images/infoicons/opp-flag-blue_32x32.png"/>
    <s v="common/images/infoicons/Flag_Overridden.svg"/>
    <x v="0"/>
    <x v="2"/>
    <s v="CWiggins"/>
    <x v="3"/>
    <x v="3"/>
    <n v="4243.6000000000004"/>
    <n v="1606.15"/>
    <x v="0"/>
    <n v="0"/>
    <x v="0"/>
    <x v="1"/>
    <s v="Wed 03/20/2019 Adjust opp and invoice"/>
    <m/>
    <n v="94"/>
    <m/>
    <n v="0"/>
    <s v="Corporate"/>
    <s v="Dave Jaskolski"/>
    <s v="Carpinteria"/>
    <s v="CA"/>
    <n v="0"/>
    <n v="4243.6000000000004"/>
    <n v="0"/>
    <n v="0"/>
    <n v="0"/>
    <x v="0"/>
    <n v="0"/>
    <n v="0"/>
    <n v="3623.6"/>
    <n v="620"/>
    <n v="0"/>
    <n v="0"/>
    <s v="P1 Hardware / Software"/>
    <s v="Sales"/>
    <s v="Main"/>
    <n v="2786"/>
    <s v="Ventura"/>
    <b v="1"/>
    <m/>
  </r>
  <r>
    <x v="1"/>
    <x v="0"/>
    <s v="common/images/infoicons/opp-flag-blue_32x32.png"/>
    <s v="common/images/infoicons/Flag_Overridden.svg"/>
    <x v="0"/>
    <x v="2"/>
    <s v="CWiggins"/>
    <x v="4"/>
    <x v="4"/>
    <n v="3000"/>
    <n v="3000"/>
    <x v="0"/>
    <n v="0"/>
    <x v="0"/>
    <x v="1"/>
    <s v="Mon 03/25/2019 Call if no response to email jasmine sent"/>
    <m/>
    <n v="59"/>
    <m/>
    <n v="0"/>
    <s v="Corporate"/>
    <s v="Mike Leblanc"/>
    <s v="Ventura"/>
    <s v="CA"/>
    <n v="0"/>
    <n v="3000"/>
    <n v="0"/>
    <n v="0"/>
    <n v="0"/>
    <x v="0"/>
    <n v="0"/>
    <n v="0"/>
    <n v="0"/>
    <n v="3000"/>
    <n v="0"/>
    <n v="0"/>
    <s v="P1 Hardware / Software"/>
    <s v="Admin"/>
    <s v="Main"/>
    <n v="2916"/>
    <s v="Ventura"/>
    <b v="1"/>
    <m/>
  </r>
  <r>
    <x v="2"/>
    <x v="0"/>
    <s v="common/images/infoicons/opp-flag-blue_32x32.png"/>
    <s v="common/images/infoicons/Status_CredsNotVaild.svg"/>
    <x v="2"/>
    <x v="3"/>
    <s v="CWiggins"/>
    <x v="5"/>
    <x v="5"/>
    <n v="0"/>
    <n v="0"/>
    <x v="0"/>
    <n v="80"/>
    <x v="1"/>
    <x v="1"/>
    <s v="Wed 04/10/2019 Chad to Call Berenice if no response to email with decision"/>
    <m/>
    <n v="42"/>
    <m/>
    <n v="0"/>
    <s v="Corporate"/>
    <s v="Berenice Orta"/>
    <s v="Santa Barbara"/>
    <s v="CA"/>
    <n v="0"/>
    <n v="0"/>
    <n v="1440"/>
    <n v="0"/>
    <n v="0"/>
    <x v="1"/>
    <n v="0"/>
    <n v="0"/>
    <n v="0"/>
    <n v="0"/>
    <n v="0"/>
    <n v="0"/>
    <s v="P1 Hardware / Software"/>
    <s v="Sales"/>
    <s v="Main"/>
    <n v="2976"/>
    <s v="Santa Barbara"/>
    <b v="0"/>
    <m/>
  </r>
  <r>
    <x v="3"/>
    <x v="0"/>
    <s v="common/images/infoicons/opp-flag-blue_32x32.png"/>
    <s v="common/images/infoicons/transpix.gif"/>
    <x v="3"/>
    <x v="4"/>
    <s v="CWiggins"/>
    <x v="4"/>
    <x v="6"/>
    <n v="2690"/>
    <n v="615"/>
    <x v="0"/>
    <n v="80"/>
    <x v="1"/>
    <x v="1"/>
    <s v="Fri 05/03/2019 Call Laura if no response to Jasmine Email  - moving forward?"/>
    <m/>
    <n v="64"/>
    <m/>
    <n v="2690"/>
    <s v="Corporate"/>
    <s v="Mike Leblanc"/>
    <s v="Ventura"/>
    <s v="CA"/>
    <n v="0"/>
    <n v="0"/>
    <n v="0"/>
    <n v="2152"/>
    <n v="0"/>
    <x v="0"/>
    <n v="0"/>
    <n v="0"/>
    <n v="858"/>
    <n v="1832"/>
    <n v="0"/>
    <n v="0"/>
    <s v="P1 Hardware / Software"/>
    <s v="Sales"/>
    <s v="Main"/>
    <n v="2906"/>
    <s v="Ventura"/>
    <b v="0"/>
    <m/>
  </r>
  <r>
    <x v="4"/>
    <x v="0"/>
    <s v="common/images/infoicons/opp-flag-yellow_32x32.png"/>
    <s v="common/images/infoicons/Status_CredsNotVaild.svg"/>
    <x v="1"/>
    <x v="5"/>
    <s v="CWiggins"/>
    <x v="6"/>
    <x v="7"/>
    <n v="0"/>
    <n v="0"/>
    <x v="1"/>
    <n v="0"/>
    <x v="2"/>
    <x v="0"/>
    <m/>
    <m/>
    <n v="134"/>
    <m/>
    <n v="0"/>
    <s v="Corporate"/>
    <s v="Mike Davis"/>
    <s v="Oxnard"/>
    <s v="CA"/>
    <n v="0"/>
    <n v="0"/>
    <n v="10315.879999999999"/>
    <n v="0"/>
    <n v="0"/>
    <x v="0"/>
    <n v="0"/>
    <n v="0"/>
    <n v="0"/>
    <n v="0"/>
    <n v="0"/>
    <n v="0"/>
    <s v="P1 Hardware / Software"/>
    <s v="Admin"/>
    <s v="Main"/>
    <n v="2686"/>
    <s v="Hero Tech"/>
    <b v="0"/>
    <m/>
  </r>
  <r>
    <x v="1"/>
    <x v="0"/>
    <s v="common/images/infoicons/opp-flag-green_32x32.png"/>
    <s v="common/images/infoicons/Flag_Overridden.svg"/>
    <x v="0"/>
    <x v="6"/>
    <s v="CWiggins"/>
    <x v="7"/>
    <x v="8"/>
    <n v="5660.9"/>
    <n v="-285.95"/>
    <x v="0"/>
    <n v="0"/>
    <x v="0"/>
    <x v="2"/>
    <s v="Wed 03/20/2019 Send invoice "/>
    <m/>
    <n v="51"/>
    <m/>
    <n v="0"/>
    <s v="Corporate"/>
    <s v="Mariela Feldman"/>
    <s v="Van Nuys"/>
    <s v="CA"/>
    <n v="0"/>
    <n v="5660.9"/>
    <n v="0"/>
    <n v="0"/>
    <n v="0"/>
    <x v="1"/>
    <n v="0"/>
    <n v="0"/>
    <n v="5660.9"/>
    <n v="0"/>
    <n v="0"/>
    <n v="0"/>
    <s v="P1 Hardware / Software"/>
    <s v="Admin"/>
    <s v="Main"/>
    <n v="2949"/>
    <s v="Ventura"/>
    <b v="1"/>
    <m/>
  </r>
  <r>
    <x v="1"/>
    <x v="0"/>
    <s v="common/images/infoicons/opp-flag-green_32x32.png"/>
    <s v="common/images/infoicons/Status_CredsVaild.svg"/>
    <x v="4"/>
    <x v="2"/>
    <s v="CWiggins"/>
    <x v="5"/>
    <x v="5"/>
    <n v="2520"/>
    <n v="1170"/>
    <x v="0"/>
    <n v="80"/>
    <x v="1"/>
    <x v="1"/>
    <s v="Thu 03/21/2019 call and email Bernice"/>
    <m/>
    <n v="59"/>
    <m/>
    <n v="0"/>
    <s v="Corporate"/>
    <s v="Berenice Orta"/>
    <s v="Santa Barbara"/>
    <s v="CA"/>
    <n v="0"/>
    <n v="0"/>
    <n v="0"/>
    <n v="2016"/>
    <n v="0"/>
    <x v="1"/>
    <n v="0"/>
    <n v="0"/>
    <n v="420"/>
    <n v="2100"/>
    <n v="0"/>
    <n v="0"/>
    <s v="P1 Hardware / Software"/>
    <s v="Sales"/>
    <s v="Main"/>
    <n v="2922"/>
    <s v="Santa Barbara"/>
    <b v="0"/>
    <m/>
  </r>
  <r>
    <x v="1"/>
    <x v="0"/>
    <s v="common/images/infoicons/opp-flag-green_32x32.png"/>
    <s v="common/images/infoicons/Flag_Overridden.svg"/>
    <x v="0"/>
    <x v="2"/>
    <s v="CWiggins"/>
    <x v="8"/>
    <x v="9"/>
    <n v="297"/>
    <n v="60"/>
    <x v="0"/>
    <n v="0"/>
    <x v="0"/>
    <x v="0"/>
    <s v="Wed 03/27/2019 f/u for approval "/>
    <m/>
    <n v="49"/>
    <m/>
    <n v="0"/>
    <s v="Corporate"/>
    <s v="Marisa Jane Hirtzel"/>
    <s v="El Segundo"/>
    <s v="CA"/>
    <n v="0"/>
    <n v="297"/>
    <n v="0"/>
    <n v="0"/>
    <n v="0"/>
    <x v="1"/>
    <n v="0"/>
    <n v="0"/>
    <n v="297"/>
    <n v="0"/>
    <n v="0"/>
    <n v="0"/>
    <s v="P1 Hardware / Software"/>
    <s v="Sales"/>
    <s v="Maple Ave - Current Locatin"/>
    <n v="2957"/>
    <s v="Ventura"/>
    <b v="1"/>
    <m/>
  </r>
  <r>
    <x v="1"/>
    <x v="0"/>
    <s v="common/images/infoicons/opp-flag-green_32x32.png"/>
    <s v="common/images/infoicons/Flag_Overridden.svg"/>
    <x v="0"/>
    <x v="2"/>
    <s v="CWiggins"/>
    <x v="9"/>
    <x v="10"/>
    <n v="465"/>
    <n v="465"/>
    <x v="0"/>
    <n v="0"/>
    <x v="0"/>
    <x v="1"/>
    <m/>
    <m/>
    <n v="50"/>
    <m/>
    <n v="0"/>
    <s v="Corporate"/>
    <s v="Lauren Pioli"/>
    <s v="Camarillo"/>
    <s v="CA"/>
    <n v="0"/>
    <n v="465"/>
    <n v="0"/>
    <n v="0"/>
    <n v="0"/>
    <x v="1"/>
    <n v="0"/>
    <n v="0"/>
    <n v="0"/>
    <n v="465"/>
    <n v="0"/>
    <n v="0"/>
    <s v="P1 Hardware / Software"/>
    <s v="Sales"/>
    <s v="Main"/>
    <n v="2950"/>
    <s v="Ventura"/>
    <b v="1"/>
    <m/>
  </r>
  <r>
    <x v="5"/>
    <x v="0"/>
    <s v="common/images/infoicons/opp-flag-green_32x32.png"/>
    <s v="common/images/infoicons/Flag_Overridden.svg"/>
    <x v="0"/>
    <x v="7"/>
    <s v="CWiggins"/>
    <x v="10"/>
    <x v="11"/>
    <n v="481.56"/>
    <n v="364.59"/>
    <x v="0"/>
    <n v="0"/>
    <x v="0"/>
    <x v="2"/>
    <s v="Mon 04/08/2019 follow up "/>
    <m/>
    <n v="55"/>
    <m/>
    <n v="0"/>
    <s v="Corporate"/>
    <s v="Gerald Innes"/>
    <s v="Ventura"/>
    <s v="CA"/>
    <n v="0"/>
    <n v="481.56"/>
    <n v="0"/>
    <n v="0"/>
    <n v="0"/>
    <x v="1"/>
    <n v="0"/>
    <n v="0"/>
    <n v="171.56"/>
    <n v="310"/>
    <n v="0"/>
    <n v="0"/>
    <s v="P1 Hardware / Software"/>
    <s v="Sales"/>
    <s v="Main"/>
    <n v="2936"/>
    <s v="Hero Tech"/>
    <b v="1"/>
    <m/>
  </r>
  <r>
    <x v="5"/>
    <x v="0"/>
    <s v="common/images/infoicons/opp-flag-green_32x32.png"/>
    <s v="common/images/infoicons/Status_CredsVaild.svg"/>
    <x v="4"/>
    <x v="8"/>
    <s v="CWiggins"/>
    <x v="11"/>
    <x v="12"/>
    <n v="1000"/>
    <n v="1000"/>
    <x v="0"/>
    <n v="40"/>
    <x v="3"/>
    <x v="1"/>
    <s v="Wed 03/20/2019 Jasmine - Build proposal for computer "/>
    <m/>
    <n v="134"/>
    <m/>
    <n v="0"/>
    <s v="Corporate"/>
    <s v="Tiffany Landsen"/>
    <s v="Oxnard"/>
    <s v="CA"/>
    <n v="0"/>
    <n v="0"/>
    <n v="0"/>
    <n v="400"/>
    <n v="0"/>
    <x v="1"/>
    <n v="0"/>
    <n v="0"/>
    <n v="1000"/>
    <n v="0"/>
    <n v="0"/>
    <n v="0"/>
    <s v="P1 Hardware / Software"/>
    <s v="Sales"/>
    <s v="Main"/>
    <n v="2687"/>
    <s v="Hero Tech"/>
    <b v="0"/>
    <m/>
  </r>
  <r>
    <x v="5"/>
    <x v="0"/>
    <s v="common/images/infoicons/opp-flag-green_32x32.png"/>
    <s v="common/images/infoicons/Flag_Overridden.svg"/>
    <x v="0"/>
    <x v="8"/>
    <s v="CWiggins"/>
    <x v="12"/>
    <x v="13"/>
    <n v="7470"/>
    <n v="7470"/>
    <x v="0"/>
    <n v="0"/>
    <x v="0"/>
    <x v="1"/>
    <s v="Tue 04/30/2019 Chad to call Chris "/>
    <m/>
    <n v="162"/>
    <m/>
    <n v="0"/>
    <s v="Corporate"/>
    <s v="Chris Rodgers"/>
    <s v="Corona"/>
    <s v="CA"/>
    <n v="0"/>
    <n v="7470"/>
    <n v="0"/>
    <n v="0"/>
    <n v="0"/>
    <x v="0"/>
    <n v="0"/>
    <n v="0"/>
    <n v="0"/>
    <n v="7470"/>
    <n v="0"/>
    <n v="0"/>
    <s v="P1 Hardware / Software"/>
    <s v="Admin"/>
    <s v="Main"/>
    <n v="2617"/>
    <s v="Inland Empire"/>
    <b v="1"/>
    <m/>
  </r>
  <r>
    <x v="2"/>
    <x v="0"/>
    <s v="common/images/infoicons/opp-flag-green_32x32.png"/>
    <s v="common/images/infoicons/Status_CredsNotVaild.svg"/>
    <x v="2"/>
    <x v="9"/>
    <s v="CWiggins"/>
    <x v="8"/>
    <x v="14"/>
    <n v="0"/>
    <n v="0"/>
    <x v="0"/>
    <n v="0"/>
    <x v="2"/>
    <x v="1"/>
    <s v="Mon 04/15/2019 ping Chuck again (include asking about Carson cabling)"/>
    <m/>
    <n v="78"/>
    <m/>
    <n v="0"/>
    <s v="Corporate"/>
    <s v="Isu Sahai"/>
    <s v="El Segundo"/>
    <s v="CA"/>
    <n v="0"/>
    <n v="0"/>
    <n v="15995"/>
    <n v="0"/>
    <n v="0"/>
    <x v="1"/>
    <n v="0"/>
    <n v="0"/>
    <n v="0"/>
    <n v="0"/>
    <n v="0"/>
    <n v="0"/>
    <s v="P1 Hardware / Software"/>
    <s v="Sales"/>
    <s v="Maple Ave - Current Locatin"/>
    <n v="2851"/>
    <s v="Ventura"/>
    <b v="0"/>
    <m/>
  </r>
  <r>
    <x v="2"/>
    <x v="0"/>
    <s v="common/images/infoicons/opp-flag-green_32x32.png"/>
    <s v="common/images/infoicons/transpix.gif"/>
    <x v="3"/>
    <x v="10"/>
    <s v="CWiggins"/>
    <x v="13"/>
    <x v="15"/>
    <n v="1550"/>
    <n v="1550"/>
    <x v="0"/>
    <n v="80"/>
    <x v="1"/>
    <x v="1"/>
    <s v="Wed 05/01/2019 Call Josh w/ update on internet, check in on server &amp; switch"/>
    <m/>
    <n v="168"/>
    <m/>
    <n v="1550"/>
    <s v="Corporate"/>
    <s v="Mike Somers"/>
    <s v="Camarillo"/>
    <s v="CA"/>
    <n v="0"/>
    <n v="0"/>
    <n v="0"/>
    <n v="1240"/>
    <n v="0"/>
    <x v="1"/>
    <n v="0"/>
    <n v="0"/>
    <n v="0"/>
    <n v="1550"/>
    <n v="0"/>
    <n v="0"/>
    <s v="P1 Hardware / Software"/>
    <s v="Sales"/>
    <s v="Main"/>
    <n v="2585"/>
    <s v="Hero Tech"/>
    <b v="0"/>
    <m/>
  </r>
  <r>
    <x v="6"/>
    <x v="0"/>
    <s v="common/images/infoicons/opp-flag-green_32x32.png"/>
    <s v="common/images/infoicons/transpix.gif"/>
    <x v="3"/>
    <x v="11"/>
    <s v="CWiggins"/>
    <x v="14"/>
    <x v="16"/>
    <n v="10600"/>
    <n v="10600"/>
    <x v="2"/>
    <n v="40"/>
    <x v="3"/>
    <x v="1"/>
    <s v="Fri 04/12/2019 Jasmine to f/u about install only"/>
    <m/>
    <n v="106"/>
    <m/>
    <n v="0"/>
    <s v="Corporate"/>
    <s v="Michelle Cardona"/>
    <s v="Oxnard"/>
    <s v="CA"/>
    <n v="0"/>
    <n v="10600"/>
    <n v="0"/>
    <n v="4240"/>
    <s v="Unknown"/>
    <x v="1"/>
    <n v="0"/>
    <n v="0"/>
    <n v="0"/>
    <n v="10600"/>
    <n v="0"/>
    <n v="0"/>
    <s v="P1 Hardware / Software"/>
    <s v="Sales"/>
    <s v="Main"/>
    <n v="2763"/>
    <s v="Ventura"/>
    <b v="0"/>
    <m/>
  </r>
  <r>
    <x v="2"/>
    <x v="0"/>
    <s v="common/images/infoicons/opp-flag-orange_32x32.png"/>
    <s v="common/images/infoicons/Status_CredsVaild.svg"/>
    <x v="4"/>
    <x v="12"/>
    <s v="CWiggins"/>
    <x v="6"/>
    <x v="17"/>
    <n v="3220"/>
    <n v="1772.08"/>
    <x v="2"/>
    <n v="40"/>
    <x v="4"/>
    <x v="1"/>
    <s v="Fri 04/12/2019 Follow up to initial email about PC refresh sent  "/>
    <m/>
    <n v="162"/>
    <m/>
    <n v="0"/>
    <s v="Corporate"/>
    <s v="Mike Davis"/>
    <s v="Oxnard"/>
    <s v="CA"/>
    <n v="0"/>
    <n v="0"/>
    <n v="0"/>
    <n v="1288"/>
    <n v="0"/>
    <x v="1"/>
    <n v="0"/>
    <n v="0"/>
    <n v="2020"/>
    <n v="1200"/>
    <n v="0"/>
    <n v="0"/>
    <s v="P1 Hardware / Software"/>
    <s v="Admin"/>
    <s v="Main"/>
    <n v="2598"/>
    <s v="Hero Tech"/>
    <b v="0"/>
    <m/>
  </r>
  <r>
    <x v="6"/>
    <x v="0"/>
    <s v="common/images/infoicons/opp-flag-orange_32x32.png"/>
    <s v="common/images/infoicons/transpix.gif"/>
    <x v="3"/>
    <x v="13"/>
    <s v="CWiggins"/>
    <x v="15"/>
    <x v="18"/>
    <n v="1282.4000000000001"/>
    <n v="512.83000000000004"/>
    <x v="2"/>
    <n v="20"/>
    <x v="5"/>
    <x v="1"/>
    <s v="Fri 05/10/2019 Follow up on timing PC Refresh - make sure cabling opp "/>
    <m/>
    <n v="111"/>
    <m/>
    <n v="1282.4000000000001"/>
    <s v="Corporate"/>
    <s v="Michelle LaPointe"/>
    <s v="Oxnard"/>
    <s v="CA"/>
    <n v="0"/>
    <n v="0"/>
    <n v="0"/>
    <n v="256.48"/>
    <n v="0"/>
    <x v="1"/>
    <n v="0"/>
    <n v="0"/>
    <n v="972.4"/>
    <n v="310"/>
    <n v="0"/>
    <n v="0"/>
    <s v="P1 Hardware / Software"/>
    <s v="Sales"/>
    <s v="Main"/>
    <n v="2736"/>
    <s v="Ventura"/>
    <b v="0"/>
    <m/>
  </r>
  <r>
    <x v="7"/>
    <x v="0"/>
    <s v="common/images/infoicons/opp-flag-orange_32x32.png"/>
    <s v="common/images/infoicons/transpix.gif"/>
    <x v="3"/>
    <x v="14"/>
    <s v="CWiggins"/>
    <x v="15"/>
    <x v="19"/>
    <n v="1268.3599999999999"/>
    <n v="508.82"/>
    <x v="2"/>
    <n v="20"/>
    <x v="5"/>
    <x v="1"/>
    <s v="Fri 05/10/2019 Follow up on timing PC Refresh"/>
    <m/>
    <n v="111"/>
    <m/>
    <n v="1268.3599999999999"/>
    <s v="Corporate"/>
    <s v="Michelle LaPointe"/>
    <s v="Oxnard"/>
    <s v="CA"/>
    <n v="0"/>
    <n v="0"/>
    <n v="0"/>
    <n v="253.672"/>
    <n v="0"/>
    <x v="1"/>
    <n v="0"/>
    <n v="0"/>
    <n v="958.36"/>
    <n v="310"/>
    <n v="0"/>
    <n v="0"/>
    <s v="P1 Hardware / Software"/>
    <s v="Sales"/>
    <s v="Main"/>
    <n v="2737"/>
    <s v="Ventura"/>
    <b v="0"/>
    <m/>
  </r>
  <r>
    <x v="1"/>
    <x v="0"/>
    <s v="common/images/infoicons/opp-flag-orange_32x32.png"/>
    <s v="common/images/infoicons/Flag_Overridden.svg"/>
    <x v="0"/>
    <x v="15"/>
    <s v="CWiggins"/>
    <x v="16"/>
    <x v="17"/>
    <n v="9000"/>
    <n v="9000"/>
    <x v="2"/>
    <n v="0"/>
    <x v="6"/>
    <x v="1"/>
    <m/>
    <m/>
    <n v="113"/>
    <m/>
    <n v="0"/>
    <s v="Corporate"/>
    <s v="Craig Reibenspies"/>
    <m/>
    <m/>
    <n v="0"/>
    <n v="9000"/>
    <n v="0"/>
    <n v="0"/>
    <s v="Unknown"/>
    <x v="1"/>
    <n v="0"/>
    <n v="0"/>
    <n v="9000"/>
    <n v="0"/>
    <n v="0"/>
    <n v="0"/>
    <s v="P1 Hardware / Software"/>
    <s v="Admin"/>
    <m/>
    <n v="2725"/>
    <s v="Ventura"/>
    <b v="0"/>
    <m/>
  </r>
  <r>
    <x v="1"/>
    <x v="0"/>
    <s v="common/images/infoicons/opp-flag-orange_32x32.png"/>
    <s v="common/images/infoicons/Flag_Overridden.svg"/>
    <x v="0"/>
    <x v="16"/>
    <s v="CWiggins"/>
    <x v="17"/>
    <x v="17"/>
    <n v="1209"/>
    <n v="504"/>
    <x v="2"/>
    <n v="80"/>
    <x v="1"/>
    <x v="2"/>
    <s v="Wed 03/27/2019 Follow up to quote sent for PC refresh"/>
    <m/>
    <n v="444"/>
    <m/>
    <n v="0"/>
    <s v="Corporate"/>
    <s v="Jeremy Wilson"/>
    <s v="Santa Barbara"/>
    <s v="CA"/>
    <n v="0"/>
    <n v="1209"/>
    <n v="0"/>
    <n v="967.2"/>
    <s v="Unknown"/>
    <x v="1"/>
    <n v="0"/>
    <n v="0"/>
    <n v="899"/>
    <n v="310"/>
    <n v="0"/>
    <n v="0"/>
    <s v="P1 Hardware / Software"/>
    <s v="Admin"/>
    <s v="Santa Barbara"/>
    <n v="1815"/>
    <s v="Ventura"/>
    <b v="1"/>
    <m/>
  </r>
  <r>
    <x v="1"/>
    <x v="0"/>
    <s v="common/images/infoicons/opp-flag-orange_32x32.png"/>
    <s v="common/images/infoicons/Status_CredsNotVaild.svg"/>
    <x v="5"/>
    <x v="2"/>
    <s v="CWiggins"/>
    <x v="18"/>
    <x v="17"/>
    <n v="0"/>
    <n v="0"/>
    <x v="2"/>
    <n v="0"/>
    <x v="2"/>
    <x v="1"/>
    <m/>
    <m/>
    <n v="106"/>
    <m/>
    <n v="0"/>
    <s v="Corporate"/>
    <s v="Douglas Clark"/>
    <s v="Ventura"/>
    <s v="CA"/>
    <n v="0"/>
    <n v="0"/>
    <n v="16000"/>
    <n v="0"/>
    <s v="Unknown"/>
    <x v="1"/>
    <n v="0"/>
    <n v="0"/>
    <n v="0"/>
    <n v="0"/>
    <n v="0"/>
    <n v="0"/>
    <s v="P1 Hardware / Software"/>
    <s v="Admin"/>
    <s v="Main"/>
    <n v="2760"/>
    <s v="Ventura"/>
    <b v="0"/>
    <m/>
  </r>
  <r>
    <x v="5"/>
    <x v="0"/>
    <s v="common/images/infoicons/opp-flag-orange_32x32.png"/>
    <s v="common/images/infoicons/Flag_Overridden.svg"/>
    <x v="0"/>
    <x v="8"/>
    <s v="CWiggins"/>
    <x v="19"/>
    <x v="20"/>
    <n v="2265"/>
    <n v="1046"/>
    <x v="2"/>
    <n v="80"/>
    <x v="1"/>
    <x v="1"/>
    <m/>
    <m/>
    <n v="10"/>
    <m/>
    <n v="0"/>
    <s v="Corporate"/>
    <s v="Chris Moore"/>
    <s v="Ventura"/>
    <s v="CA"/>
    <n v="0"/>
    <n v="2265"/>
    <n v="0"/>
    <n v="1812"/>
    <s v="Unknown"/>
    <x v="1"/>
    <n v="0"/>
    <n v="0"/>
    <n v="1265"/>
    <n v="1000"/>
    <n v="0"/>
    <n v="0"/>
    <s v="P1 Hardware / Software"/>
    <s v="Sales"/>
    <s v="Main"/>
    <n v="3078"/>
    <s v="Ventura"/>
    <b v="1"/>
    <m/>
  </r>
  <r>
    <x v="2"/>
    <x v="0"/>
    <s v="common/images/infoicons/opp-flag-orange_32x32.png"/>
    <s v="common/images/infoicons/transpix.gif"/>
    <x v="3"/>
    <x v="10"/>
    <s v="CWiggins"/>
    <x v="2"/>
    <x v="20"/>
    <n v="6000"/>
    <n v="6000"/>
    <x v="2"/>
    <n v="80"/>
    <x v="1"/>
    <x v="1"/>
    <s v="Wed 04/17/2019 f/u in april (doing server upgrade first)"/>
    <m/>
    <n v="444"/>
    <m/>
    <n v="6000"/>
    <s v="Corporate"/>
    <s v="Chad Lande"/>
    <s v="Santa Monica"/>
    <s v="CA"/>
    <n v="0"/>
    <n v="0"/>
    <n v="0"/>
    <n v="4800"/>
    <s v="Unknown"/>
    <x v="1"/>
    <n v="0"/>
    <n v="0"/>
    <n v="6000"/>
    <n v="0"/>
    <n v="0"/>
    <n v="0"/>
    <s v="P1 Hardware / Software"/>
    <s v="Sales"/>
    <s v="Main"/>
    <n v="1795"/>
    <s v="Ventura"/>
    <b v="0"/>
    <m/>
  </r>
  <r>
    <x v="2"/>
    <x v="0"/>
    <s v="common/images/infoicons/opp-flag-orange_32x32.png"/>
    <s v="common/images/infoicons/transpix.gif"/>
    <x v="3"/>
    <x v="10"/>
    <s v="CWiggins"/>
    <x v="4"/>
    <x v="21"/>
    <n v="1920"/>
    <n v="1770"/>
    <x v="2"/>
    <n v="80"/>
    <x v="1"/>
    <x v="1"/>
    <s v="Add new activity"/>
    <m/>
    <n v="6"/>
    <m/>
    <n v="1920"/>
    <s v="Corporate"/>
    <s v="Mike Leblanc"/>
    <s v="Ventura"/>
    <s v="CA"/>
    <n v="0"/>
    <n v="0"/>
    <n v="0"/>
    <n v="1536"/>
    <s v="Unknown"/>
    <x v="1"/>
    <n v="0"/>
    <n v="0"/>
    <n v="1300"/>
    <n v="620"/>
    <n v="0"/>
    <n v="0"/>
    <s v="P1 Hardware / Software"/>
    <s v="Admin"/>
    <s v="Main"/>
    <n v="3089"/>
    <s v="Ventura"/>
    <b v="0"/>
    <m/>
  </r>
  <r>
    <x v="2"/>
    <x v="0"/>
    <s v="common/images/infoicons/opp-flag-orange_32x32.png"/>
    <s v="common/images/infoicons/Status_CredsNotVaild.svg"/>
    <x v="5"/>
    <x v="10"/>
    <s v="CWiggins"/>
    <x v="4"/>
    <x v="22"/>
    <n v="0"/>
    <n v="0"/>
    <x v="2"/>
    <n v="0"/>
    <x v="2"/>
    <x v="1"/>
    <s v="Wed 04/10/2019 Follow up to list and email sent to Laura/Mike"/>
    <m/>
    <n v="444"/>
    <m/>
    <n v="0"/>
    <s v="Corporate"/>
    <s v="Mike Leblanc"/>
    <s v="Ventura"/>
    <s v="CA"/>
    <n v="0"/>
    <n v="0"/>
    <n v="3816.55"/>
    <n v="0"/>
    <s v="Unknown"/>
    <x v="1"/>
    <n v="0"/>
    <n v="0"/>
    <n v="0"/>
    <n v="0"/>
    <n v="0"/>
    <n v="0"/>
    <s v="P1 Hardware / Software"/>
    <s v="Admin"/>
    <s v="Main"/>
    <n v="1805"/>
    <s v="Ventura"/>
    <b v="0"/>
    <m/>
  </r>
  <r>
    <x v="6"/>
    <x v="0"/>
    <s v="common/images/infoicons/opp-flag-orange_32x32.png"/>
    <s v="common/images/infoicons/transpix.gif"/>
    <x v="3"/>
    <x v="17"/>
    <s v="CWiggins"/>
    <x v="20"/>
    <x v="17"/>
    <n v="3000"/>
    <n v="3000"/>
    <x v="2"/>
    <n v="40"/>
    <x v="4"/>
    <x v="1"/>
    <s v="Fri 04/12/2019 Jasmine to call phil "/>
    <m/>
    <n v="106"/>
    <m/>
    <n v="3000"/>
    <s v="Corporate"/>
    <s v="Phil Gilley"/>
    <s v="Nashville"/>
    <s v="TN"/>
    <n v="0"/>
    <n v="0"/>
    <n v="0"/>
    <n v="1200"/>
    <s v="Unknown"/>
    <x v="1"/>
    <n v="0"/>
    <n v="0"/>
    <n v="3000"/>
    <n v="0"/>
    <n v="0"/>
    <n v="0"/>
    <s v="P1 Hardware / Software"/>
    <s v="Admin"/>
    <s v="Nashville North"/>
    <n v="2761"/>
    <s v="Ventura"/>
    <b v="0"/>
    <m/>
  </r>
  <r>
    <x v="6"/>
    <x v="0"/>
    <s v="common/images/infoicons/opp-flag-orange_32x32.png"/>
    <s v="common/images/infoicons/transpix.gif"/>
    <x v="3"/>
    <x v="18"/>
    <s v="CWiggins"/>
    <x v="8"/>
    <x v="17"/>
    <n v="25000"/>
    <n v="25000"/>
    <x v="2"/>
    <n v="40"/>
    <x v="3"/>
    <x v="1"/>
    <s v="Wed 04/10/2019 Follow Up with Isu about PC refresh if no response"/>
    <m/>
    <n v="444"/>
    <m/>
    <n v="25000"/>
    <s v="Corporate"/>
    <s v="Ash Dhawan"/>
    <s v="El Segundo "/>
    <s v="CA"/>
    <n v="0"/>
    <n v="0"/>
    <n v="0"/>
    <n v="10000"/>
    <s v="Unknown"/>
    <x v="1"/>
    <n v="0"/>
    <n v="0"/>
    <n v="25000"/>
    <n v="0"/>
    <n v="0"/>
    <n v="0"/>
    <s v="P1 Hardware / Software"/>
    <s v="Admin"/>
    <s v="Main - Old Location"/>
    <n v="1807"/>
    <s v="Ventura"/>
    <b v="0"/>
    <m/>
  </r>
  <r>
    <x v="6"/>
    <x v="0"/>
    <s v="common/images/infoicons/opp-flag-orange_32x32.png"/>
    <s v="common/images/infoicons/transpix.gif"/>
    <x v="3"/>
    <x v="18"/>
    <s v="CWiggins"/>
    <x v="21"/>
    <x v="23"/>
    <n v="892.84"/>
    <n v="178.56"/>
    <x v="2"/>
    <n v="20"/>
    <x v="7"/>
    <x v="1"/>
    <s v="Fri 04/12/2019 Hardware only - asked for us to follow up in April "/>
    <m/>
    <n v="444"/>
    <m/>
    <n v="892.84"/>
    <s v="Corporate"/>
    <s v="Robert  Hughes "/>
    <s v="Commerce"/>
    <s v="CA"/>
    <n v="0"/>
    <n v="0"/>
    <n v="0"/>
    <n v="178.56800000000001"/>
    <s v="Unknown"/>
    <x v="1"/>
    <n v="0"/>
    <n v="0"/>
    <n v="892.84"/>
    <n v="0"/>
    <n v="0"/>
    <n v="0"/>
    <s v="P1 Hardware / Software"/>
    <s v="Admin"/>
    <s v="Main"/>
    <n v="1826"/>
    <s v="Ventura"/>
    <b v="0"/>
    <m/>
  </r>
  <r>
    <x v="3"/>
    <x v="0"/>
    <s v="common/images/infoicons/opp-flag-orange_32x32.png"/>
    <s v="common/images/infoicons/transpix.gif"/>
    <x v="3"/>
    <x v="4"/>
    <s v="CWiggins"/>
    <x v="22"/>
    <x v="17"/>
    <n v="3600"/>
    <n v="496.44"/>
    <x v="2"/>
    <n v="40"/>
    <x v="4"/>
    <x v="1"/>
    <s v="Fri 05/03/2019 Jasmine to Call sergio -  wasting computers? What are the new computers? Have we installed agents? "/>
    <m/>
    <n v="445"/>
    <m/>
    <n v="3600"/>
    <s v="Corporate"/>
    <s v="Sergio Zepada"/>
    <s v="City of Industry"/>
    <s v="CA"/>
    <n v="0"/>
    <n v="0"/>
    <n v="0"/>
    <n v="1440"/>
    <s v="Unknown"/>
    <x v="1"/>
    <n v="0"/>
    <n v="0"/>
    <n v="3600"/>
    <n v="0"/>
    <n v="0"/>
    <n v="0"/>
    <s v="P1 Hardware / Software"/>
    <s v="Sales"/>
    <s v="Main Office"/>
    <n v="1793"/>
    <s v="Inland Empire"/>
    <b v="0"/>
    <m/>
  </r>
  <r>
    <x v="3"/>
    <x v="0"/>
    <s v="common/images/infoicons/opp-flag-orange_32x32.png"/>
    <s v="common/images/infoicons/transpix.gif"/>
    <x v="3"/>
    <x v="19"/>
    <s v="CWiggins"/>
    <x v="3"/>
    <x v="20"/>
    <n v="2000"/>
    <n v="2000"/>
    <x v="2"/>
    <n v="40"/>
    <x v="3"/>
    <x v="1"/>
    <s v="Fri 04/12/2019 Chad to call Dave about PC Refresh "/>
    <m/>
    <n v="363"/>
    <m/>
    <n v="2000"/>
    <s v="Corporate"/>
    <s v="Dave Jaskolski"/>
    <s v="Carpinteria"/>
    <s v="CA"/>
    <n v="0"/>
    <n v="0"/>
    <n v="0"/>
    <n v="800"/>
    <s v="Unknown"/>
    <x v="1"/>
    <n v="0"/>
    <n v="0"/>
    <n v="2000"/>
    <n v="0"/>
    <n v="0"/>
    <n v="0"/>
    <s v="P1 Hardware / Software"/>
    <s v="Sales"/>
    <s v="Main"/>
    <n v="2080"/>
    <s v="Ventura"/>
    <b v="0"/>
    <m/>
  </r>
  <r>
    <x v="3"/>
    <x v="0"/>
    <s v="common/images/infoicons/opp-flag-orange_32x32.png"/>
    <s v="common/images/infoicons/transpix.gif"/>
    <x v="3"/>
    <x v="19"/>
    <s v="CWiggins"/>
    <x v="19"/>
    <x v="20"/>
    <n v="2220"/>
    <n v="1063"/>
    <x v="2"/>
    <n v="80"/>
    <x v="1"/>
    <x v="1"/>
    <s v="Add new activity"/>
    <m/>
    <n v="10"/>
    <m/>
    <n v="2220"/>
    <s v="Corporate"/>
    <s v="Chris Moore"/>
    <s v="Ventura"/>
    <s v="CA"/>
    <n v="0"/>
    <n v="0"/>
    <n v="0"/>
    <n v="1776"/>
    <s v="Unknown"/>
    <x v="1"/>
    <n v="0"/>
    <n v="0"/>
    <n v="1220"/>
    <n v="1000"/>
    <n v="0"/>
    <n v="0"/>
    <s v="P1 Hardware / Software"/>
    <s v="Sales"/>
    <s v="Main"/>
    <n v="3079"/>
    <s v="Ventura"/>
    <b v="0"/>
    <m/>
  </r>
  <r>
    <x v="7"/>
    <x v="0"/>
    <s v="common/images/infoicons/opp-flag-orange_32x32.png"/>
    <s v="common/images/infoicons/transpix.gif"/>
    <x v="3"/>
    <x v="20"/>
    <s v="CWiggins"/>
    <x v="23"/>
    <x v="17"/>
    <n v="2000"/>
    <n v="2000"/>
    <x v="2"/>
    <n v="40"/>
    <x v="3"/>
    <x v="1"/>
    <s v="Fri 04/12/2019 Follow up to email sent to Choti "/>
    <m/>
    <n v="444"/>
    <m/>
    <n v="2000"/>
    <s v="Corporate"/>
    <s v="Choti Singh"/>
    <s v="North Hollywood"/>
    <s v="CA"/>
    <n v="0"/>
    <n v="0"/>
    <n v="0"/>
    <n v="800"/>
    <s v="Unknown"/>
    <x v="1"/>
    <n v="0"/>
    <n v="0"/>
    <n v="2000"/>
    <n v="0"/>
    <n v="0"/>
    <n v="0"/>
    <s v="P1 Hardware / Software"/>
    <s v="Admin"/>
    <s v="Main"/>
    <n v="1824"/>
    <s v="Ventura"/>
    <b v="0"/>
    <m/>
  </r>
  <r>
    <x v="7"/>
    <x v="0"/>
    <s v="common/images/infoicons/opp-flag-orange_32x32.png"/>
    <s v="common/images/infoicons/transpix.gif"/>
    <x v="3"/>
    <x v="21"/>
    <s v="CWiggins"/>
    <x v="7"/>
    <x v="16"/>
    <n v="22000"/>
    <n v="22000"/>
    <x v="2"/>
    <n v="40"/>
    <x v="4"/>
    <x v="1"/>
    <s v="Fri 04/12/2019 ticket in - need LT report to see when a last time a computer was accessed. "/>
    <m/>
    <n v="447"/>
    <m/>
    <n v="22000"/>
    <s v="Corporate"/>
    <s v="Mariela Feldman"/>
    <s v="Van Nuys"/>
    <s v="CA"/>
    <n v="0"/>
    <n v="0"/>
    <n v="0"/>
    <n v="8800"/>
    <s v="Unknown"/>
    <x v="1"/>
    <n v="0"/>
    <n v="0"/>
    <n v="22000"/>
    <n v="0"/>
    <n v="0"/>
    <n v="0"/>
    <s v="P1 Hardware / Software"/>
    <s v="Sales"/>
    <s v="Main"/>
    <n v="1783"/>
    <s v="Ventura"/>
    <b v="0"/>
    <m/>
  </r>
  <r>
    <x v="7"/>
    <x v="0"/>
    <s v="common/images/infoicons/opp-flag-orange_32x32.png"/>
    <s v="common/images/infoicons/transpix.gif"/>
    <x v="3"/>
    <x v="21"/>
    <s v="CWiggins"/>
    <x v="24"/>
    <x v="16"/>
    <n v="6000"/>
    <n v="6000"/>
    <x v="2"/>
    <n v="40"/>
    <x v="4"/>
    <x v="1"/>
    <s v="Fri 05/10/2019 Follow up RE new excel"/>
    <m/>
    <n v="445"/>
    <m/>
    <n v="6000"/>
    <s v="Corporate"/>
    <s v="Tony Burns"/>
    <s v="Cheektowaga"/>
    <s v="NY"/>
    <n v="0"/>
    <n v="0"/>
    <n v="0"/>
    <n v="2400"/>
    <s v="Unknown"/>
    <x v="1"/>
    <n v="0"/>
    <n v="0"/>
    <n v="6000"/>
    <n v="0"/>
    <n v="0"/>
    <n v="0"/>
    <s v="P1 Hardware / Software"/>
    <s v="Sales"/>
    <s v="New York"/>
    <n v="1791"/>
    <s v="Ventura"/>
    <b v="0"/>
    <m/>
  </r>
  <r>
    <x v="7"/>
    <x v="0"/>
    <s v="common/images/infoicons/opp-flag-orange_32x32.png"/>
    <s v="common/images/infoicons/transpix.gif"/>
    <x v="3"/>
    <x v="21"/>
    <s v="CWiggins"/>
    <x v="25"/>
    <x v="16"/>
    <n v="9170"/>
    <n v="8645"/>
    <x v="2"/>
    <n v="20"/>
    <x v="5"/>
    <x v="1"/>
    <s v="Wed 05/01/2019 Send new list - make sure laptop delivered before reaching out."/>
    <m/>
    <n v="113"/>
    <m/>
    <n v="9170"/>
    <s v="Corporate"/>
    <s v="James deVos"/>
    <s v="Newbury Park"/>
    <s v="CA"/>
    <n v="0"/>
    <n v="0"/>
    <n v="0"/>
    <n v="1834"/>
    <s v="Unknown"/>
    <x v="1"/>
    <n v="0"/>
    <n v="0"/>
    <n v="7000"/>
    <n v="2170"/>
    <n v="0"/>
    <n v="0"/>
    <s v="P1 Hardware / Software"/>
    <s v="Sales"/>
    <s v="Main"/>
    <n v="2724"/>
    <s v="Hero Tech"/>
    <b v="0"/>
    <m/>
  </r>
  <r>
    <x v="8"/>
    <x v="0"/>
    <s v="common/images/infoicons/opp-flag-orange_32x32.png"/>
    <s v="common/images/infoicons/transpix.gif"/>
    <x v="3"/>
    <x v="22"/>
    <s v="CWiggins"/>
    <x v="26"/>
    <x v="17"/>
    <n v="9000"/>
    <n v="4861.92"/>
    <x v="2"/>
    <n v="40"/>
    <x v="4"/>
    <x v="1"/>
    <s v="Fri 04/19/2019 Chad to call if no response to second follow up email about PC refresh "/>
    <m/>
    <n v="445"/>
    <m/>
    <n v="9000"/>
    <s v="Corporate"/>
    <s v="Rhonda Rivas"/>
    <s v="Irvine"/>
    <s v="CA"/>
    <n v="0"/>
    <n v="0"/>
    <n v="0"/>
    <n v="3600"/>
    <s v="Unknown"/>
    <x v="1"/>
    <n v="0"/>
    <n v="0"/>
    <n v="9000"/>
    <n v="0"/>
    <n v="0"/>
    <n v="0"/>
    <s v="P1 Hardware / Software"/>
    <s v="Sales"/>
    <s v="Main"/>
    <n v="1788"/>
    <s v="Ventura"/>
    <b v="0"/>
    <m/>
  </r>
  <r>
    <x v="8"/>
    <x v="0"/>
    <s v="common/images/infoicons/opp-flag-orange_32x32.png"/>
    <s v="common/images/infoicons/transpix.gif"/>
    <x v="3"/>
    <x v="23"/>
    <s v="CWiggins"/>
    <x v="27"/>
    <x v="17"/>
    <n v="3000"/>
    <n v="3000"/>
    <x v="2"/>
    <n v="40"/>
    <x v="3"/>
    <x v="1"/>
    <s v="Mon 08/26/2019 follow up in sept"/>
    <m/>
    <n v="444"/>
    <m/>
    <n v="3000"/>
    <s v="Corporate"/>
    <s v="Laura Chilldres"/>
    <s v="Ventura"/>
    <s v="CA"/>
    <n v="0"/>
    <n v="0"/>
    <n v="0"/>
    <n v="1200"/>
    <s v="Unknown"/>
    <x v="1"/>
    <n v="0"/>
    <n v="0"/>
    <n v="3000"/>
    <n v="0"/>
    <n v="0"/>
    <n v="0"/>
    <s v="P1 Hardware / Software"/>
    <s v="Sales"/>
    <s v="Main"/>
    <n v="1816"/>
    <s v="Ventura"/>
    <b v="0"/>
    <m/>
  </r>
  <r>
    <x v="9"/>
    <x v="0"/>
    <s v="common/images/infoicons/opp-flag-orange_32x32.png"/>
    <s v="common/images/infoicons/transpix.gif"/>
    <x v="3"/>
    <x v="24"/>
    <s v="CWiggins"/>
    <x v="28"/>
    <x v="17"/>
    <n v="5000"/>
    <n v="5000"/>
    <x v="2"/>
    <n v="20"/>
    <x v="5"/>
    <x v="1"/>
    <s v="Wed 07/31/2019 want to wait til 2020 - not advised "/>
    <m/>
    <n v="444"/>
    <m/>
    <n v="5000"/>
    <s v="Corporate"/>
    <s v="Kathy Whitesell"/>
    <s v="Camarillo"/>
    <s v="CA"/>
    <n v="0"/>
    <n v="0"/>
    <n v="0"/>
    <n v="1000"/>
    <s v="Unknown"/>
    <x v="1"/>
    <n v="0"/>
    <n v="0"/>
    <n v="5000"/>
    <n v="0"/>
    <n v="0"/>
    <n v="0"/>
    <s v="P1 Hardware / Software"/>
    <s v="Admin"/>
    <s v="Main"/>
    <n v="1808"/>
    <s v="Ventura"/>
    <b v="0"/>
    <m/>
  </r>
  <r>
    <x v="0"/>
    <x v="0"/>
    <s v="common/images/infoicons/opp-flag-clear_32x32.png"/>
    <s v="common/images/infoicons/Flag_Overridden.svg"/>
    <x v="0"/>
    <x v="25"/>
    <s v="CWiggins"/>
    <x v="29"/>
    <x v="24"/>
    <n v="539"/>
    <n v="134.75"/>
    <x v="3"/>
    <n v="0"/>
    <x v="0"/>
    <x v="0"/>
    <m/>
    <m/>
    <n v="123"/>
    <m/>
    <n v="0"/>
    <s v="Corporate"/>
    <s v="Donald McConnell"/>
    <s v="Ventura"/>
    <s v="CA"/>
    <n v="0"/>
    <n v="539"/>
    <n v="0"/>
    <n v="0"/>
    <n v="0"/>
    <x v="1"/>
    <n v="0"/>
    <n v="0"/>
    <n v="539"/>
    <n v="0"/>
    <n v="0"/>
    <n v="0"/>
    <s v="P1 Hardware / Software"/>
    <s v="Sales"/>
    <s v="Main"/>
    <n v="2706"/>
    <s v="Ventura"/>
    <b v="1"/>
    <m/>
  </r>
  <r>
    <x v="0"/>
    <x v="0"/>
    <s v="common/images/infoicons/opp-flag-clear_32x32.png"/>
    <s v="common/images/infoicons/Status_CredsVaild.svg"/>
    <x v="6"/>
    <x v="25"/>
    <s v="CWiggins"/>
    <x v="25"/>
    <x v="25"/>
    <n v="5"/>
    <n v="0.45"/>
    <x v="0"/>
    <n v="0"/>
    <x v="2"/>
    <x v="0"/>
    <m/>
    <m/>
    <n v="120"/>
    <m/>
    <n v="0"/>
    <s v="Corporate"/>
    <s v="James deVos"/>
    <s v="Newbury Park"/>
    <s v="CA"/>
    <n v="0"/>
    <n v="0"/>
    <n v="0"/>
    <n v="0"/>
    <n v="0"/>
    <x v="1"/>
    <n v="0"/>
    <n v="0"/>
    <n v="5"/>
    <n v="0"/>
    <n v="0"/>
    <n v="0"/>
    <s v="P1 Hardware / Software"/>
    <s v="Sales"/>
    <s v="Main"/>
    <n v="2710"/>
    <s v="Hero Tech"/>
    <b v="0"/>
    <m/>
  </r>
  <r>
    <x v="0"/>
    <x v="0"/>
    <s v="common/images/infoicons/opp-flag-clear_32x32.png"/>
    <s v="common/images/infoicons/Flag_Overridden.svg"/>
    <x v="0"/>
    <x v="25"/>
    <s v="CWiggins"/>
    <x v="1"/>
    <x v="24"/>
    <n v="400"/>
    <n v="100"/>
    <x v="3"/>
    <n v="0"/>
    <x v="0"/>
    <x v="0"/>
    <m/>
    <m/>
    <n v="123"/>
    <m/>
    <n v="0"/>
    <s v="Corporate"/>
    <s v="Donna Nelson"/>
    <s v="Ventura"/>
    <s v="CA"/>
    <n v="0"/>
    <n v="400"/>
    <n v="0"/>
    <n v="0"/>
    <n v="0"/>
    <x v="1"/>
    <n v="0"/>
    <n v="0"/>
    <n v="400"/>
    <n v="0"/>
    <n v="0"/>
    <n v="0"/>
    <s v="P1 Hardware / Software"/>
    <s v="Sales"/>
    <s v="Main"/>
    <n v="2707"/>
    <s v="Ventura"/>
    <b v="1"/>
    <m/>
  </r>
  <r>
    <x v="0"/>
    <x v="0"/>
    <s v="common/images/infoicons/opp-flag-clear_32x32.png"/>
    <s v="common/images/infoicons/Flag_Overridden.svg"/>
    <x v="0"/>
    <x v="25"/>
    <s v="CWiggins"/>
    <x v="30"/>
    <x v="26"/>
    <n v="64.150000000000006"/>
    <n v="25.18"/>
    <x v="0"/>
    <n v="0"/>
    <x v="0"/>
    <x v="0"/>
    <m/>
    <m/>
    <n v="124"/>
    <m/>
    <n v="0"/>
    <s v="Corporate"/>
    <s v="Tammy Bell"/>
    <s v="Ventura"/>
    <s v="CA"/>
    <n v="0"/>
    <n v="64.150000000000006"/>
    <n v="0"/>
    <n v="0"/>
    <n v="0"/>
    <x v="1"/>
    <n v="0"/>
    <n v="0"/>
    <n v="64.150000000000006"/>
    <n v="0"/>
    <n v="0"/>
    <n v="0"/>
    <s v="P1 Hardware / Software"/>
    <s v="Sales"/>
    <s v="Main"/>
    <n v="2705"/>
    <s v="Ventura"/>
    <b v="1"/>
    <m/>
  </r>
  <r>
    <x v="0"/>
    <x v="0"/>
    <s v="common/images/infoicons/opp-flag-clear_32x32.png"/>
    <s v="common/images/infoicons/Flag_Overridden.svg"/>
    <x v="0"/>
    <x v="26"/>
    <s v="CWiggins"/>
    <x v="8"/>
    <x v="27"/>
    <n v="250"/>
    <n v="75"/>
    <x v="0"/>
    <n v="0"/>
    <x v="0"/>
    <x v="0"/>
    <m/>
    <m/>
    <n v="119"/>
    <m/>
    <n v="0"/>
    <s v="Corporate"/>
    <s v="Ash Dhawan"/>
    <s v="El Segundo "/>
    <s v="CA"/>
    <n v="0"/>
    <n v="250"/>
    <n v="0"/>
    <n v="0"/>
    <n v="0"/>
    <x v="1"/>
    <n v="0"/>
    <n v="0"/>
    <n v="0"/>
    <n v="250"/>
    <n v="0"/>
    <n v="0"/>
    <s v="P1 Hardware / Software"/>
    <s v="Sales"/>
    <s v="Main - Old Location"/>
    <n v="2712"/>
    <s v="Ventura"/>
    <b v="1"/>
    <m/>
  </r>
  <r>
    <x v="0"/>
    <x v="0"/>
    <s v="common/images/infoicons/opp-flag-clear_32x32.png"/>
    <s v="common/images/infoicons/Flag_Overridden.svg"/>
    <x v="0"/>
    <x v="27"/>
    <s v="CWiggins"/>
    <x v="25"/>
    <x v="28"/>
    <n v="1107.4100000000001"/>
    <n v="184.57"/>
    <x v="0"/>
    <n v="0"/>
    <x v="0"/>
    <x v="0"/>
    <m/>
    <m/>
    <n v="117"/>
    <m/>
    <n v="0"/>
    <s v="Corporate"/>
    <s v="James deVos"/>
    <s v="Newbury Park"/>
    <s v="CA"/>
    <n v="0"/>
    <n v="1107.4100000000001"/>
    <n v="0"/>
    <n v="0"/>
    <n v="0"/>
    <x v="1"/>
    <n v="0"/>
    <n v="0"/>
    <n v="1107.4100000000001"/>
    <n v="0"/>
    <n v="0"/>
    <n v="0"/>
    <s v="P1 Hardware / Software"/>
    <s v="Sales"/>
    <s v="Main"/>
    <n v="2714"/>
    <s v="Hero Tech"/>
    <b v="1"/>
    <m/>
  </r>
  <r>
    <x v="0"/>
    <x v="0"/>
    <s v="common/images/infoicons/opp-flag-clear_32x32.png"/>
    <s v="common/images/infoicons/Flag_Overridden.svg"/>
    <x v="0"/>
    <x v="28"/>
    <s v="CWiggins"/>
    <x v="31"/>
    <x v="29"/>
    <n v="1065.3399999999999"/>
    <n v="473.85"/>
    <x v="2"/>
    <n v="0"/>
    <x v="0"/>
    <x v="0"/>
    <m/>
    <m/>
    <n v="115"/>
    <m/>
    <n v="0"/>
    <s v="Corporate"/>
    <s v="Mara Shankin"/>
    <s v="Santa Barbara"/>
    <s v="CA"/>
    <n v="0"/>
    <n v="1065.3399999999999"/>
    <n v="0"/>
    <n v="0"/>
    <n v="0"/>
    <x v="1"/>
    <n v="0"/>
    <n v="0"/>
    <n v="755.34"/>
    <n v="310"/>
    <n v="0"/>
    <n v="0"/>
    <s v="P1 Hardware / Software"/>
    <s v="Sales"/>
    <s v="Main"/>
    <n v="2718"/>
    <s v="Ventura"/>
    <b v="1"/>
    <m/>
  </r>
  <r>
    <x v="0"/>
    <x v="0"/>
    <s v="common/images/infoicons/opp-flag-clear_32x32.png"/>
    <s v="common/images/infoicons/Flag_Overridden.svg"/>
    <x v="0"/>
    <x v="28"/>
    <s v="CWiggins"/>
    <x v="23"/>
    <x v="30"/>
    <n v="89.45"/>
    <n v="25.57"/>
    <x v="0"/>
    <n v="0"/>
    <x v="0"/>
    <x v="0"/>
    <m/>
    <m/>
    <n v="115"/>
    <m/>
    <n v="0"/>
    <s v="Corporate"/>
    <s v="Ravi Johar"/>
    <s v="North Hollywood"/>
    <s v="CA"/>
    <n v="0"/>
    <n v="89.45"/>
    <n v="0"/>
    <n v="0"/>
    <n v="0"/>
    <x v="1"/>
    <n v="0"/>
    <n v="0"/>
    <n v="89.45"/>
    <n v="0"/>
    <n v="0"/>
    <n v="0"/>
    <s v="P1 Hardware / Software"/>
    <s v="Sales"/>
    <s v="Main"/>
    <n v="2717"/>
    <s v="Ventura"/>
    <b v="1"/>
    <m/>
  </r>
  <r>
    <x v="0"/>
    <x v="0"/>
    <s v="common/images/infoicons/opp-flag-clear_32x32.png"/>
    <s v="common/images/infoicons/Flag_Overridden.svg"/>
    <x v="0"/>
    <x v="29"/>
    <s v="CWiggins"/>
    <x v="32"/>
    <x v="31"/>
    <n v="52.03"/>
    <n v="14.86"/>
    <x v="0"/>
    <n v="0"/>
    <x v="0"/>
    <x v="0"/>
    <m/>
    <m/>
    <n v="114"/>
    <m/>
    <n v="0"/>
    <s v="Corporate"/>
    <s v="Maryam Vosogh"/>
    <s v="Covina"/>
    <s v="CA"/>
    <n v="0"/>
    <n v="52.03"/>
    <n v="0"/>
    <n v="0"/>
    <n v="0"/>
    <x v="1"/>
    <n v="0"/>
    <n v="0"/>
    <n v="52.03"/>
    <n v="0"/>
    <n v="0"/>
    <n v="0"/>
    <s v="P1 Hardware / Software"/>
    <s v="Sales"/>
    <s v="Main"/>
    <n v="2719"/>
    <s v="Inland Empire"/>
    <b v="1"/>
    <m/>
  </r>
  <r>
    <x v="0"/>
    <x v="0"/>
    <s v="common/images/infoicons/opp-flag-clear_32x32.png"/>
    <s v="common/images/infoicons/Flag_Overridden.svg"/>
    <x v="0"/>
    <x v="30"/>
    <s v="CWiggins"/>
    <x v="31"/>
    <x v="32"/>
    <n v="249"/>
    <n v="34"/>
    <x v="0"/>
    <n v="0"/>
    <x v="0"/>
    <x v="0"/>
    <m/>
    <m/>
    <n v="112"/>
    <m/>
    <n v="0"/>
    <s v="Corporate"/>
    <s v="Mara Shankin"/>
    <s v="Santa Barbara"/>
    <s v="CA"/>
    <n v="0"/>
    <n v="249"/>
    <n v="0"/>
    <n v="0"/>
    <n v="0"/>
    <x v="1"/>
    <n v="0"/>
    <n v="0"/>
    <n v="249"/>
    <n v="0"/>
    <n v="0"/>
    <n v="0"/>
    <s v="P1 Hardware / Software"/>
    <s v="Sales"/>
    <s v="Main"/>
    <n v="2731"/>
    <s v="Ventura"/>
    <b v="1"/>
    <m/>
  </r>
  <r>
    <x v="0"/>
    <x v="0"/>
    <s v="common/images/infoicons/opp-flag-clear_32x32.png"/>
    <s v="common/images/infoicons/Flag_Overridden.svg"/>
    <x v="0"/>
    <x v="30"/>
    <s v="CWiggins"/>
    <x v="8"/>
    <x v="33"/>
    <n v="2730"/>
    <n v="780"/>
    <x v="0"/>
    <n v="0"/>
    <x v="0"/>
    <x v="0"/>
    <m/>
    <m/>
    <n v="113"/>
    <m/>
    <n v="0"/>
    <s v="Corporate"/>
    <s v="Philippe El Khazen"/>
    <s v="El Segundo "/>
    <s v="CA"/>
    <n v="0"/>
    <n v="2730"/>
    <n v="0"/>
    <n v="0"/>
    <n v="0"/>
    <x v="1"/>
    <n v="0"/>
    <n v="0"/>
    <n v="2730"/>
    <n v="0"/>
    <n v="0"/>
    <n v="0"/>
    <s v="P1 Hardware / Software"/>
    <s v="Sales"/>
    <s v="Main - Old Location"/>
    <n v="2729"/>
    <s v="Ventura"/>
    <b v="1"/>
    <m/>
  </r>
  <r>
    <x v="0"/>
    <x v="0"/>
    <s v="common/images/infoicons/opp-flag-clear_32x32.png"/>
    <s v="common/images/infoicons/Flag_Overridden.svg"/>
    <x v="0"/>
    <x v="30"/>
    <s v="CWiggins"/>
    <x v="8"/>
    <x v="34"/>
    <n v="1538.19"/>
    <n v="439.48"/>
    <x v="0"/>
    <n v="0"/>
    <x v="0"/>
    <x v="0"/>
    <m/>
    <m/>
    <n v="113"/>
    <m/>
    <n v="0"/>
    <s v="Corporate"/>
    <s v="Ash Dhawan"/>
    <s v="El Segundo "/>
    <s v="CA"/>
    <n v="0"/>
    <n v="1538.19"/>
    <n v="0"/>
    <n v="0"/>
    <n v="0"/>
    <x v="1"/>
    <n v="0"/>
    <n v="0"/>
    <n v="1538.19"/>
    <n v="0"/>
    <n v="0"/>
    <n v="0"/>
    <s v="P1 Hardware / Software"/>
    <s v="Sales"/>
    <s v="Main - Old Location"/>
    <n v="2728"/>
    <s v="Ventura"/>
    <b v="1"/>
    <m/>
  </r>
  <r>
    <x v="0"/>
    <x v="0"/>
    <s v="common/images/infoicons/opp-flag-clear_32x32.png"/>
    <s v="common/images/infoicons/Flag_Overridden.svg"/>
    <x v="0"/>
    <x v="31"/>
    <s v="CWiggins"/>
    <x v="8"/>
    <x v="35"/>
    <n v="79.959999999999994"/>
    <n v="30.96"/>
    <x v="0"/>
    <n v="0"/>
    <x v="0"/>
    <x v="0"/>
    <m/>
    <m/>
    <n v="111"/>
    <m/>
    <n v="0"/>
    <s v="Corporate"/>
    <s v="Isu Sahai"/>
    <s v="El Segundo "/>
    <s v="CA"/>
    <n v="0"/>
    <n v="79.959999999999994"/>
    <n v="0"/>
    <n v="0"/>
    <n v="0"/>
    <x v="1"/>
    <n v="0"/>
    <n v="0"/>
    <n v="79.959999999999994"/>
    <n v="0"/>
    <n v="0"/>
    <n v="0"/>
    <s v="P1 Hardware / Software"/>
    <s v="Sales"/>
    <s v="Main - Old Location"/>
    <n v="2738"/>
    <s v="Ventura"/>
    <b v="1"/>
    <m/>
  </r>
  <r>
    <x v="0"/>
    <x v="0"/>
    <s v="common/images/infoicons/opp-flag-clear_32x32.png"/>
    <s v="common/images/infoicons/Flag_Overridden.svg"/>
    <x v="0"/>
    <x v="31"/>
    <s v="CWiggins"/>
    <x v="8"/>
    <x v="36"/>
    <n v="1047"/>
    <n v="261.75"/>
    <x v="3"/>
    <n v="0"/>
    <x v="0"/>
    <x v="0"/>
    <m/>
    <m/>
    <n v="111"/>
    <m/>
    <n v="0"/>
    <s v="Corporate"/>
    <s v="Isu Sahai"/>
    <s v="El Segundo "/>
    <s v="CA"/>
    <n v="0"/>
    <n v="1047"/>
    <n v="0"/>
    <n v="0"/>
    <n v="0"/>
    <x v="1"/>
    <n v="0"/>
    <n v="0"/>
    <n v="1047"/>
    <n v="0"/>
    <n v="0"/>
    <n v="0"/>
    <s v="P1 Hardware / Software"/>
    <s v="Sales"/>
    <s v="Main - Old Location"/>
    <n v="2742"/>
    <s v="Ventura"/>
    <b v="1"/>
    <m/>
  </r>
  <r>
    <x v="0"/>
    <x v="0"/>
    <s v="common/images/infoicons/opp-flag-clear_32x32.png"/>
    <s v="common/images/infoicons/Flag_Overridden.svg"/>
    <x v="0"/>
    <x v="32"/>
    <s v="CWiggins"/>
    <x v="33"/>
    <x v="37"/>
    <n v="617.99"/>
    <n v="246.99"/>
    <x v="0"/>
    <n v="0"/>
    <x v="0"/>
    <x v="0"/>
    <m/>
    <m/>
    <n v="110"/>
    <m/>
    <n v="0"/>
    <s v="Corporate"/>
    <s v="Jessie Wong"/>
    <s v="Danbury"/>
    <s v="CT"/>
    <n v="0"/>
    <n v="617.99"/>
    <n v="0"/>
    <n v="0"/>
    <n v="0"/>
    <x v="1"/>
    <n v="0"/>
    <n v="0"/>
    <n v="417.99"/>
    <n v="200"/>
    <n v="0"/>
    <n v="0"/>
    <s v="P1 Hardware / Software"/>
    <s v="Sales"/>
    <s v="Main"/>
    <n v="2747"/>
    <s v="Ventura"/>
    <b v="1"/>
    <m/>
  </r>
  <r>
    <x v="0"/>
    <x v="0"/>
    <s v="common/images/infoicons/opp-flag-clear_32x32.png"/>
    <s v="common/images/infoicons/Flag_Overridden.svg"/>
    <x v="0"/>
    <x v="33"/>
    <s v="CWiggins"/>
    <x v="3"/>
    <x v="24"/>
    <n v="400"/>
    <n v="100"/>
    <x v="0"/>
    <n v="0"/>
    <x v="0"/>
    <x v="0"/>
    <m/>
    <m/>
    <n v="108"/>
    <m/>
    <n v="0"/>
    <s v="Corporate"/>
    <s v="Dave Jaskolski"/>
    <s v="Carpinteria"/>
    <s v="CA"/>
    <n v="0"/>
    <n v="400"/>
    <n v="0"/>
    <n v="0"/>
    <n v="0"/>
    <x v="1"/>
    <n v="0"/>
    <n v="0"/>
    <n v="400"/>
    <n v="0"/>
    <n v="0"/>
    <n v="0"/>
    <s v="P1 Hardware / Software"/>
    <s v="Sales"/>
    <s v="Main"/>
    <n v="2749"/>
    <s v="Ventura"/>
    <b v="1"/>
    <m/>
  </r>
  <r>
    <x v="0"/>
    <x v="0"/>
    <s v="common/images/infoicons/opp-flag-clear_32x32.png"/>
    <s v="common/images/infoicons/Flag_Overridden.svg"/>
    <x v="0"/>
    <x v="34"/>
    <s v="CWiggins"/>
    <x v="8"/>
    <x v="38"/>
    <n v="1056.27"/>
    <n v="352.09"/>
    <x v="0"/>
    <n v="0"/>
    <x v="0"/>
    <x v="0"/>
    <m/>
    <m/>
    <n v="141"/>
    <m/>
    <n v="0"/>
    <s v="Corporate"/>
    <s v="Enrique Higuera"/>
    <s v="El Segundo "/>
    <s v="CA"/>
    <n v="0"/>
    <n v="1056.27"/>
    <n v="0"/>
    <n v="0"/>
    <n v="0"/>
    <x v="1"/>
    <n v="0"/>
    <n v="0"/>
    <n v="1056.27"/>
    <n v="0"/>
    <n v="0"/>
    <n v="0"/>
    <s v="P1 Hardware / Software"/>
    <s v="Sales"/>
    <s v="Main - Old Location"/>
    <n v="2668"/>
    <s v="Ventura"/>
    <b v="1"/>
    <m/>
  </r>
  <r>
    <x v="0"/>
    <x v="0"/>
    <s v="common/images/infoicons/opp-flag-clear_32x32.png"/>
    <s v="common/images/infoicons/Flag_Overridden.svg"/>
    <x v="0"/>
    <x v="34"/>
    <s v="CWiggins"/>
    <x v="34"/>
    <x v="39"/>
    <n v="2345.91"/>
    <n v="847.93"/>
    <x v="0"/>
    <n v="0"/>
    <x v="0"/>
    <x v="0"/>
    <m/>
    <m/>
    <n v="106"/>
    <m/>
    <n v="0"/>
    <s v="Corporate"/>
    <s v="Odette Ventre"/>
    <s v="Carpinteria"/>
    <s v="CA"/>
    <n v="0"/>
    <n v="2345.91"/>
    <n v="0"/>
    <n v="0"/>
    <n v="0"/>
    <x v="1"/>
    <n v="0"/>
    <n v="0"/>
    <n v="2035.91"/>
    <n v="310"/>
    <n v="0"/>
    <n v="0"/>
    <s v="P1 Hardware / Software"/>
    <s v="Sales"/>
    <s v="Main"/>
    <n v="2765"/>
    <s v="Ventura"/>
    <b v="1"/>
    <m/>
  </r>
  <r>
    <x v="0"/>
    <x v="0"/>
    <s v="common/images/infoicons/opp-flag-clear_32x32.png"/>
    <s v="common/images/infoicons/Flag_Overridden.svg"/>
    <x v="0"/>
    <x v="34"/>
    <s v="CWiggins"/>
    <x v="21"/>
    <x v="40"/>
    <n v="1482"/>
    <n v="370.5"/>
    <x v="0"/>
    <n v="0"/>
    <x v="0"/>
    <x v="0"/>
    <m/>
    <m/>
    <n v="106"/>
    <m/>
    <n v="0"/>
    <s v="Corporate"/>
    <s v="Robert  Hughes "/>
    <s v="Commerce"/>
    <s v="CA"/>
    <n v="0"/>
    <n v="1482"/>
    <n v="0"/>
    <n v="0"/>
    <n v="0"/>
    <x v="1"/>
    <n v="0"/>
    <n v="0"/>
    <n v="1482"/>
    <n v="0"/>
    <n v="0"/>
    <n v="0"/>
    <s v="P1 Hardware / Software"/>
    <s v="Sales"/>
    <s v="Main"/>
    <n v="2757"/>
    <s v="Ventura"/>
    <b v="1"/>
    <m/>
  </r>
  <r>
    <x v="0"/>
    <x v="0"/>
    <s v="common/images/infoicons/opp-flag-clear_32x32.png"/>
    <s v="common/images/infoicons/Flag_Overridden.svg"/>
    <x v="0"/>
    <x v="34"/>
    <s v="CWiggins"/>
    <x v="35"/>
    <x v="41"/>
    <n v="1399.25"/>
    <n v="360.87"/>
    <x v="0"/>
    <n v="0"/>
    <x v="0"/>
    <x v="0"/>
    <m/>
    <m/>
    <n v="105"/>
    <m/>
    <n v="0"/>
    <s v="Corporate"/>
    <s v="Tony Becerril"/>
    <s v="Oxnard"/>
    <s v="CA"/>
    <n v="0"/>
    <n v="1399.25"/>
    <n v="0"/>
    <n v="0"/>
    <n v="0"/>
    <x v="1"/>
    <n v="0"/>
    <n v="0"/>
    <n v="1399.25"/>
    <n v="0"/>
    <n v="0"/>
    <n v="0"/>
    <s v="P1 Hardware / Software"/>
    <s v="Sales"/>
    <s v="Main"/>
    <n v="2766"/>
    <s v="Hero Tech"/>
    <b v="1"/>
    <m/>
  </r>
  <r>
    <x v="0"/>
    <x v="0"/>
    <s v="common/images/infoicons/opp-flag-clear_32x32.png"/>
    <s v="common/images/infoicons/Flag_Overridden.svg"/>
    <x v="0"/>
    <x v="35"/>
    <s v="CWiggins"/>
    <x v="7"/>
    <x v="42"/>
    <n v="404.57"/>
    <n v="404.57"/>
    <x v="0"/>
    <n v="0"/>
    <x v="0"/>
    <x v="0"/>
    <m/>
    <m/>
    <n v="101"/>
    <m/>
    <n v="0"/>
    <s v="Corporate"/>
    <s v="Mariela Feldman"/>
    <s v="Van Nuys"/>
    <s v="CA"/>
    <n v="0"/>
    <n v="404.57"/>
    <n v="0"/>
    <n v="0"/>
    <n v="0"/>
    <x v="1"/>
    <n v="0"/>
    <n v="0"/>
    <n v="0"/>
    <n v="404.57"/>
    <n v="0"/>
    <n v="0"/>
    <s v="P1 Hardware / Software"/>
    <s v="Sales"/>
    <s v="Main"/>
    <n v="2772"/>
    <s v="Ventura"/>
    <b v="1"/>
    <m/>
  </r>
  <r>
    <x v="0"/>
    <x v="0"/>
    <s v="common/images/infoicons/opp-flag-clear_32x32.png"/>
    <s v="common/images/infoicons/Flag_Overridden.svg"/>
    <x v="0"/>
    <x v="35"/>
    <s v="CWiggins"/>
    <x v="2"/>
    <x v="43"/>
    <n v="215"/>
    <n v="53.75"/>
    <x v="0"/>
    <n v="0"/>
    <x v="0"/>
    <x v="0"/>
    <m/>
    <m/>
    <n v="101"/>
    <m/>
    <n v="0"/>
    <s v="Corporate"/>
    <s v="Chad Lande"/>
    <s v="Santa Monica"/>
    <s v="CA"/>
    <n v="0"/>
    <n v="215"/>
    <n v="0"/>
    <n v="0"/>
    <n v="0"/>
    <x v="1"/>
    <n v="0"/>
    <n v="0"/>
    <n v="215"/>
    <n v="0"/>
    <n v="0"/>
    <n v="0"/>
    <s v="P1 Hardware / Software"/>
    <s v="Sales"/>
    <s v="Main"/>
    <n v="2770"/>
    <s v="Ventura"/>
    <b v="1"/>
    <m/>
  </r>
  <r>
    <x v="0"/>
    <x v="0"/>
    <s v="common/images/infoicons/opp-flag-clear_32x32.png"/>
    <s v="common/images/infoicons/Flag_Overridden.svg"/>
    <x v="0"/>
    <x v="36"/>
    <s v="CWiggins"/>
    <x v="8"/>
    <x v="44"/>
    <n v="170.7"/>
    <n v="56.92"/>
    <x v="0"/>
    <n v="0"/>
    <x v="0"/>
    <x v="0"/>
    <m/>
    <m/>
    <n v="98"/>
    <m/>
    <n v="0"/>
    <s v="Corporate"/>
    <s v="Isu Sahai"/>
    <s v="El Segundo "/>
    <s v="CA"/>
    <n v="0"/>
    <n v="170.7"/>
    <n v="0"/>
    <n v="0"/>
    <n v="0"/>
    <x v="1"/>
    <n v="0"/>
    <n v="0"/>
    <n v="170.7"/>
    <n v="0"/>
    <n v="0"/>
    <n v="0"/>
    <s v="P1 Hardware / Software"/>
    <s v="Sales"/>
    <s v="Main - Old Location"/>
    <n v="2780"/>
    <s v="Ventura"/>
    <b v="1"/>
    <m/>
  </r>
  <r>
    <x v="0"/>
    <x v="0"/>
    <s v="common/images/infoicons/opp-flag-clear_32x32.png"/>
    <s v="common/images/infoicons/Flag_Overridden.svg"/>
    <x v="0"/>
    <x v="37"/>
    <s v="CWiggins"/>
    <x v="31"/>
    <x v="45"/>
    <n v="7376.8"/>
    <n v="4832.8"/>
    <x v="2"/>
    <n v="0"/>
    <x v="0"/>
    <x v="0"/>
    <m/>
    <m/>
    <n v="98"/>
    <m/>
    <n v="0"/>
    <s v="Corporate"/>
    <s v="Mara Shankin"/>
    <s v="Santa Barbara"/>
    <s v="CA"/>
    <n v="0"/>
    <n v="7376.8"/>
    <n v="0"/>
    <n v="0"/>
    <n v="0"/>
    <x v="1"/>
    <n v="0"/>
    <n v="0"/>
    <n v="5196.8"/>
    <n v="2180"/>
    <n v="0"/>
    <n v="0"/>
    <s v="P1 Hardware / Software"/>
    <s v="Sales"/>
    <s v="Main"/>
    <n v="2781"/>
    <s v="Ventura"/>
    <b v="1"/>
    <m/>
  </r>
  <r>
    <x v="0"/>
    <x v="0"/>
    <s v="common/images/infoicons/opp-flag-clear_32x32.png"/>
    <s v="common/images/infoicons/Flag_Overridden.svg"/>
    <x v="0"/>
    <x v="38"/>
    <s v="CWiggins"/>
    <x v="8"/>
    <x v="46"/>
    <n v="193.2"/>
    <n v="55.2"/>
    <x v="0"/>
    <n v="0"/>
    <x v="0"/>
    <x v="0"/>
    <m/>
    <m/>
    <n v="97"/>
    <m/>
    <n v="0"/>
    <s v="Corporate"/>
    <s v="Isu Sahai"/>
    <s v="El Segundo "/>
    <s v="CA"/>
    <n v="0"/>
    <n v="193.2"/>
    <n v="0"/>
    <n v="0"/>
    <n v="0"/>
    <x v="1"/>
    <n v="0"/>
    <n v="0"/>
    <n v="193.2"/>
    <n v="0"/>
    <n v="0"/>
    <n v="0"/>
    <s v="P1 Hardware / Software"/>
    <s v="Sales"/>
    <s v="Main - Old Location"/>
    <n v="2782"/>
    <s v="Ventura"/>
    <b v="1"/>
    <m/>
  </r>
  <r>
    <x v="0"/>
    <x v="0"/>
    <s v="common/images/infoicons/opp-flag-clear_32x32.png"/>
    <s v="common/images/infoicons/Flag_Overridden.svg"/>
    <x v="0"/>
    <x v="39"/>
    <s v="CWiggins"/>
    <x v="34"/>
    <x v="47"/>
    <n v="549.95000000000005"/>
    <n v="195"/>
    <x v="0"/>
    <n v="0"/>
    <x v="0"/>
    <x v="0"/>
    <m/>
    <m/>
    <n v="94"/>
    <m/>
    <n v="0"/>
    <s v="Corporate"/>
    <s v="Susan Siple"/>
    <s v="Carpinteria"/>
    <s v="CA"/>
    <n v="0"/>
    <n v="549.95000000000005"/>
    <n v="0"/>
    <n v="0"/>
    <n v="0"/>
    <x v="1"/>
    <n v="0"/>
    <n v="0"/>
    <n v="239.95"/>
    <n v="310"/>
    <n v="0"/>
    <n v="0"/>
    <s v="P1 Hardware / Software"/>
    <s v="Sales"/>
    <s v="Main"/>
    <n v="2785"/>
    <s v="Ventura"/>
    <b v="1"/>
    <m/>
  </r>
  <r>
    <x v="0"/>
    <x v="0"/>
    <s v="common/images/infoicons/opp-flag-clear_32x32.png"/>
    <s v="common/images/infoicons/Flag_Overridden.svg"/>
    <x v="0"/>
    <x v="40"/>
    <s v="CWiggins"/>
    <x v="8"/>
    <x v="48"/>
    <n v="490"/>
    <n v="140"/>
    <x v="0"/>
    <n v="0"/>
    <x v="0"/>
    <x v="0"/>
    <m/>
    <m/>
    <n v="92"/>
    <m/>
    <n v="0"/>
    <s v="Corporate"/>
    <s v="Isu Sahai"/>
    <s v="El Segundo "/>
    <s v="CA"/>
    <n v="0"/>
    <n v="490"/>
    <n v="0"/>
    <n v="0"/>
    <n v="0"/>
    <x v="0"/>
    <n v="0"/>
    <n v="0"/>
    <n v="0"/>
    <n v="490"/>
    <n v="0"/>
    <n v="0"/>
    <s v="P1 Hardware / Software"/>
    <s v="Admin"/>
    <s v="Main - Old Location"/>
    <n v="2797"/>
    <s v="Ventura"/>
    <b v="1"/>
    <m/>
  </r>
  <r>
    <x v="0"/>
    <x v="0"/>
    <s v="common/images/infoicons/opp-flag-clear_32x32.png"/>
    <s v="common/images/infoicons/Flag_Overridden.svg"/>
    <x v="0"/>
    <x v="40"/>
    <s v="CWiggins"/>
    <x v="8"/>
    <x v="49"/>
    <n v="500"/>
    <n v="500"/>
    <x v="0"/>
    <n v="0"/>
    <x v="0"/>
    <x v="0"/>
    <m/>
    <m/>
    <n v="91"/>
    <m/>
    <n v="0"/>
    <s v="Corporate"/>
    <s v="Isu Sahai"/>
    <s v="El Segundo "/>
    <s v="CA"/>
    <n v="0"/>
    <n v="500"/>
    <n v="0"/>
    <n v="0"/>
    <n v="0"/>
    <x v="1"/>
    <n v="0"/>
    <n v="0"/>
    <n v="0"/>
    <n v="500"/>
    <n v="0"/>
    <n v="0"/>
    <s v="P1 Other"/>
    <s v="Sales"/>
    <s v="Main - Old Location"/>
    <n v="2804"/>
    <s v="Ventura"/>
    <b v="1"/>
    <m/>
  </r>
  <r>
    <x v="0"/>
    <x v="0"/>
    <s v="common/images/infoicons/opp-flag-clear_32x32.png"/>
    <s v="common/images/infoicons/Flag_Overridden.svg"/>
    <x v="0"/>
    <x v="40"/>
    <s v="CWiggins"/>
    <x v="8"/>
    <x v="50"/>
    <n v="1583.56"/>
    <n v="419.76"/>
    <x v="0"/>
    <n v="0"/>
    <x v="0"/>
    <x v="0"/>
    <m/>
    <m/>
    <n v="92"/>
    <m/>
    <n v="0"/>
    <s v="Corporate"/>
    <s v="Isu Sahai"/>
    <s v="El Segundo "/>
    <s v="CA"/>
    <n v="0"/>
    <n v="1583.56"/>
    <n v="0"/>
    <n v="0"/>
    <n v="0"/>
    <x v="1"/>
    <n v="0"/>
    <n v="0"/>
    <n v="1583.56"/>
    <n v="0"/>
    <n v="0"/>
    <n v="0"/>
    <s v="P1 Hardware / Software"/>
    <s v="Sales"/>
    <s v="Main - Old Location"/>
    <n v="2794"/>
    <s v="Ventura"/>
    <b v="1"/>
    <m/>
  </r>
  <r>
    <x v="0"/>
    <x v="0"/>
    <s v="common/images/infoicons/opp-flag-clear_32x32.png"/>
    <s v="common/images/infoicons/Flag_Overridden.svg"/>
    <x v="0"/>
    <x v="40"/>
    <s v="CWiggins"/>
    <x v="8"/>
    <x v="51"/>
    <n v="770"/>
    <n v="220"/>
    <x v="0"/>
    <n v="0"/>
    <x v="0"/>
    <x v="0"/>
    <m/>
    <m/>
    <n v="92"/>
    <m/>
    <n v="0"/>
    <s v="Corporate"/>
    <s v="Isu Sahai"/>
    <s v="El Segundo "/>
    <s v="CA"/>
    <n v="0"/>
    <n v="770"/>
    <n v="0"/>
    <n v="0"/>
    <n v="0"/>
    <x v="0"/>
    <n v="0"/>
    <n v="0"/>
    <n v="770"/>
    <n v="0"/>
    <n v="0"/>
    <n v="0"/>
    <s v="P1 Hardware / Software"/>
    <s v="Admin"/>
    <s v="Main - Old Location"/>
    <n v="2798"/>
    <s v="Ventura"/>
    <b v="1"/>
    <m/>
  </r>
  <r>
    <x v="0"/>
    <x v="0"/>
    <s v="common/images/infoicons/opp-flag-clear_32x32.png"/>
    <s v="common/images/infoicons/Flag_Overridden.svg"/>
    <x v="0"/>
    <x v="40"/>
    <s v="CWiggins"/>
    <x v="8"/>
    <x v="52"/>
    <n v="3766.66"/>
    <n v="1774.07"/>
    <x v="0"/>
    <n v="0"/>
    <x v="0"/>
    <x v="0"/>
    <m/>
    <m/>
    <n v="92"/>
    <m/>
    <n v="0"/>
    <s v="Corporate"/>
    <s v="Isu Sahai"/>
    <s v="El Segundo "/>
    <s v="CA"/>
    <n v="0"/>
    <n v="3766.66"/>
    <n v="0"/>
    <n v="0"/>
    <n v="0"/>
    <x v="1"/>
    <n v="0"/>
    <n v="0"/>
    <n v="2566.66"/>
    <n v="1200"/>
    <n v="0"/>
    <n v="0"/>
    <s v="P1 Hardware / Software"/>
    <s v="Sales"/>
    <s v="Main - Old Location"/>
    <n v="2793"/>
    <s v="Ventura"/>
    <b v="1"/>
    <m/>
  </r>
  <r>
    <x v="0"/>
    <x v="0"/>
    <s v="common/images/infoicons/opp-flag-clear_32x32.png"/>
    <s v="common/images/infoicons/Flag_Overridden.svg"/>
    <x v="0"/>
    <x v="40"/>
    <s v="CWiggins"/>
    <x v="34"/>
    <x v="53"/>
    <n v="186.99"/>
    <n v="186.99"/>
    <x v="0"/>
    <n v="0"/>
    <x v="0"/>
    <x v="0"/>
    <m/>
    <m/>
    <n v="91"/>
    <m/>
    <n v="0"/>
    <s v="Corporate"/>
    <s v="Lennea Morris"/>
    <s v="Carpinteria"/>
    <s v="CA"/>
    <n v="0"/>
    <n v="186.99"/>
    <n v="0"/>
    <n v="0"/>
    <n v="0"/>
    <x v="1"/>
    <n v="0"/>
    <n v="0"/>
    <n v="136.99"/>
    <n v="50"/>
    <n v="0"/>
    <n v="0"/>
    <s v="P1 Hardware / Software"/>
    <s v="Sales"/>
    <s v="Main"/>
    <n v="2806"/>
    <s v="Ventura"/>
    <b v="1"/>
    <m/>
  </r>
  <r>
    <x v="0"/>
    <x v="0"/>
    <s v="common/images/infoicons/opp-flag-clear_32x32.png"/>
    <s v="common/images/infoicons/Flag_Overridden.svg"/>
    <x v="0"/>
    <x v="40"/>
    <s v="CWiggins"/>
    <x v="21"/>
    <x v="54"/>
    <n v="310"/>
    <n v="310"/>
    <x v="0"/>
    <n v="0"/>
    <x v="0"/>
    <x v="2"/>
    <m/>
    <m/>
    <n v="91"/>
    <m/>
    <n v="0"/>
    <s v="Corporate"/>
    <s v="Robert  Hughes "/>
    <s v="Commerce"/>
    <s v="CA"/>
    <n v="0"/>
    <n v="310"/>
    <n v="0"/>
    <n v="0"/>
    <n v="0"/>
    <x v="1"/>
    <n v="0"/>
    <n v="0"/>
    <n v="0"/>
    <n v="310"/>
    <n v="0"/>
    <n v="0"/>
    <s v="P1 Hardware / Software"/>
    <s v="Sales"/>
    <s v="Main"/>
    <n v="2805"/>
    <s v="Ventura"/>
    <b v="1"/>
    <m/>
  </r>
  <r>
    <x v="0"/>
    <x v="0"/>
    <s v="common/images/infoicons/opp-flag-clear_32x32.png"/>
    <s v="common/images/infoicons/Status_CredsNotVaild.svg"/>
    <x v="2"/>
    <x v="1"/>
    <s v="CWiggins"/>
    <x v="26"/>
    <x v="55"/>
    <n v="0"/>
    <n v="0"/>
    <x v="0"/>
    <n v="0"/>
    <x v="2"/>
    <x v="0"/>
    <m/>
    <m/>
    <n v="113"/>
    <m/>
    <n v="0"/>
    <s v="Corporate"/>
    <s v="Katie Bruellet"/>
    <s v="Irvine"/>
    <s v="CA"/>
    <n v="0"/>
    <n v="0"/>
    <n v="2087.4"/>
    <n v="0"/>
    <n v="0"/>
    <x v="1"/>
    <n v="0"/>
    <n v="0"/>
    <n v="0"/>
    <n v="0"/>
    <n v="0"/>
    <n v="0"/>
    <s v="P1 Hardware / Software"/>
    <s v="Sales"/>
    <s v="Main"/>
    <n v="2730"/>
    <s v="Ventura"/>
    <b v="0"/>
    <m/>
  </r>
  <r>
    <x v="0"/>
    <x v="0"/>
    <s v="common/images/infoicons/opp-flag-clear_32x32.png"/>
    <s v="common/images/infoicons/Status_CredsNotVaild.svg"/>
    <x v="1"/>
    <x v="1"/>
    <s v="CWiggins"/>
    <x v="13"/>
    <x v="56"/>
    <n v="0"/>
    <n v="0"/>
    <x v="0"/>
    <n v="0"/>
    <x v="2"/>
    <x v="0"/>
    <m/>
    <m/>
    <n v="106"/>
    <m/>
    <n v="0"/>
    <s v="Corporate"/>
    <s v="Mike Somers"/>
    <s v="Camarillo"/>
    <s v="CA"/>
    <n v="0"/>
    <n v="0"/>
    <n v="500"/>
    <n v="0"/>
    <n v="0"/>
    <x v="1"/>
    <n v="0"/>
    <n v="0"/>
    <n v="0"/>
    <n v="0"/>
    <n v="0"/>
    <n v="0"/>
    <s v="P1 Hardware / Software"/>
    <s v="Sales"/>
    <s v="Main"/>
    <n v="2759"/>
    <s v="Hero Tech"/>
    <b v="0"/>
    <m/>
  </r>
  <r>
    <x v="0"/>
    <x v="0"/>
    <s v="common/images/infoicons/opp-flag-clear_32x32.png"/>
    <s v="common/images/infoicons/Flag_Overridden.svg"/>
    <x v="0"/>
    <x v="1"/>
    <s v="CWiggins"/>
    <x v="8"/>
    <x v="57"/>
    <n v="7200"/>
    <n v="4000"/>
    <x v="0"/>
    <n v="0"/>
    <x v="0"/>
    <x v="0"/>
    <m/>
    <m/>
    <n v="110"/>
    <m/>
    <n v="0"/>
    <s v="Corporate"/>
    <s v="Isu Sahai"/>
    <s v="El Segundo "/>
    <s v="CA"/>
    <n v="0"/>
    <n v="7200"/>
    <n v="0"/>
    <n v="0"/>
    <n v="0"/>
    <x v="0"/>
    <n v="0"/>
    <n v="0"/>
    <n v="0"/>
    <n v="7200"/>
    <n v="0"/>
    <n v="0"/>
    <s v="P1 Hardware / Software"/>
    <s v="Admin"/>
    <s v="Main - Old Location"/>
    <n v="2746"/>
    <s v="Ventura"/>
    <b v="1"/>
    <m/>
  </r>
  <r>
    <x v="0"/>
    <x v="0"/>
    <s v="common/images/infoicons/opp-flag-clear_32x32.png"/>
    <s v="common/images/infoicons/Flag_Overridden.svg"/>
    <x v="0"/>
    <x v="1"/>
    <s v="CWiggins"/>
    <x v="8"/>
    <x v="58"/>
    <n v="2295.7800000000002"/>
    <n v="529.79999999999995"/>
    <x v="0"/>
    <n v="0"/>
    <x v="0"/>
    <x v="0"/>
    <m/>
    <m/>
    <n v="89"/>
    <m/>
    <n v="0"/>
    <s v="Corporate"/>
    <s v="Isu Sahai"/>
    <s v="El Segundo "/>
    <s v="CA"/>
    <n v="0"/>
    <n v="2295.7800000000002"/>
    <n v="0"/>
    <n v="0"/>
    <n v="0"/>
    <x v="1"/>
    <n v="0"/>
    <n v="0"/>
    <n v="2295.7800000000002"/>
    <n v="0"/>
    <n v="0"/>
    <n v="0"/>
    <s v="P1 Hardware / Software"/>
    <s v="Sales"/>
    <s v="Main - Old Location"/>
    <n v="2816"/>
    <s v="Ventura"/>
    <b v="1"/>
    <m/>
  </r>
  <r>
    <x v="0"/>
    <x v="0"/>
    <s v="common/images/infoicons/opp-flag-clear_32x32.png"/>
    <s v="common/images/infoicons/Flag_Overridden.svg"/>
    <x v="0"/>
    <x v="1"/>
    <s v="CWiggins"/>
    <x v="36"/>
    <x v="59"/>
    <n v="1365.51"/>
    <n v="536.58000000000004"/>
    <x v="0"/>
    <n v="0"/>
    <x v="0"/>
    <x v="1"/>
    <m/>
    <m/>
    <n v="111"/>
    <m/>
    <n v="0"/>
    <s v="Corporate"/>
    <s v="Teresa Monzon"/>
    <s v="Ventura"/>
    <s v="CA"/>
    <n v="0"/>
    <n v="1365.51"/>
    <n v="0"/>
    <n v="0"/>
    <n v="0"/>
    <x v="1"/>
    <n v="0"/>
    <n v="0"/>
    <n v="1055.51"/>
    <n v="310"/>
    <n v="0"/>
    <n v="0"/>
    <s v="P1 Hardware / Software"/>
    <s v="Sales"/>
    <s v="Main"/>
    <n v="2740"/>
    <s v="Ventura"/>
    <b v="1"/>
    <m/>
  </r>
  <r>
    <x v="0"/>
    <x v="0"/>
    <s v="common/images/infoicons/opp-flag-clear_32x32.png"/>
    <s v="common/images/infoicons/Flag_Overridden.svg"/>
    <x v="0"/>
    <x v="1"/>
    <s v="CWiggins"/>
    <x v="37"/>
    <x v="60"/>
    <n v="375"/>
    <n v="375"/>
    <x v="0"/>
    <n v="0"/>
    <x v="0"/>
    <x v="0"/>
    <m/>
    <m/>
    <n v="134"/>
    <m/>
    <n v="0"/>
    <s v="Corporate"/>
    <s v="Tricia Kremer"/>
    <s v="Camarillo"/>
    <s v="CA"/>
    <n v="0"/>
    <n v="375"/>
    <n v="0"/>
    <n v="0"/>
    <n v="0"/>
    <x v="1"/>
    <n v="0"/>
    <n v="0"/>
    <n v="0"/>
    <n v="375"/>
    <n v="0"/>
    <n v="0"/>
    <s v="P1 Hardware / Software"/>
    <s v="Sales"/>
    <s v="Main"/>
    <n v="2688"/>
    <s v="Hero Tech"/>
    <b v="1"/>
    <m/>
  </r>
  <r>
    <x v="0"/>
    <x v="0"/>
    <s v="common/images/infoicons/opp-flag-clear_32x32.png"/>
    <s v="common/images/infoicons/Status_CredsNotVaild.svg"/>
    <x v="5"/>
    <x v="1"/>
    <s v="CWiggins"/>
    <x v="38"/>
    <x v="61"/>
    <n v="0"/>
    <n v="0"/>
    <x v="0"/>
    <n v="0"/>
    <x v="2"/>
    <x v="0"/>
    <m/>
    <m/>
    <n v="253"/>
    <m/>
    <n v="0"/>
    <s v="Corporate"/>
    <s v="Anthony Patane"/>
    <s v="Van Nuys"/>
    <s v="CA"/>
    <n v="0"/>
    <n v="0"/>
    <n v="418952.5"/>
    <n v="0"/>
    <n v="0"/>
    <x v="0"/>
    <n v="0"/>
    <n v="0"/>
    <n v="0"/>
    <n v="0"/>
    <n v="0"/>
    <n v="0"/>
    <s v="P1 Hardware / Software"/>
    <s v="Admin"/>
    <s v="Main"/>
    <n v="2338"/>
    <s v="Ventura"/>
    <b v="0"/>
    <m/>
  </r>
  <r>
    <x v="4"/>
    <x v="0"/>
    <s v="common/images/infoicons/opp-flag-clear_32x32.png"/>
    <s v="common/images/infoicons/Status_CredsNotVaild.svg"/>
    <x v="1"/>
    <x v="41"/>
    <s v="CWiggins"/>
    <x v="10"/>
    <x v="62"/>
    <n v="0"/>
    <n v="0"/>
    <x v="0"/>
    <n v="0"/>
    <x v="2"/>
    <x v="0"/>
    <m/>
    <m/>
    <n v="89"/>
    <m/>
    <n v="0"/>
    <s v="Corporate"/>
    <s v="Gerald Innes"/>
    <s v="Ventura"/>
    <s v="CA"/>
    <n v="0"/>
    <n v="0"/>
    <n v="765"/>
    <n v="0"/>
    <n v="0"/>
    <x v="1"/>
    <n v="0"/>
    <n v="0"/>
    <n v="0"/>
    <n v="0"/>
    <n v="0"/>
    <n v="0"/>
    <s v="P1 Hardware / Software"/>
    <s v="Sales"/>
    <s v="Main"/>
    <n v="2814"/>
    <s v="Hero Tech"/>
    <b v="0"/>
    <m/>
  </r>
  <r>
    <x v="4"/>
    <x v="0"/>
    <s v="common/images/infoicons/opp-flag-clear_32x32.png"/>
    <s v="common/images/infoicons/Flag_Overridden.svg"/>
    <x v="0"/>
    <x v="41"/>
    <s v="CWiggins"/>
    <x v="8"/>
    <x v="63"/>
    <n v="85.35"/>
    <n v="28.46"/>
    <x v="0"/>
    <n v="80"/>
    <x v="1"/>
    <x v="0"/>
    <m/>
    <m/>
    <n v="90"/>
    <m/>
    <n v="0"/>
    <s v="Corporate"/>
    <s v="Enrique Higuera"/>
    <s v="Carson"/>
    <s v="CA"/>
    <n v="0"/>
    <n v="85.35"/>
    <n v="0"/>
    <n v="68.28"/>
    <n v="0"/>
    <x v="1"/>
    <n v="0"/>
    <n v="0"/>
    <n v="85.35"/>
    <n v="0"/>
    <n v="0"/>
    <n v="0"/>
    <s v="P1 Hardware / Software"/>
    <s v="Sales"/>
    <s v="Carson Warehouse"/>
    <n v="2809"/>
    <s v="Ventura"/>
    <b v="1"/>
    <m/>
  </r>
  <r>
    <x v="4"/>
    <x v="0"/>
    <s v="common/images/infoicons/opp-flag-clear_32x32.png"/>
    <s v="common/images/infoicons/Flag_Overridden.svg"/>
    <x v="0"/>
    <x v="41"/>
    <s v="CWiggins"/>
    <x v="8"/>
    <x v="46"/>
    <n v="377.94"/>
    <n v="107.97"/>
    <x v="0"/>
    <n v="0"/>
    <x v="0"/>
    <x v="0"/>
    <m/>
    <m/>
    <n v="90"/>
    <m/>
    <n v="0"/>
    <s v="Corporate"/>
    <s v="Erlinda Carter"/>
    <s v="El Segundo "/>
    <s v="CA"/>
    <n v="0"/>
    <n v="377.94"/>
    <n v="0"/>
    <n v="0"/>
    <n v="0"/>
    <x v="1"/>
    <n v="0"/>
    <n v="0"/>
    <n v="377.94"/>
    <n v="0"/>
    <n v="0"/>
    <n v="0"/>
    <s v="P1 Hardware / Software"/>
    <s v="Sales"/>
    <s v="Main - Old Location"/>
    <n v="2810"/>
    <s v="Ventura"/>
    <b v="1"/>
    <m/>
  </r>
  <r>
    <x v="4"/>
    <x v="0"/>
    <s v="common/images/infoicons/opp-flag-clear_32x32.png"/>
    <s v="common/images/infoicons/Flag_Overridden.svg"/>
    <x v="0"/>
    <x v="41"/>
    <s v="CWiggins"/>
    <x v="16"/>
    <x v="64"/>
    <n v="172.12"/>
    <n v="172.12"/>
    <x v="2"/>
    <n v="0"/>
    <x v="0"/>
    <x v="0"/>
    <m/>
    <m/>
    <n v="89"/>
    <m/>
    <n v="0"/>
    <s v="Corporate"/>
    <s v="Craig Reibenspies"/>
    <m/>
    <m/>
    <n v="0"/>
    <n v="172.12"/>
    <n v="0"/>
    <n v="0"/>
    <n v="0"/>
    <x v="1"/>
    <n v="0"/>
    <n v="0"/>
    <n v="172.12"/>
    <n v="0"/>
    <n v="0"/>
    <n v="0"/>
    <s v="P1 Hardware / Software"/>
    <s v="Sales"/>
    <m/>
    <n v="2813"/>
    <s v="Ventura"/>
    <b v="1"/>
    <m/>
  </r>
  <r>
    <x v="4"/>
    <x v="0"/>
    <s v="common/images/infoicons/opp-flag-clear_32x32.png"/>
    <s v="common/images/infoicons/Flag_Overridden.svg"/>
    <x v="0"/>
    <x v="42"/>
    <s v="CWiggins"/>
    <x v="8"/>
    <x v="65"/>
    <n v="7008.98"/>
    <n v="1659.71"/>
    <x v="0"/>
    <n v="0"/>
    <x v="0"/>
    <x v="0"/>
    <m/>
    <m/>
    <n v="87"/>
    <m/>
    <n v="0"/>
    <s v="Corporate"/>
    <s v="Isu Sahai"/>
    <s v="El Segundo "/>
    <s v="CA"/>
    <n v="0"/>
    <n v="7008.98"/>
    <n v="0"/>
    <n v="0"/>
    <n v="0"/>
    <x v="1"/>
    <n v="0"/>
    <n v="0"/>
    <n v="6408.98"/>
    <n v="600"/>
    <n v="0"/>
    <n v="0"/>
    <s v="P1 Hardware / Software"/>
    <s v="Sales"/>
    <s v="Main - Old Location"/>
    <n v="2824"/>
    <s v="Ventura"/>
    <b v="1"/>
    <m/>
  </r>
  <r>
    <x v="4"/>
    <x v="0"/>
    <s v="common/images/infoicons/opp-flag-clear_32x32.png"/>
    <s v="common/images/infoicons/Flag_Overridden.svg"/>
    <x v="0"/>
    <x v="42"/>
    <s v="CWiggins"/>
    <x v="8"/>
    <x v="66"/>
    <n v="460.49"/>
    <n v="205.91"/>
    <x v="0"/>
    <n v="0"/>
    <x v="0"/>
    <x v="0"/>
    <m/>
    <m/>
    <n v="87"/>
    <m/>
    <n v="0"/>
    <s v="Corporate"/>
    <s v="Isu Sahai"/>
    <s v="El Segundo "/>
    <s v="CA"/>
    <n v="0"/>
    <n v="460.49"/>
    <n v="0"/>
    <n v="0"/>
    <n v="0"/>
    <x v="1"/>
    <n v="0"/>
    <n v="0"/>
    <n v="305.49"/>
    <n v="155"/>
    <n v="0"/>
    <n v="0"/>
    <s v="P1 Hardware / Software"/>
    <s v="Sales"/>
    <s v="Main - Old Location"/>
    <n v="2826"/>
    <s v="Ventura"/>
    <b v="1"/>
    <m/>
  </r>
  <r>
    <x v="4"/>
    <x v="0"/>
    <s v="common/images/infoicons/opp-flag-clear_32x32.png"/>
    <s v="common/images/infoicons/Flag_Overridden.svg"/>
    <x v="0"/>
    <x v="42"/>
    <s v="CWiggins"/>
    <x v="8"/>
    <x v="67"/>
    <n v="105"/>
    <n v="30"/>
    <x v="0"/>
    <n v="0"/>
    <x v="0"/>
    <x v="0"/>
    <m/>
    <m/>
    <n v="87"/>
    <m/>
    <n v="0"/>
    <s v="Corporate"/>
    <s v="Isu Sahai"/>
    <s v="El Segundo "/>
    <s v="CA"/>
    <n v="0"/>
    <n v="105"/>
    <n v="0"/>
    <n v="0"/>
    <n v="0"/>
    <x v="1"/>
    <n v="0"/>
    <n v="0"/>
    <n v="105"/>
    <n v="0"/>
    <n v="0"/>
    <n v="0"/>
    <s v="P1 Hardware / Software"/>
    <s v="Sales"/>
    <s v="Main - Old Location"/>
    <n v="2825"/>
    <s v="Ventura"/>
    <b v="1"/>
    <m/>
  </r>
  <r>
    <x v="4"/>
    <x v="0"/>
    <s v="common/images/infoicons/opp-flag-clear_32x32.png"/>
    <s v="common/images/infoicons/Flag_Overridden.svg"/>
    <x v="0"/>
    <x v="43"/>
    <s v="CWiggins"/>
    <x v="8"/>
    <x v="68"/>
    <n v="845.81"/>
    <n v="220.16"/>
    <x v="0"/>
    <n v="0"/>
    <x v="0"/>
    <x v="0"/>
    <m/>
    <m/>
    <n v="86"/>
    <m/>
    <n v="0"/>
    <s v="Corporate"/>
    <s v="Isu Sahai"/>
    <s v="El Segundo "/>
    <s v="CA"/>
    <n v="0"/>
    <n v="845.81"/>
    <n v="0"/>
    <n v="0"/>
    <n v="0"/>
    <x v="0"/>
    <n v="0"/>
    <n v="0"/>
    <n v="845.81"/>
    <n v="0"/>
    <n v="0"/>
    <n v="0"/>
    <s v="P1 Hardware / Software"/>
    <s v="Admin"/>
    <s v="Main - Old Location"/>
    <n v="2832"/>
    <s v="Ventura"/>
    <b v="1"/>
    <m/>
  </r>
  <r>
    <x v="4"/>
    <x v="0"/>
    <s v="common/images/infoicons/opp-flag-clear_32x32.png"/>
    <s v="common/images/infoicons/Flag_Overridden.svg"/>
    <x v="0"/>
    <x v="44"/>
    <s v="CWiggins"/>
    <x v="8"/>
    <x v="69"/>
    <n v="1214.25"/>
    <n v="184.3"/>
    <x v="0"/>
    <n v="0"/>
    <x v="0"/>
    <x v="0"/>
    <m/>
    <m/>
    <n v="85"/>
    <m/>
    <n v="0"/>
    <s v="Corporate"/>
    <s v="Isu Sahai"/>
    <s v="El Segundo "/>
    <s v="CA"/>
    <n v="0"/>
    <n v="1214.25"/>
    <n v="0"/>
    <n v="0"/>
    <n v="0"/>
    <x v="1"/>
    <n v="0"/>
    <n v="0"/>
    <n v="1214.25"/>
    <n v="0"/>
    <n v="0"/>
    <n v="0"/>
    <s v="P1 Hardware / Software"/>
    <s v="Sales"/>
    <s v="Main - Old Location"/>
    <n v="2835"/>
    <s v="Ventura"/>
    <b v="1"/>
    <m/>
  </r>
  <r>
    <x v="4"/>
    <x v="0"/>
    <s v="common/images/infoicons/opp-flag-clear_32x32.png"/>
    <s v="common/images/infoicons/Flag_Overridden.svg"/>
    <x v="0"/>
    <x v="44"/>
    <s v="CWiggins"/>
    <x v="8"/>
    <x v="70"/>
    <n v="161.88999999999999"/>
    <n v="64.95"/>
    <x v="0"/>
    <n v="0"/>
    <x v="0"/>
    <x v="0"/>
    <m/>
    <m/>
    <n v="84"/>
    <m/>
    <n v="0"/>
    <s v="Corporate"/>
    <s v="Isu Sahai"/>
    <s v="El Segundo "/>
    <s v="CA"/>
    <n v="0"/>
    <n v="161.88999999999999"/>
    <n v="0"/>
    <n v="0"/>
    <n v="0"/>
    <x v="1"/>
    <n v="0"/>
    <n v="0"/>
    <n v="161.88999999999999"/>
    <n v="0"/>
    <n v="0"/>
    <n v="0"/>
    <s v="P1 Hardware / Software"/>
    <s v="Sales"/>
    <s v="Main - Old Location"/>
    <n v="2839"/>
    <s v="Ventura"/>
    <b v="1"/>
    <m/>
  </r>
  <r>
    <x v="4"/>
    <x v="0"/>
    <s v="common/images/infoicons/opp-flag-clear_32x32.png"/>
    <s v="common/images/infoicons/Flag_Overridden.svg"/>
    <x v="0"/>
    <x v="45"/>
    <s v="CWiggins"/>
    <x v="34"/>
    <x v="71"/>
    <n v="359.99"/>
    <n v="59.99"/>
    <x v="0"/>
    <n v="0"/>
    <x v="0"/>
    <x v="0"/>
    <m/>
    <m/>
    <n v="83"/>
    <m/>
    <n v="0"/>
    <s v="Corporate"/>
    <s v="Lennea Morris"/>
    <s v="Carpinteria"/>
    <s v="CA"/>
    <n v="0"/>
    <n v="359.99"/>
    <n v="0"/>
    <n v="0"/>
    <n v="0"/>
    <x v="1"/>
    <n v="0"/>
    <n v="0"/>
    <n v="359.99"/>
    <n v="0"/>
    <n v="0"/>
    <n v="0"/>
    <s v="P1 Hardware / Software"/>
    <s v="Sales"/>
    <s v="Main"/>
    <n v="2842"/>
    <s v="Ventura"/>
    <b v="1"/>
    <m/>
  </r>
  <r>
    <x v="4"/>
    <x v="0"/>
    <s v="common/images/infoicons/opp-flag-clear_32x32.png"/>
    <s v="common/images/infoicons/Flag_Overridden.svg"/>
    <x v="0"/>
    <x v="45"/>
    <s v="CWiggins"/>
    <x v="17"/>
    <x v="24"/>
    <n v="1078"/>
    <n v="269.5"/>
    <x v="3"/>
    <n v="0"/>
    <x v="0"/>
    <x v="0"/>
    <m/>
    <m/>
    <n v="90"/>
    <m/>
    <n v="0"/>
    <s v="Corporate"/>
    <s v="Jeremy Wilson"/>
    <s v="Ventura"/>
    <s v="CA"/>
    <n v="0"/>
    <n v="1078"/>
    <n v="0"/>
    <n v="0"/>
    <n v="0"/>
    <x v="1"/>
    <n v="0"/>
    <n v="0"/>
    <n v="1078"/>
    <n v="0"/>
    <n v="0"/>
    <n v="0"/>
    <s v="P1 Hardware / Software"/>
    <s v="Sales"/>
    <s v="New Ventura Main"/>
    <n v="2808"/>
    <s v="Ventura"/>
    <b v="1"/>
    <m/>
  </r>
  <r>
    <x v="4"/>
    <x v="0"/>
    <s v="common/images/infoicons/opp-flag-clear_32x32.png"/>
    <s v="common/images/infoicons/Flag_Overridden.svg"/>
    <x v="0"/>
    <x v="46"/>
    <s v="CWiggins"/>
    <x v="25"/>
    <x v="72"/>
    <n v="875"/>
    <n v="350"/>
    <x v="0"/>
    <n v="0"/>
    <x v="0"/>
    <x v="0"/>
    <m/>
    <m/>
    <n v="92"/>
    <m/>
    <n v="0"/>
    <s v="Corporate"/>
    <s v="James deVos"/>
    <s v="Newbury Park"/>
    <s v="CA"/>
    <n v="0"/>
    <n v="875"/>
    <n v="0"/>
    <n v="0"/>
    <n v="0"/>
    <x v="1"/>
    <n v="0"/>
    <n v="0"/>
    <n v="0"/>
    <n v="875"/>
    <n v="0"/>
    <n v="0"/>
    <s v="P1 Hardware / Software"/>
    <s v="Sales"/>
    <s v="Main"/>
    <n v="2795"/>
    <s v="Hero Tech"/>
    <b v="1"/>
    <m/>
  </r>
  <r>
    <x v="4"/>
    <x v="0"/>
    <s v="common/images/infoicons/opp-flag-clear_32x32.png"/>
    <s v="common/images/infoicons/Flag_Overridden.svg"/>
    <x v="0"/>
    <x v="47"/>
    <s v="CWiggins"/>
    <x v="8"/>
    <x v="73"/>
    <n v="316.8"/>
    <n v="52.8"/>
    <x v="0"/>
    <n v="0"/>
    <x v="0"/>
    <x v="1"/>
    <m/>
    <m/>
    <n v="80"/>
    <m/>
    <n v="0"/>
    <s v="Corporate"/>
    <s v="Isu Sahai"/>
    <s v="El Segundo"/>
    <s v="CA"/>
    <n v="0"/>
    <n v="316.8"/>
    <n v="0"/>
    <n v="0"/>
    <n v="0"/>
    <x v="1"/>
    <n v="0"/>
    <n v="0"/>
    <n v="316.8"/>
    <n v="0"/>
    <n v="0"/>
    <n v="0"/>
    <s v="P1 Hardware / Software"/>
    <s v="Sales"/>
    <s v="Maple Ave - Current Locatin"/>
    <n v="2846"/>
    <s v="Ventura"/>
    <b v="1"/>
    <m/>
  </r>
  <r>
    <x v="4"/>
    <x v="0"/>
    <s v="common/images/infoicons/opp-flag-clear_32x32.png"/>
    <s v="common/images/infoicons/Flag_Overridden.svg"/>
    <x v="0"/>
    <x v="47"/>
    <s v="CWiggins"/>
    <x v="8"/>
    <x v="74"/>
    <n v="64.39"/>
    <n v="19.39"/>
    <x v="0"/>
    <n v="0"/>
    <x v="0"/>
    <x v="2"/>
    <m/>
    <m/>
    <n v="80"/>
    <m/>
    <n v="0"/>
    <s v="Corporate"/>
    <s v="Isu Sahai"/>
    <s v="El Segundo"/>
    <s v="CA"/>
    <n v="0"/>
    <n v="64.39"/>
    <n v="0"/>
    <n v="0"/>
    <n v="0"/>
    <x v="1"/>
    <n v="0"/>
    <n v="0"/>
    <n v="64.39"/>
    <n v="0"/>
    <n v="0"/>
    <n v="0"/>
    <s v="P1 Hardware / Software"/>
    <s v="Sales"/>
    <s v="Maple Ave - Current Locatin"/>
    <n v="2848"/>
    <s v="Ventura"/>
    <b v="1"/>
    <m/>
  </r>
  <r>
    <x v="4"/>
    <x v="0"/>
    <s v="common/images/infoicons/opp-flag-clear_32x32.png"/>
    <s v="common/images/infoicons/Flag_Overridden.svg"/>
    <x v="0"/>
    <x v="47"/>
    <s v="CWiggins"/>
    <x v="20"/>
    <x v="75"/>
    <n v="825"/>
    <n v="75"/>
    <x v="0"/>
    <n v="0"/>
    <x v="0"/>
    <x v="0"/>
    <m/>
    <m/>
    <n v="80"/>
    <m/>
    <n v="0"/>
    <s v="Corporate"/>
    <s v="Phil Gilley"/>
    <s v="Santa Barbara"/>
    <s v="CA"/>
    <n v="0"/>
    <n v="825"/>
    <n v="0"/>
    <n v="0"/>
    <n v="0"/>
    <x v="1"/>
    <n v="0"/>
    <n v="0"/>
    <n v="0"/>
    <n v="825"/>
    <n v="0"/>
    <n v="0"/>
    <s v="P1 Hardware / Software"/>
    <s v="Sales"/>
    <s v="Main"/>
    <n v="2849"/>
    <s v="Ventura"/>
    <b v="1"/>
    <m/>
  </r>
  <r>
    <x v="4"/>
    <x v="0"/>
    <s v="common/images/infoicons/opp-flag-clear_32x32.png"/>
    <s v="common/images/infoicons/Flag_Overridden.svg"/>
    <x v="0"/>
    <x v="48"/>
    <s v="CWiggins"/>
    <x v="22"/>
    <x v="76"/>
    <n v="155"/>
    <n v="155"/>
    <x v="0"/>
    <n v="0"/>
    <x v="0"/>
    <x v="0"/>
    <m/>
    <m/>
    <n v="78"/>
    <m/>
    <n v="0"/>
    <s v="Corporate"/>
    <s v="Sergio Zepada"/>
    <s v="Davis"/>
    <s v="CA"/>
    <n v="0"/>
    <n v="155"/>
    <n v="0"/>
    <n v="0"/>
    <n v="0"/>
    <x v="1"/>
    <n v="0"/>
    <n v="0"/>
    <n v="0"/>
    <n v="155"/>
    <n v="0"/>
    <n v="0"/>
    <s v="P1 Hardware / Software"/>
    <s v="Sales"/>
    <s v="Accounting"/>
    <n v="2860"/>
    <s v="Inland Empire"/>
    <b v="1"/>
    <m/>
  </r>
  <r>
    <x v="4"/>
    <x v="0"/>
    <s v="common/images/infoicons/opp-flag-clear_32x32.png"/>
    <s v="common/images/infoicons/Flag_Overridden.svg"/>
    <x v="0"/>
    <x v="48"/>
    <s v="CWiggins"/>
    <x v="14"/>
    <x v="77"/>
    <n v="235.99"/>
    <n v="136.01"/>
    <x v="0"/>
    <n v="0"/>
    <x v="0"/>
    <x v="0"/>
    <m/>
    <m/>
    <n v="78"/>
    <m/>
    <n v="0"/>
    <s v="Corporate"/>
    <s v="Tom Resler"/>
    <s v="Oxnard"/>
    <s v="CA"/>
    <n v="0"/>
    <n v="235.99"/>
    <n v="0"/>
    <n v="0"/>
    <n v="0"/>
    <x v="1"/>
    <n v="0"/>
    <n v="0"/>
    <n v="35.99"/>
    <n v="200"/>
    <n v="0"/>
    <n v="0"/>
    <s v="P1 Hardware / Software"/>
    <s v="Sales"/>
    <s v="Main"/>
    <n v="2865"/>
    <s v="Ventura"/>
    <b v="1"/>
    <m/>
  </r>
  <r>
    <x v="4"/>
    <x v="0"/>
    <s v="common/images/infoicons/opp-flag-clear_32x32.png"/>
    <s v="common/images/infoicons/Flag_Overridden.svg"/>
    <x v="0"/>
    <x v="48"/>
    <s v="CWiggins"/>
    <x v="39"/>
    <x v="44"/>
    <n v="39.49"/>
    <n v="13.22"/>
    <x v="0"/>
    <n v="0"/>
    <x v="0"/>
    <x v="0"/>
    <m/>
    <m/>
    <n v="78"/>
    <m/>
    <n v="0"/>
    <s v="Corporate"/>
    <s v="Scott Cooper"/>
    <s v="Carpinteria"/>
    <s v="CA"/>
    <n v="0"/>
    <n v="39.49"/>
    <n v="0"/>
    <n v="0"/>
    <n v="0"/>
    <x v="1"/>
    <n v="0"/>
    <n v="0"/>
    <n v="39.49"/>
    <n v="0"/>
    <n v="0"/>
    <n v="0"/>
    <s v="P1 Hardware / Software"/>
    <s v="Sales"/>
    <s v="Main"/>
    <n v="2861"/>
    <s v="Ventura"/>
    <b v="1"/>
    <m/>
  </r>
  <r>
    <x v="4"/>
    <x v="0"/>
    <s v="common/images/infoicons/opp-flag-clear_32x32.png"/>
    <s v="common/images/infoicons/Flag_Overridden.svg"/>
    <x v="0"/>
    <x v="48"/>
    <s v="CWiggins"/>
    <x v="8"/>
    <x v="78"/>
    <n v="878.61"/>
    <n v="137.38"/>
    <x v="0"/>
    <n v="0"/>
    <x v="0"/>
    <x v="1"/>
    <m/>
    <m/>
    <n v="78"/>
    <m/>
    <n v="0"/>
    <s v="Corporate"/>
    <s v="Isu Sahai"/>
    <s v="El Segundo"/>
    <s v="CA"/>
    <n v="0"/>
    <n v="878.61"/>
    <n v="0"/>
    <n v="0"/>
    <n v="0"/>
    <x v="1"/>
    <n v="0"/>
    <n v="0"/>
    <n v="878.61"/>
    <n v="0"/>
    <n v="0"/>
    <n v="0"/>
    <s v="P1 Hardware / Software"/>
    <s v="Sales"/>
    <s v="Maple Ave - Current Locatin"/>
    <n v="2852"/>
    <s v="Ventura"/>
    <b v="1"/>
    <m/>
  </r>
  <r>
    <x v="4"/>
    <x v="0"/>
    <s v="common/images/infoicons/opp-flag-clear_32x32.png"/>
    <s v="common/images/infoicons/Flag_Overridden.svg"/>
    <x v="0"/>
    <x v="48"/>
    <s v="CWiggins"/>
    <x v="8"/>
    <x v="79"/>
    <n v="249.99"/>
    <n v="71.42"/>
    <x v="0"/>
    <n v="80"/>
    <x v="1"/>
    <x v="0"/>
    <m/>
    <m/>
    <n v="78"/>
    <m/>
    <n v="0"/>
    <s v="Corporate"/>
    <s v="Isu Sahai"/>
    <s v="El Segundo"/>
    <s v="CA"/>
    <n v="0"/>
    <n v="249.99"/>
    <n v="0"/>
    <n v="199.99199999999999"/>
    <n v="0"/>
    <x v="1"/>
    <n v="0"/>
    <n v="0"/>
    <n v="249.99"/>
    <n v="0"/>
    <n v="0"/>
    <n v="0"/>
    <s v="P1 Hardware / Software"/>
    <s v="Sales"/>
    <s v="Maple Ave - Current Locatin"/>
    <n v="2863"/>
    <s v="Ventura"/>
    <b v="1"/>
    <m/>
  </r>
  <r>
    <x v="4"/>
    <x v="0"/>
    <s v="common/images/infoicons/opp-flag-clear_32x32.png"/>
    <s v="common/images/infoicons/Flag_Overridden.svg"/>
    <x v="0"/>
    <x v="48"/>
    <s v="CWiggins"/>
    <x v="8"/>
    <x v="80"/>
    <n v="108.78"/>
    <n v="22.3"/>
    <x v="0"/>
    <n v="0"/>
    <x v="0"/>
    <x v="0"/>
    <m/>
    <m/>
    <n v="78"/>
    <m/>
    <n v="0"/>
    <s v="Corporate"/>
    <s v="Isu Sahai"/>
    <s v="El Segundo"/>
    <s v="CA"/>
    <n v="0"/>
    <n v="108.78"/>
    <n v="0"/>
    <n v="0"/>
    <n v="0"/>
    <x v="1"/>
    <n v="0"/>
    <n v="0"/>
    <n v="108.78"/>
    <n v="0"/>
    <n v="0"/>
    <n v="0"/>
    <s v="P1 Hardware / Software"/>
    <s v="Sales"/>
    <s v="Maple Ave - Current Locatin"/>
    <n v="2856"/>
    <s v="Ventura"/>
    <b v="1"/>
    <m/>
  </r>
  <r>
    <x v="4"/>
    <x v="0"/>
    <s v="common/images/infoicons/opp-flag-clear_32x32.png"/>
    <s v="common/images/infoicons/Flag_Overridden.svg"/>
    <x v="0"/>
    <x v="48"/>
    <s v="CWiggins"/>
    <x v="34"/>
    <x v="81"/>
    <n v="41.95"/>
    <n v="7"/>
    <x v="0"/>
    <n v="0"/>
    <x v="0"/>
    <x v="0"/>
    <m/>
    <m/>
    <n v="78"/>
    <m/>
    <n v="0"/>
    <s v="Corporate"/>
    <s v="Rosa Herrera"/>
    <s v="Carpinteria"/>
    <s v="CA"/>
    <n v="0"/>
    <n v="41.95"/>
    <n v="0"/>
    <n v="0"/>
    <n v="0"/>
    <x v="1"/>
    <n v="0"/>
    <n v="0"/>
    <n v="41.95"/>
    <n v="0"/>
    <n v="0"/>
    <n v="0"/>
    <s v="P1 Hardware / Software"/>
    <s v="Sales"/>
    <s v="Main"/>
    <n v="2862"/>
    <s v="Ventura"/>
    <b v="1"/>
    <m/>
  </r>
  <r>
    <x v="4"/>
    <x v="0"/>
    <s v="common/images/infoicons/opp-flag-clear_32x32.png"/>
    <s v="common/images/infoicons/Flag_Overridden.svg"/>
    <x v="0"/>
    <x v="48"/>
    <s v="CWiggins"/>
    <x v="34"/>
    <x v="82"/>
    <n v="770.99"/>
    <n v="331"/>
    <x v="0"/>
    <n v="0"/>
    <x v="0"/>
    <x v="1"/>
    <m/>
    <m/>
    <n v="78"/>
    <m/>
    <n v="0"/>
    <s v="Corporate"/>
    <s v="Carol Burgh"/>
    <s v="Carpinteria"/>
    <s v="CA"/>
    <n v="0"/>
    <n v="770.99"/>
    <n v="0"/>
    <n v="0"/>
    <n v="0"/>
    <x v="1"/>
    <n v="0"/>
    <n v="0"/>
    <n v="615.99"/>
    <n v="155"/>
    <n v="0"/>
    <n v="0"/>
    <s v="P1 Hardware / Software"/>
    <s v="Sales"/>
    <s v="Main"/>
    <n v="2864"/>
    <s v="Ventura"/>
    <b v="1"/>
    <m/>
  </r>
  <r>
    <x v="4"/>
    <x v="0"/>
    <s v="common/images/infoicons/opp-flag-clear_32x32.png"/>
    <s v="common/images/infoicons/Flag_Overridden.svg"/>
    <x v="0"/>
    <x v="49"/>
    <s v="CWiggins"/>
    <x v="8"/>
    <x v="83"/>
    <n v="860.84"/>
    <n v="245.96"/>
    <x v="0"/>
    <n v="0"/>
    <x v="0"/>
    <x v="0"/>
    <m/>
    <m/>
    <n v="75"/>
    <m/>
    <n v="0"/>
    <s v="Corporate"/>
    <s v="Isu Sahai"/>
    <s v="El Segundo"/>
    <s v="CA"/>
    <n v="0"/>
    <n v="860.84"/>
    <n v="0"/>
    <n v="0"/>
    <n v="0"/>
    <x v="1"/>
    <n v="0"/>
    <n v="0"/>
    <n v="860.84"/>
    <n v="0"/>
    <n v="0"/>
    <n v="0"/>
    <s v="P1 Hardware / Software"/>
    <s v="Sales"/>
    <s v="Maple Ave - Current Locatin"/>
    <n v="2875"/>
    <s v="Ventura"/>
    <b v="1"/>
    <m/>
  </r>
  <r>
    <x v="4"/>
    <x v="0"/>
    <s v="common/images/infoicons/opp-flag-clear_32x32.png"/>
    <s v="common/images/infoicons/Status_CredsVaild.svg"/>
    <x v="4"/>
    <x v="49"/>
    <s v="CWiggins"/>
    <x v="28"/>
    <x v="63"/>
    <n v="76.510000000000005"/>
    <n v="21.86"/>
    <x v="0"/>
    <n v="0"/>
    <x v="2"/>
    <x v="0"/>
    <m/>
    <m/>
    <n v="76"/>
    <m/>
    <n v="0"/>
    <s v="Corporate"/>
    <s v="Kathy Whitesell"/>
    <s v="Camarillo"/>
    <s v="CA"/>
    <n v="0"/>
    <n v="0"/>
    <n v="0"/>
    <n v="0"/>
    <n v="0"/>
    <x v="1"/>
    <n v="0"/>
    <n v="0"/>
    <n v="76.510000000000005"/>
    <n v="0"/>
    <n v="0"/>
    <n v="0"/>
    <s v="P1 Hardware / Software"/>
    <s v="Sales"/>
    <s v="Main"/>
    <n v="2870"/>
    <s v="Ventura"/>
    <b v="0"/>
    <m/>
  </r>
  <r>
    <x v="4"/>
    <x v="0"/>
    <s v="common/images/infoicons/opp-flag-clear_32x32.png"/>
    <s v="common/images/infoicons/Flag_Overridden.svg"/>
    <x v="0"/>
    <x v="50"/>
    <s v="CWiggins"/>
    <x v="7"/>
    <x v="84"/>
    <n v="525"/>
    <n v="157.5"/>
    <x v="0"/>
    <n v="0"/>
    <x v="0"/>
    <x v="0"/>
    <m/>
    <m/>
    <n v="73"/>
    <m/>
    <n v="0"/>
    <s v="Corporate"/>
    <s v="Mariela Feldman"/>
    <s v="Van Nuys"/>
    <s v="CA"/>
    <n v="0"/>
    <n v="525"/>
    <n v="0"/>
    <n v="0"/>
    <n v="0"/>
    <x v="1"/>
    <n v="0"/>
    <n v="0"/>
    <n v="525"/>
    <n v="0"/>
    <n v="0"/>
    <n v="0"/>
    <s v="P1 Hardware / Software"/>
    <s v="Sales"/>
    <s v="Main"/>
    <n v="2877"/>
    <s v="Ventura"/>
    <b v="1"/>
    <m/>
  </r>
  <r>
    <x v="4"/>
    <x v="0"/>
    <s v="common/images/infoicons/opp-flag-clear_32x32.png"/>
    <s v="common/images/infoicons/Flag_Overridden.svg"/>
    <x v="0"/>
    <x v="50"/>
    <s v="CWiggins"/>
    <x v="40"/>
    <x v="84"/>
    <n v="350"/>
    <n v="105"/>
    <x v="0"/>
    <n v="0"/>
    <x v="0"/>
    <x v="2"/>
    <m/>
    <m/>
    <n v="73"/>
    <m/>
    <n v="0"/>
    <s v="Corporate"/>
    <s v="Lisa Mousselli"/>
    <s v="Tyler"/>
    <s v="TX"/>
    <n v="0"/>
    <n v="350"/>
    <n v="0"/>
    <n v="0"/>
    <n v="0"/>
    <x v="1"/>
    <n v="0"/>
    <n v="0"/>
    <n v="350"/>
    <n v="0"/>
    <n v="0"/>
    <n v="0"/>
    <s v="P1 Hardware / Software"/>
    <s v="Sales"/>
    <s v="Main"/>
    <n v="2876"/>
    <s v="Ventura"/>
    <b v="1"/>
    <m/>
  </r>
  <r>
    <x v="4"/>
    <x v="0"/>
    <s v="common/images/infoicons/opp-flag-clear_32x32.png"/>
    <s v="common/images/infoicons/Flag_Overridden.svg"/>
    <x v="0"/>
    <x v="50"/>
    <s v="CWiggins"/>
    <x v="14"/>
    <x v="84"/>
    <n v="700"/>
    <n v="210"/>
    <x v="0"/>
    <n v="0"/>
    <x v="0"/>
    <x v="0"/>
    <m/>
    <m/>
    <n v="73"/>
    <m/>
    <n v="0"/>
    <s v="Corporate"/>
    <s v="Michelle Cardona"/>
    <s v="Oxnard"/>
    <s v="CA"/>
    <n v="0"/>
    <n v="700"/>
    <n v="0"/>
    <n v="0"/>
    <n v="0"/>
    <x v="1"/>
    <n v="0"/>
    <n v="0"/>
    <n v="700"/>
    <n v="0"/>
    <n v="0"/>
    <n v="0"/>
    <s v="P1 Hardware / Software"/>
    <s v="Sales"/>
    <s v="Main"/>
    <n v="2879"/>
    <s v="Ventura"/>
    <b v="1"/>
    <m/>
  </r>
  <r>
    <x v="4"/>
    <x v="0"/>
    <s v="common/images/infoicons/opp-flag-clear_32x32.png"/>
    <s v="common/images/infoicons/Flag_Overridden.svg"/>
    <x v="0"/>
    <x v="50"/>
    <s v="CWiggins"/>
    <x v="39"/>
    <x v="85"/>
    <n v="39.49"/>
    <n v="13.22"/>
    <x v="0"/>
    <n v="80"/>
    <x v="1"/>
    <x v="2"/>
    <m/>
    <m/>
    <n v="73"/>
    <m/>
    <n v="0"/>
    <s v="Corporate"/>
    <s v="Scott Cooper"/>
    <s v="Carpinteria"/>
    <s v="CA"/>
    <n v="0"/>
    <n v="39.49"/>
    <n v="0"/>
    <n v="31.591999999999999"/>
    <n v="0"/>
    <x v="1"/>
    <n v="0"/>
    <n v="0"/>
    <n v="39.49"/>
    <n v="0"/>
    <n v="0"/>
    <n v="0"/>
    <s v="P1 Hardware / Software"/>
    <s v="Sales"/>
    <s v="Main"/>
    <n v="2878"/>
    <s v="Ventura"/>
    <b v="1"/>
    <m/>
  </r>
  <r>
    <x v="4"/>
    <x v="0"/>
    <s v="common/images/infoicons/opp-flag-clear_32x32.png"/>
    <s v="common/images/infoicons/Flag_Overridden.svg"/>
    <x v="0"/>
    <x v="51"/>
    <s v="CWiggins"/>
    <x v="7"/>
    <x v="24"/>
    <n v="400"/>
    <n v="100"/>
    <x v="0"/>
    <n v="0"/>
    <x v="0"/>
    <x v="0"/>
    <s v="Wed 01/23/2019 send invoice "/>
    <m/>
    <n v="166"/>
    <m/>
    <n v="0"/>
    <s v="Corporate"/>
    <s v="Mariela Feldman"/>
    <s v="Van Nuys"/>
    <s v="CA"/>
    <n v="0"/>
    <n v="400"/>
    <n v="0"/>
    <n v="0"/>
    <n v="0"/>
    <x v="1"/>
    <n v="0"/>
    <n v="0"/>
    <n v="400"/>
    <n v="0"/>
    <n v="0"/>
    <n v="0"/>
    <s v="P1 Hardware / Software"/>
    <s v="Sales"/>
    <s v="Main"/>
    <n v="2592"/>
    <s v="Ventura"/>
    <b v="1"/>
    <m/>
  </r>
  <r>
    <x v="4"/>
    <x v="0"/>
    <s v="common/images/infoicons/opp-flag-clear_32x32.png"/>
    <s v="common/images/infoicons/Flag_Overridden.svg"/>
    <x v="0"/>
    <x v="51"/>
    <s v="CWiggins"/>
    <x v="8"/>
    <x v="86"/>
    <n v="119"/>
    <n v="20"/>
    <x v="0"/>
    <n v="0"/>
    <x v="0"/>
    <x v="0"/>
    <m/>
    <m/>
    <n v="71"/>
    <m/>
    <n v="0"/>
    <s v="Corporate"/>
    <s v="Isu Sahai"/>
    <s v="El Segundo"/>
    <s v="CA"/>
    <n v="0"/>
    <n v="119"/>
    <n v="0"/>
    <n v="0"/>
    <n v="0"/>
    <x v="1"/>
    <n v="0"/>
    <n v="0"/>
    <n v="119"/>
    <n v="0"/>
    <n v="0"/>
    <n v="0"/>
    <s v="P1 Hardware / Software"/>
    <s v="Sales"/>
    <s v="Maple Ave - Current Locatin"/>
    <n v="2888"/>
    <s v="Ventura"/>
    <b v="1"/>
    <m/>
  </r>
  <r>
    <x v="4"/>
    <x v="0"/>
    <s v="common/images/infoicons/opp-flag-clear_32x32.png"/>
    <s v="common/images/infoicons/Flag_Overridden.svg"/>
    <x v="0"/>
    <x v="51"/>
    <s v="CWiggins"/>
    <x v="8"/>
    <x v="87"/>
    <n v="430.42"/>
    <n v="122.98"/>
    <x v="0"/>
    <n v="0"/>
    <x v="0"/>
    <x v="0"/>
    <m/>
    <m/>
    <n v="71"/>
    <m/>
    <n v="0"/>
    <s v="Corporate"/>
    <s v="Isu Sahai"/>
    <s v="El Segundo"/>
    <s v="CA"/>
    <n v="0"/>
    <n v="430.42"/>
    <n v="0"/>
    <n v="0"/>
    <n v="0"/>
    <x v="1"/>
    <n v="0"/>
    <n v="0"/>
    <n v="430.42"/>
    <n v="0"/>
    <n v="0"/>
    <n v="0"/>
    <s v="P1 Hardware / Software"/>
    <s v="Sales"/>
    <s v="Maple Ave - Current Locatin"/>
    <n v="2890"/>
    <s v="Ventura"/>
    <b v="1"/>
    <m/>
  </r>
  <r>
    <x v="4"/>
    <x v="0"/>
    <s v="common/images/infoicons/opp-flag-clear_32x32.png"/>
    <s v="common/images/infoicons/Flag_Overridden.svg"/>
    <x v="0"/>
    <x v="51"/>
    <s v="CWiggins"/>
    <x v="8"/>
    <x v="88"/>
    <n v="1666.95"/>
    <n v="279"/>
    <x v="0"/>
    <n v="0"/>
    <x v="0"/>
    <x v="0"/>
    <m/>
    <m/>
    <n v="71"/>
    <m/>
    <n v="0"/>
    <s v="Corporate"/>
    <s v="Isu Sahai"/>
    <s v="El Segundo"/>
    <s v="CA"/>
    <n v="0"/>
    <n v="1666.95"/>
    <n v="0"/>
    <n v="0"/>
    <n v="0"/>
    <x v="1"/>
    <n v="0"/>
    <n v="0"/>
    <n v="1666.95"/>
    <n v="0"/>
    <n v="0"/>
    <n v="0"/>
    <s v="P1 Hardware / Software"/>
    <s v="Sales"/>
    <s v="Maple Ave - Current Locatin"/>
    <n v="2889"/>
    <s v="Ventura"/>
    <b v="1"/>
    <m/>
  </r>
  <r>
    <x v="4"/>
    <x v="0"/>
    <s v="common/images/infoicons/opp-flag-clear_32x32.png"/>
    <s v="common/images/infoicons/Flag_Overridden.svg"/>
    <x v="0"/>
    <x v="52"/>
    <s v="CWiggins"/>
    <x v="8"/>
    <x v="89"/>
    <n v="7818"/>
    <n v="2288"/>
    <x v="0"/>
    <n v="0"/>
    <x v="0"/>
    <x v="0"/>
    <m/>
    <m/>
    <n v="66"/>
    <m/>
    <n v="0"/>
    <s v="Corporate"/>
    <s v="Isu Sahai"/>
    <s v="El Segundo"/>
    <s v="CA"/>
    <n v="0"/>
    <n v="7818"/>
    <n v="0"/>
    <n v="0"/>
    <n v="0"/>
    <x v="1"/>
    <n v="0"/>
    <n v="0"/>
    <n v="720"/>
    <n v="7098"/>
    <n v="0"/>
    <n v="0"/>
    <s v="P1 Hardware / Software"/>
    <s v="Sales"/>
    <s v="Maple Ave - Current Locatin"/>
    <n v="2900"/>
    <s v="Ventura"/>
    <b v="1"/>
    <m/>
  </r>
  <r>
    <x v="4"/>
    <x v="0"/>
    <s v="common/images/infoicons/opp-flag-clear_32x32.png"/>
    <s v="common/images/infoicons/Flag_Overridden.svg"/>
    <x v="0"/>
    <x v="53"/>
    <s v="CWiggins"/>
    <x v="14"/>
    <x v="90"/>
    <n v="230.79"/>
    <n v="133.80000000000001"/>
    <x v="0"/>
    <n v="0"/>
    <x v="0"/>
    <x v="2"/>
    <m/>
    <m/>
    <n v="65"/>
    <m/>
    <n v="0"/>
    <s v="Corporate"/>
    <s v="Maria Ortega"/>
    <s v="Oxnard"/>
    <s v="CA"/>
    <n v="0"/>
    <n v="230.79"/>
    <n v="0"/>
    <n v="0"/>
    <n v="0"/>
    <x v="1"/>
    <n v="0"/>
    <n v="0"/>
    <n v="30.79"/>
    <n v="200"/>
    <n v="0"/>
    <n v="0"/>
    <s v="P1 Hardware / Software"/>
    <s v="Sales"/>
    <s v="Main"/>
    <n v="2901"/>
    <s v="Ventura"/>
    <b v="1"/>
    <m/>
  </r>
  <r>
    <x v="4"/>
    <x v="0"/>
    <s v="common/images/infoicons/opp-flag-clear_32x32.png"/>
    <s v="common/images/infoicons/Flag_Overridden.svg"/>
    <x v="0"/>
    <x v="54"/>
    <s v="CWiggins"/>
    <x v="8"/>
    <x v="91"/>
    <n v="35.99"/>
    <n v="16"/>
    <x v="0"/>
    <n v="0"/>
    <x v="0"/>
    <x v="0"/>
    <m/>
    <m/>
    <n v="64"/>
    <m/>
    <n v="0"/>
    <s v="Corporate"/>
    <s v="Isu Sahai"/>
    <s v="El Segundo"/>
    <s v="CA"/>
    <n v="0"/>
    <n v="35.99"/>
    <n v="0"/>
    <n v="0"/>
    <n v="0"/>
    <x v="1"/>
    <n v="0"/>
    <n v="0"/>
    <n v="35.99"/>
    <n v="0"/>
    <n v="0"/>
    <n v="0"/>
    <s v="P1 Hardware / Software"/>
    <s v="Sales"/>
    <s v="Maple Ave - Current Locatin"/>
    <n v="2908"/>
    <s v="Ventura"/>
    <b v="1"/>
    <m/>
  </r>
  <r>
    <x v="4"/>
    <x v="0"/>
    <s v="common/images/infoicons/opp-flag-clear_32x32.png"/>
    <s v="common/images/infoicons/Status_CredsNotVaild.svg"/>
    <x v="5"/>
    <x v="5"/>
    <s v="CWiggins"/>
    <x v="7"/>
    <x v="92"/>
    <n v="0"/>
    <n v="0"/>
    <x v="0"/>
    <n v="0"/>
    <x v="2"/>
    <x v="1"/>
    <m/>
    <m/>
    <n v="101"/>
    <m/>
    <n v="0"/>
    <s v="Corporate"/>
    <s v="Mariela Feldman"/>
    <s v="Van Nuys"/>
    <s v="CA"/>
    <n v="0"/>
    <n v="0"/>
    <n v="517"/>
    <n v="0"/>
    <n v="0"/>
    <x v="1"/>
    <n v="0"/>
    <n v="0"/>
    <n v="0"/>
    <n v="0"/>
    <n v="0"/>
    <n v="0"/>
    <s v="P1 Other"/>
    <s v="Sales"/>
    <s v="Main"/>
    <n v="2771"/>
    <s v="Ventura"/>
    <b v="0"/>
    <m/>
  </r>
  <r>
    <x v="4"/>
    <x v="0"/>
    <s v="common/images/infoicons/opp-flag-clear_32x32.png"/>
    <s v="common/images/infoicons/Flag_Overridden.svg"/>
    <x v="0"/>
    <x v="5"/>
    <s v="CWiggins"/>
    <x v="24"/>
    <x v="93"/>
    <n v="2268.77"/>
    <n v="794.63"/>
    <x v="0"/>
    <n v="0"/>
    <x v="0"/>
    <x v="2"/>
    <m/>
    <m/>
    <n v="85"/>
    <m/>
    <n v="0"/>
    <s v="Corporate"/>
    <s v="Grace Sherk"/>
    <s v="Cheektowaga"/>
    <s v="NY"/>
    <n v="0"/>
    <n v="2268.77"/>
    <n v="0"/>
    <n v="0"/>
    <n v="0"/>
    <x v="1"/>
    <n v="0"/>
    <n v="0"/>
    <n v="1958.8"/>
    <n v="309.97000000000003"/>
    <n v="0"/>
    <n v="0"/>
    <s v="P1 Hardware / Software"/>
    <s v="Sales"/>
    <s v="New York"/>
    <n v="2837"/>
    <s v="Ventura"/>
    <b v="1"/>
    <m/>
  </r>
  <r>
    <x v="4"/>
    <x v="0"/>
    <s v="common/images/infoicons/opp-flag-clear_32x32.png"/>
    <s v="common/images/infoicons/Flag_Overridden.svg"/>
    <x v="0"/>
    <x v="5"/>
    <s v="CWiggins"/>
    <x v="22"/>
    <x v="94"/>
    <n v="310"/>
    <n v="310"/>
    <x v="0"/>
    <n v="0"/>
    <x v="0"/>
    <x v="1"/>
    <m/>
    <m/>
    <n v="71"/>
    <m/>
    <n v="0"/>
    <s v="Corporate"/>
    <s v="Sergio Zepada"/>
    <s v="City of Industry"/>
    <s v="CA"/>
    <n v="0"/>
    <n v="310"/>
    <n v="0"/>
    <n v="0"/>
    <n v="0"/>
    <x v="1"/>
    <n v="0"/>
    <n v="0"/>
    <n v="0"/>
    <n v="310"/>
    <n v="0"/>
    <n v="0"/>
    <s v="P1 Hardware / Software"/>
    <s v="Sales"/>
    <s v="Main Office"/>
    <n v="2892"/>
    <s v="Inland Empire"/>
    <b v="1"/>
    <m/>
  </r>
  <r>
    <x v="4"/>
    <x v="0"/>
    <s v="common/images/infoicons/opp-flag-clear_32x32.png"/>
    <s v="common/images/infoicons/Status_CredsVaild.svg"/>
    <x v="7"/>
    <x v="5"/>
    <s v="CWiggins"/>
    <x v="41"/>
    <x v="95"/>
    <n v="0"/>
    <n v="0"/>
    <x v="0"/>
    <n v="20"/>
    <x v="8"/>
    <x v="1"/>
    <m/>
    <m/>
    <n v="92"/>
    <m/>
    <n v="0"/>
    <s v="Corporate"/>
    <s v="Will Shepherd"/>
    <s v="Ventura"/>
    <s v="CA"/>
    <n v="0"/>
    <n v="0"/>
    <n v="0"/>
    <n v="0"/>
    <n v="0"/>
    <x v="1"/>
    <n v="0"/>
    <n v="0"/>
    <n v="0"/>
    <n v="0"/>
    <n v="0"/>
    <n v="0"/>
    <s v="P1 Other"/>
    <s v="Sales"/>
    <s v="Main"/>
    <n v="2803"/>
    <s v="Hero Tech"/>
    <b v="0"/>
    <m/>
  </r>
  <r>
    <x v="4"/>
    <x v="0"/>
    <s v="common/images/infoicons/opp-flag-clear_32x32.png"/>
    <s v="common/images/infoicons/Flag_Overridden.svg"/>
    <x v="0"/>
    <x v="5"/>
    <s v="CWiggins"/>
    <x v="8"/>
    <x v="96"/>
    <n v="7900"/>
    <n v="4150"/>
    <x v="0"/>
    <n v="0"/>
    <x v="0"/>
    <x v="0"/>
    <m/>
    <m/>
    <n v="84"/>
    <m/>
    <n v="0"/>
    <s v="Corporate"/>
    <s v="Philippe El Khazen"/>
    <s v="El Segundo"/>
    <s v="CA"/>
    <n v="0"/>
    <n v="7900"/>
    <n v="0"/>
    <n v="0"/>
    <n v="0"/>
    <x v="1"/>
    <n v="0"/>
    <n v="0"/>
    <n v="0"/>
    <n v="7900"/>
    <n v="0"/>
    <n v="0"/>
    <s v="P1 Hardware / Software"/>
    <s v="Sales"/>
    <s v="Maple Ave - Current Locatin"/>
    <n v="2841"/>
    <s v="Ventura"/>
    <b v="1"/>
    <m/>
  </r>
  <r>
    <x v="4"/>
    <x v="0"/>
    <s v="common/images/infoicons/opp-flag-clear_32x32.png"/>
    <s v="common/images/infoicons/Flag_Overridden.svg"/>
    <x v="0"/>
    <x v="5"/>
    <s v="CWiggins"/>
    <x v="8"/>
    <x v="97"/>
    <n v="2500"/>
    <n v="2500"/>
    <x v="0"/>
    <n v="0"/>
    <x v="0"/>
    <x v="0"/>
    <m/>
    <m/>
    <n v="71"/>
    <m/>
    <n v="0"/>
    <s v="Corporate"/>
    <s v="Isu Sahai"/>
    <s v="El Segundo"/>
    <s v="CA"/>
    <n v="0"/>
    <n v="2500"/>
    <n v="0"/>
    <n v="0"/>
    <n v="0"/>
    <x v="1"/>
    <n v="0"/>
    <n v="0"/>
    <n v="0"/>
    <n v="2500"/>
    <n v="0"/>
    <n v="0"/>
    <s v="P1 Other"/>
    <s v="Sales"/>
    <s v="Maple Ave - Current Locatin"/>
    <n v="2887"/>
    <s v="Ventura"/>
    <b v="1"/>
    <m/>
  </r>
  <r>
    <x v="4"/>
    <x v="0"/>
    <s v="common/images/infoicons/opp-flag-clear_32x32.png"/>
    <s v="common/images/infoicons/Status_CredsNotVaild.svg"/>
    <x v="2"/>
    <x v="5"/>
    <s v="CWiggins"/>
    <x v="8"/>
    <x v="98"/>
    <n v="0"/>
    <n v="0"/>
    <x v="0"/>
    <n v="0"/>
    <x v="2"/>
    <x v="0"/>
    <m/>
    <m/>
    <n v="77"/>
    <m/>
    <n v="0"/>
    <s v="Corporate"/>
    <s v="Isu Sahai"/>
    <s v="El Segundo "/>
    <s v="CA"/>
    <n v="0"/>
    <n v="0"/>
    <n v="4064"/>
    <n v="0"/>
    <n v="0"/>
    <x v="1"/>
    <n v="0"/>
    <n v="0"/>
    <n v="0"/>
    <n v="0"/>
    <n v="0"/>
    <n v="0"/>
    <s v="P1 Hardware / Software"/>
    <s v="Sales"/>
    <s v="Main - Old Location"/>
    <n v="2866"/>
    <s v="Ventura"/>
    <b v="0"/>
    <m/>
  </r>
  <r>
    <x v="4"/>
    <x v="0"/>
    <s v="common/images/infoicons/opp-flag-clear_32x32.png"/>
    <s v="common/images/infoicons/Status_CredsVaild.svg"/>
    <x v="4"/>
    <x v="5"/>
    <s v="jelbek"/>
    <x v="8"/>
    <x v="99"/>
    <n v="2998.8"/>
    <n v="499.8"/>
    <x v="0"/>
    <n v="80"/>
    <x v="1"/>
    <x v="0"/>
    <m/>
    <m/>
    <n v="86"/>
    <m/>
    <n v="0"/>
    <s v="Corporate"/>
    <s v="Isu Sahai"/>
    <s v="El Segundo "/>
    <s v="CA"/>
    <n v="0"/>
    <n v="0"/>
    <n v="0"/>
    <n v="2399.04"/>
    <n v="0"/>
    <x v="0"/>
    <n v="0"/>
    <n v="0"/>
    <n v="2998.8"/>
    <n v="0"/>
    <n v="0"/>
    <n v="0"/>
    <s v="P1 Hardware / Software"/>
    <s v="Sales"/>
    <s v="Main - Old Location"/>
    <n v="2830"/>
    <s v="Ventura"/>
    <b v="0"/>
    <m/>
  </r>
  <r>
    <x v="4"/>
    <x v="0"/>
    <s v="common/images/infoicons/opp-flag-clear_32x32.png"/>
    <s v="common/images/infoicons/Flag_Overridden.svg"/>
    <x v="0"/>
    <x v="5"/>
    <s v="CWiggins"/>
    <x v="8"/>
    <x v="100"/>
    <n v="319.83999999999997"/>
    <n v="123.84"/>
    <x v="0"/>
    <n v="80"/>
    <x v="1"/>
    <x v="2"/>
    <m/>
    <m/>
    <n v="66"/>
    <m/>
    <n v="0"/>
    <s v="Corporate"/>
    <s v="Isu Sahai"/>
    <s v="El Segundo"/>
    <s v="CA"/>
    <n v="0"/>
    <n v="319.83999999999997"/>
    <n v="0"/>
    <n v="255.87200000000001"/>
    <n v="0"/>
    <x v="1"/>
    <n v="0"/>
    <n v="0"/>
    <n v="319.83999999999997"/>
    <n v="0"/>
    <n v="0"/>
    <n v="0"/>
    <s v="P1 Hardware / Software"/>
    <s v="Sales"/>
    <s v="Maple Ave - Current Locatin"/>
    <n v="2899"/>
    <s v="Ventura"/>
    <b v="1"/>
    <m/>
  </r>
  <r>
    <x v="4"/>
    <x v="0"/>
    <s v="common/images/infoicons/opp-flag-clear_32x32.png"/>
    <s v="common/images/infoicons/Flag_Overridden.svg"/>
    <x v="0"/>
    <x v="5"/>
    <s v="CWiggins"/>
    <x v="42"/>
    <x v="101"/>
    <n v="189"/>
    <n v="17.16"/>
    <x v="4"/>
    <n v="20"/>
    <x v="8"/>
    <x v="0"/>
    <m/>
    <m/>
    <n v="162"/>
    <m/>
    <n v="0"/>
    <s v="Corporate"/>
    <s v="Dr. Valerie Myers"/>
    <s v="Pasadena"/>
    <s v="CA"/>
    <n v="0"/>
    <n v="189"/>
    <n v="0"/>
    <n v="37.799999999999997"/>
    <n v="0"/>
    <x v="0"/>
    <n v="0"/>
    <n v="0"/>
    <n v="189"/>
    <n v="0"/>
    <n v="0"/>
    <n v="0"/>
    <s v="P1 Technology MS"/>
    <s v="Admin"/>
    <s v="Main"/>
    <n v="2605"/>
    <s v="Hero Tech"/>
    <b v="0"/>
    <m/>
  </r>
  <r>
    <x v="4"/>
    <x v="0"/>
    <s v="common/images/infoicons/opp-flag-clear_32x32.png"/>
    <s v="common/images/infoicons/Flag_Overridden.svg"/>
    <x v="0"/>
    <x v="5"/>
    <s v="CWiggins"/>
    <x v="34"/>
    <x v="102"/>
    <n v="1735.91"/>
    <n v="576.78"/>
    <x v="0"/>
    <n v="0"/>
    <x v="0"/>
    <x v="1"/>
    <m/>
    <m/>
    <n v="92"/>
    <m/>
    <n v="0"/>
    <s v="Corporate"/>
    <s v="Jill Baker"/>
    <s v="Carpinteria"/>
    <s v="CA"/>
    <n v="0"/>
    <n v="1735.91"/>
    <n v="0"/>
    <n v="0"/>
    <n v="0"/>
    <x v="1"/>
    <n v="0"/>
    <n v="0"/>
    <n v="1425.91"/>
    <n v="310"/>
    <n v="0"/>
    <n v="0"/>
    <s v="P1 Hardware / Software"/>
    <s v="Sales"/>
    <s v="Main"/>
    <n v="2801"/>
    <s v="Ventura"/>
    <b v="1"/>
    <m/>
  </r>
  <r>
    <x v="4"/>
    <x v="0"/>
    <s v="common/images/infoicons/opp-flag-clear_32x32.png"/>
    <s v="common/images/infoicons/Flag_Overridden.svg"/>
    <x v="0"/>
    <x v="5"/>
    <s v="CWiggins"/>
    <x v="34"/>
    <x v="103"/>
    <n v="97.35"/>
    <n v="27.84"/>
    <x v="0"/>
    <n v="0"/>
    <x v="0"/>
    <x v="2"/>
    <m/>
    <m/>
    <n v="62"/>
    <m/>
    <n v="0"/>
    <s v="Corporate"/>
    <s v="Susan Siple"/>
    <s v="Carpinteria"/>
    <s v="CA"/>
    <n v="0"/>
    <n v="97.35"/>
    <n v="0"/>
    <n v="0"/>
    <n v="0"/>
    <x v="1"/>
    <n v="0"/>
    <n v="0"/>
    <n v="97.35"/>
    <n v="0"/>
    <n v="0"/>
    <n v="0"/>
    <s v="P1 Hardware / Software"/>
    <s v="Sales"/>
    <s v="Main"/>
    <n v="2914"/>
    <s v="Ventura"/>
    <b v="1"/>
    <m/>
  </r>
  <r>
    <x v="4"/>
    <x v="0"/>
    <s v="common/images/infoicons/opp-flag-clear_32x32.png"/>
    <s v="common/images/infoicons/Flag_Overridden.svg"/>
    <x v="0"/>
    <x v="5"/>
    <s v="CWiggins"/>
    <x v="16"/>
    <x v="104"/>
    <n v="1452.98"/>
    <n v="462.98"/>
    <x v="0"/>
    <n v="80"/>
    <x v="1"/>
    <x v="1"/>
    <m/>
    <m/>
    <n v="64"/>
    <m/>
    <n v="0"/>
    <s v="Corporate"/>
    <s v="Craig Reibenspies"/>
    <m/>
    <m/>
    <n v="0"/>
    <n v="1452.98"/>
    <n v="0"/>
    <n v="1162.384"/>
    <n v="0"/>
    <x v="1"/>
    <n v="0"/>
    <n v="0"/>
    <n v="1252.98"/>
    <n v="200"/>
    <n v="0"/>
    <n v="0"/>
    <s v="P1 Hardware / Software"/>
    <s v="Sales"/>
    <m/>
    <n v="2907"/>
    <s v="Ventura"/>
    <b v="1"/>
    <m/>
  </r>
  <r>
    <x v="4"/>
    <x v="0"/>
    <s v="common/images/infoicons/opp-flag-clear_32x32.png"/>
    <s v="common/images/infoicons/Flag_Overridden.svg"/>
    <x v="0"/>
    <x v="5"/>
    <s v="CWiggins"/>
    <x v="9"/>
    <x v="105"/>
    <n v="231"/>
    <n v="60.33"/>
    <x v="0"/>
    <n v="80"/>
    <x v="1"/>
    <x v="2"/>
    <m/>
    <m/>
    <n v="71"/>
    <m/>
    <n v="0"/>
    <s v="Corporate"/>
    <s v="Lauren Pioli"/>
    <s v="Camarillo"/>
    <s v="CA"/>
    <n v="0"/>
    <n v="231"/>
    <n v="0"/>
    <n v="184.8"/>
    <n v="0"/>
    <x v="1"/>
    <n v="0"/>
    <n v="0"/>
    <n v="231"/>
    <n v="0"/>
    <n v="0"/>
    <n v="0"/>
    <s v="P1 Hardware / Software"/>
    <s v="Sales"/>
    <s v="Main"/>
    <n v="2891"/>
    <s v="Ventura"/>
    <b v="1"/>
    <m/>
  </r>
  <r>
    <x v="4"/>
    <x v="0"/>
    <s v="common/images/infoicons/opp-flag-clear_32x32.png"/>
    <s v="common/images/infoicons/Status_CredsNotVaild.svg"/>
    <x v="1"/>
    <x v="5"/>
    <s v="CWiggins"/>
    <x v="43"/>
    <x v="106"/>
    <n v="0"/>
    <n v="0"/>
    <x v="0"/>
    <n v="0"/>
    <x v="2"/>
    <x v="0"/>
    <m/>
    <m/>
    <n v="141"/>
    <m/>
    <n v="0"/>
    <s v="Corporate"/>
    <s v="Kathi Niffenegger"/>
    <s v="Port Hueneme"/>
    <s v="CA"/>
    <n v="0"/>
    <n v="0"/>
    <n v="307.99"/>
    <n v="0"/>
    <n v="0"/>
    <x v="1"/>
    <n v="0"/>
    <n v="0"/>
    <n v="0"/>
    <n v="0"/>
    <n v="0"/>
    <n v="0"/>
    <s v="P1 Hardware / Software"/>
    <s v="Sales"/>
    <s v="Main"/>
    <n v="2676"/>
    <s v="Ventura"/>
    <b v="0"/>
    <m/>
  </r>
  <r>
    <x v="1"/>
    <x v="0"/>
    <s v="common/images/infoicons/opp-flag-clear_32x32.png"/>
    <s v="common/images/infoicons/Flag_Overridden.svg"/>
    <x v="0"/>
    <x v="55"/>
    <s v="CWiggins"/>
    <x v="8"/>
    <x v="107"/>
    <n v="96"/>
    <n v="96"/>
    <x v="0"/>
    <n v="20"/>
    <x v="8"/>
    <x v="0"/>
    <m/>
    <m/>
    <n v="64"/>
    <m/>
    <n v="0"/>
    <s v="Corporate"/>
    <s v="Isu Sahai"/>
    <s v="El Segundo"/>
    <s v="CA"/>
    <n v="0"/>
    <n v="96"/>
    <n v="0"/>
    <n v="19.2"/>
    <n v="0"/>
    <x v="1"/>
    <n v="0"/>
    <n v="0"/>
    <n v="96"/>
    <n v="0"/>
    <n v="0"/>
    <n v="0"/>
    <s v="P1 Hardware / Software"/>
    <s v="Sales"/>
    <s v="Maple Ave - Current Locatin"/>
    <n v="2905"/>
    <s v="Ventura"/>
    <b v="0"/>
    <m/>
  </r>
  <r>
    <x v="1"/>
    <x v="0"/>
    <s v="common/images/infoicons/opp-flag-clear_32x32.png"/>
    <s v="common/images/infoicons/Flag_Overridden.svg"/>
    <x v="0"/>
    <x v="56"/>
    <s v="CWiggins"/>
    <x v="44"/>
    <x v="108"/>
    <n v="13.49"/>
    <n v="4.5"/>
    <x v="0"/>
    <n v="0"/>
    <x v="0"/>
    <x v="2"/>
    <m/>
    <m/>
    <n v="59"/>
    <m/>
    <n v="0"/>
    <s v="Corporate"/>
    <s v="Darcie Crandall"/>
    <s v="Newbury Park"/>
    <s v="CA"/>
    <n v="0"/>
    <n v="13.49"/>
    <n v="0"/>
    <n v="0"/>
    <n v="0"/>
    <x v="1"/>
    <n v="0"/>
    <n v="0"/>
    <n v="13.49"/>
    <n v="0"/>
    <n v="0"/>
    <n v="0"/>
    <s v="P1 Hardware / Software"/>
    <s v="Sales"/>
    <s v="Main"/>
    <n v="2918"/>
    <s v="Hero Tech"/>
    <b v="1"/>
    <m/>
  </r>
  <r>
    <x v="1"/>
    <x v="0"/>
    <s v="common/images/infoicons/opp-flag-clear_32x32.png"/>
    <s v="common/images/infoicons/Flag_Overridden.svg"/>
    <x v="0"/>
    <x v="56"/>
    <s v="CWiggins"/>
    <x v="42"/>
    <x v="109"/>
    <n v="167.76"/>
    <n v="47.94"/>
    <x v="0"/>
    <n v="0"/>
    <x v="0"/>
    <x v="2"/>
    <m/>
    <m/>
    <n v="59"/>
    <m/>
    <n v="0"/>
    <s v="Corporate"/>
    <s v="Dr. Valerie Myers"/>
    <s v="Pasadena"/>
    <s v="CA"/>
    <n v="0"/>
    <n v="167.76"/>
    <n v="0"/>
    <n v="0"/>
    <n v="0"/>
    <x v="1"/>
    <n v="0"/>
    <n v="0"/>
    <n v="167.76"/>
    <n v="0"/>
    <n v="0"/>
    <n v="0"/>
    <s v="P1 Hardware / Software"/>
    <s v="Sales"/>
    <s v="Main"/>
    <n v="2920"/>
    <s v="Hero Tech"/>
    <b v="1"/>
    <m/>
  </r>
  <r>
    <x v="1"/>
    <x v="0"/>
    <s v="common/images/infoicons/opp-flag-clear_32x32.png"/>
    <s v="common/images/infoicons/Flag_Overridden.svg"/>
    <x v="0"/>
    <x v="57"/>
    <s v="CWiggins"/>
    <x v="8"/>
    <x v="110"/>
    <n v="310.44"/>
    <n v="62.09"/>
    <x v="0"/>
    <n v="0"/>
    <x v="0"/>
    <x v="2"/>
    <m/>
    <m/>
    <n v="58"/>
    <m/>
    <n v="0"/>
    <s v="Corporate"/>
    <s v="Isu Sahai"/>
    <s v="El Segundo"/>
    <s v="CA"/>
    <n v="0"/>
    <n v="310.44"/>
    <n v="0"/>
    <n v="0"/>
    <n v="0"/>
    <x v="1"/>
    <n v="0"/>
    <n v="0"/>
    <n v="310.44"/>
    <n v="0"/>
    <n v="0"/>
    <n v="0"/>
    <s v="P1 Hardware / Software"/>
    <s v="Sales"/>
    <s v="Maple Ave - Current Locatin"/>
    <n v="2923"/>
    <s v="Ventura"/>
    <b v="1"/>
    <m/>
  </r>
  <r>
    <x v="1"/>
    <x v="0"/>
    <s v="common/images/infoicons/opp-flag-clear_32x32.png"/>
    <s v="common/images/infoicons/Flag_Overridden.svg"/>
    <x v="0"/>
    <x v="58"/>
    <s v="CWiggins"/>
    <x v="8"/>
    <x v="111"/>
    <n v="95"/>
    <n v="16"/>
    <x v="0"/>
    <n v="0"/>
    <x v="0"/>
    <x v="0"/>
    <m/>
    <m/>
    <n v="57"/>
    <m/>
    <n v="0"/>
    <s v="Corporate"/>
    <s v="Marisa Jane Hirtzel"/>
    <s v="El Segundo"/>
    <s v="CA"/>
    <n v="0"/>
    <n v="95"/>
    <n v="0"/>
    <n v="0"/>
    <n v="0"/>
    <x v="1"/>
    <n v="0"/>
    <n v="0"/>
    <n v="95"/>
    <n v="0"/>
    <n v="0"/>
    <n v="0"/>
    <s v="P1 Hardware / Software"/>
    <s v="Sales"/>
    <s v="Maple Ave - Current Locatin"/>
    <n v="2929"/>
    <s v="Ventura"/>
    <b v="1"/>
    <m/>
  </r>
  <r>
    <x v="1"/>
    <x v="0"/>
    <s v="common/images/infoicons/opp-flag-clear_32x32.png"/>
    <s v="common/images/infoicons/Flag_Overridden.svg"/>
    <x v="0"/>
    <x v="58"/>
    <s v="CWiggins"/>
    <x v="23"/>
    <x v="112"/>
    <n v="7279.46"/>
    <n v="4119.62"/>
    <x v="0"/>
    <n v="0"/>
    <x v="0"/>
    <x v="0"/>
    <s v="Tue 03/05/2019 invoice "/>
    <m/>
    <n v="58"/>
    <m/>
    <n v="0"/>
    <s v="Corporate"/>
    <s v="Choti Singh"/>
    <s v="North Hollywood"/>
    <s v="CA"/>
    <n v="0"/>
    <n v="7279.46"/>
    <n v="0"/>
    <n v="0"/>
    <n v="0"/>
    <x v="0"/>
    <n v="0"/>
    <n v="0"/>
    <n v="371.96"/>
    <n v="6907.5"/>
    <n v="0"/>
    <n v="0"/>
    <s v="P1 Hardware / Software"/>
    <s v="Admin"/>
    <s v="Main"/>
    <n v="2924"/>
    <s v="Ventura"/>
    <b v="1"/>
    <m/>
  </r>
  <r>
    <x v="1"/>
    <x v="0"/>
    <s v="common/images/infoicons/opp-flag-clear_32x32.png"/>
    <s v="common/images/infoicons/Flag_Overridden.svg"/>
    <x v="0"/>
    <x v="59"/>
    <s v="CWiggins"/>
    <x v="45"/>
    <x v="113"/>
    <n v="460"/>
    <n v="160"/>
    <x v="0"/>
    <n v="0"/>
    <x v="0"/>
    <x v="0"/>
    <s v="Wed 03/13/2019 invoice today"/>
    <m/>
    <n v="52"/>
    <m/>
    <n v="0"/>
    <s v="Corporate"/>
    <s v="Steven Ortmann"/>
    <s v="Thousand Oaks"/>
    <s v="CA"/>
    <n v="0"/>
    <n v="460"/>
    <n v="0"/>
    <n v="0"/>
    <n v="0"/>
    <x v="1"/>
    <n v="0"/>
    <n v="0"/>
    <n v="0"/>
    <n v="460"/>
    <n v="0"/>
    <n v="0"/>
    <s v="P1 Hardware / Software"/>
    <s v="Sales"/>
    <s v="Main"/>
    <n v="2940"/>
    <s v="Hero Tech"/>
    <b v="1"/>
    <m/>
  </r>
  <r>
    <x v="1"/>
    <x v="0"/>
    <s v="common/images/infoicons/opp-flag-clear_32x32.png"/>
    <s v="common/images/infoicons/Flag_Overridden.svg"/>
    <x v="0"/>
    <x v="59"/>
    <s v="Pfreeman"/>
    <x v="46"/>
    <x v="114"/>
    <n v="2436.98"/>
    <n v="884.86"/>
    <x v="0"/>
    <n v="80"/>
    <x v="1"/>
    <x v="1"/>
    <m/>
    <m/>
    <n v="52"/>
    <m/>
    <n v="0"/>
    <s v="Ventura"/>
    <s v="Paul Freeman"/>
    <s v="Ventura"/>
    <s v="CA"/>
    <n v="0"/>
    <n v="2436.98"/>
    <n v="0"/>
    <n v="1949.5840000000001"/>
    <n v="0"/>
    <x v="0"/>
    <n v="0"/>
    <n v="0"/>
    <n v="1351.98"/>
    <n v="1085"/>
    <n v="0"/>
    <n v="0"/>
    <m/>
    <s v="Sales"/>
    <s v="Main"/>
    <n v="2941"/>
    <s v="Corporate"/>
    <b v="0"/>
    <m/>
  </r>
  <r>
    <x v="1"/>
    <x v="0"/>
    <s v="common/images/infoicons/opp-flag-clear_32x32.png"/>
    <s v="common/images/infoicons/Flag_Overridden.svg"/>
    <x v="0"/>
    <x v="6"/>
    <s v="CWiggins"/>
    <x v="7"/>
    <x v="24"/>
    <n v="1600"/>
    <n v="400"/>
    <x v="0"/>
    <n v="0"/>
    <x v="0"/>
    <x v="0"/>
    <m/>
    <m/>
    <n v="51"/>
    <m/>
    <n v="0"/>
    <s v="Corporate"/>
    <s v="Mariela Feldman"/>
    <s v="Van Nuys"/>
    <s v="CA"/>
    <n v="0"/>
    <n v="1600"/>
    <n v="0"/>
    <n v="0"/>
    <n v="0"/>
    <x v="1"/>
    <n v="0"/>
    <n v="0"/>
    <n v="1600"/>
    <n v="0"/>
    <n v="0"/>
    <n v="0"/>
    <s v="P1 Hardware / Software"/>
    <s v="Sales"/>
    <s v="Main"/>
    <n v="2944"/>
    <s v="Ventura"/>
    <b v="1"/>
    <m/>
  </r>
  <r>
    <x v="1"/>
    <x v="0"/>
    <s v="common/images/infoicons/opp-flag-clear_32x32.png"/>
    <s v="common/images/infoicons/Flag_Overridden.svg"/>
    <x v="0"/>
    <x v="6"/>
    <s v="CWiggins"/>
    <x v="33"/>
    <x v="24"/>
    <n v="600"/>
    <n v="150"/>
    <x v="3"/>
    <n v="0"/>
    <x v="0"/>
    <x v="0"/>
    <m/>
    <m/>
    <n v="51"/>
    <m/>
    <n v="0"/>
    <s v="Corporate"/>
    <s v="Jessie Wong"/>
    <s v="Danbury"/>
    <s v="CT"/>
    <n v="0"/>
    <n v="600"/>
    <n v="0"/>
    <n v="0"/>
    <n v="0"/>
    <x v="1"/>
    <n v="0"/>
    <n v="0"/>
    <n v="600"/>
    <n v="0"/>
    <n v="0"/>
    <n v="0"/>
    <s v="P1 Hardware / Software"/>
    <s v="Sales"/>
    <s v="Main"/>
    <n v="2947"/>
    <s v="Ventura"/>
    <b v="1"/>
    <m/>
  </r>
  <r>
    <x v="1"/>
    <x v="0"/>
    <s v="common/images/infoicons/opp-flag-clear_32x32.png"/>
    <s v="common/images/infoicons/Flag_Overridden.svg"/>
    <x v="0"/>
    <x v="6"/>
    <s v="CWiggins"/>
    <x v="24"/>
    <x v="24"/>
    <n v="539"/>
    <n v="134.75"/>
    <x v="3"/>
    <n v="0"/>
    <x v="0"/>
    <x v="2"/>
    <m/>
    <m/>
    <n v="51"/>
    <m/>
    <n v="0"/>
    <s v="Corporate"/>
    <s v="Tony Burns"/>
    <s v="Cheektowaga"/>
    <s v="NY"/>
    <n v="0"/>
    <n v="539"/>
    <n v="0"/>
    <n v="0"/>
    <n v="0"/>
    <x v="1"/>
    <n v="0"/>
    <n v="0"/>
    <n v="539"/>
    <n v="0"/>
    <n v="0"/>
    <n v="0"/>
    <s v="P1 Hardware / Software"/>
    <s v="Sales"/>
    <s v="New York"/>
    <n v="2945"/>
    <s v="Ventura"/>
    <b v="1"/>
    <m/>
  </r>
  <r>
    <x v="1"/>
    <x v="0"/>
    <s v="common/images/infoicons/opp-flag-clear_32x32.png"/>
    <s v="common/images/infoicons/Flag_Overridden.svg"/>
    <x v="0"/>
    <x v="6"/>
    <s v="CWiggins"/>
    <x v="30"/>
    <x v="115"/>
    <n v="558"/>
    <n v="188"/>
    <x v="0"/>
    <n v="0"/>
    <x v="0"/>
    <x v="1"/>
    <m/>
    <m/>
    <n v="171"/>
    <m/>
    <n v="0"/>
    <s v="Corporate"/>
    <s v="Kalie Matisek"/>
    <s v="Ventura"/>
    <s v="CA"/>
    <n v="0"/>
    <n v="558"/>
    <n v="0"/>
    <n v="0"/>
    <n v="0"/>
    <x v="1"/>
    <n v="0"/>
    <n v="0"/>
    <n v="50"/>
    <n v="508"/>
    <n v="0"/>
    <n v="0"/>
    <s v="P1 Hardware / Software"/>
    <s v="Sales"/>
    <s v="Vince Street"/>
    <n v="2574"/>
    <s v="Ventura"/>
    <b v="1"/>
    <m/>
  </r>
  <r>
    <x v="1"/>
    <x v="0"/>
    <s v="common/images/infoicons/opp-flag-clear_32x32.png"/>
    <s v="common/images/infoicons/Flag_Overridden.svg"/>
    <x v="0"/>
    <x v="60"/>
    <s v="CWiggins"/>
    <x v="39"/>
    <x v="116"/>
    <n v="223.99"/>
    <n v="64"/>
    <x v="0"/>
    <n v="0"/>
    <x v="0"/>
    <x v="0"/>
    <m/>
    <m/>
    <n v="49"/>
    <m/>
    <n v="0"/>
    <s v="Corporate"/>
    <s v="Don Cooper"/>
    <s v="Carpinteria"/>
    <s v="CA"/>
    <n v="0"/>
    <n v="223.99"/>
    <n v="0"/>
    <n v="0"/>
    <n v="0"/>
    <x v="1"/>
    <n v="0"/>
    <n v="0"/>
    <n v="223.99"/>
    <n v="0"/>
    <n v="0"/>
    <n v="0"/>
    <s v="P1 Hardware / Software"/>
    <s v="Sales"/>
    <s v="Main"/>
    <n v="2958"/>
    <s v="Ventura"/>
    <b v="1"/>
    <m/>
  </r>
  <r>
    <x v="1"/>
    <x v="0"/>
    <s v="common/images/infoicons/opp-flag-clear_32x32.png"/>
    <s v="common/images/infoicons/Flag_Overridden.svg"/>
    <x v="0"/>
    <x v="60"/>
    <s v="CWiggins"/>
    <x v="47"/>
    <x v="117"/>
    <n v="312"/>
    <n v="156"/>
    <x v="5"/>
    <n v="0"/>
    <x v="0"/>
    <x v="0"/>
    <m/>
    <m/>
    <n v="111"/>
    <m/>
    <n v="0"/>
    <s v="Corporate"/>
    <s v="Donna Granata"/>
    <s v="Ventura"/>
    <s v="CA"/>
    <n v="0"/>
    <n v="312"/>
    <n v="0"/>
    <n v="0"/>
    <n v="0"/>
    <x v="1"/>
    <n v="0"/>
    <n v="0"/>
    <n v="312"/>
    <n v="0"/>
    <n v="0"/>
    <n v="0"/>
    <s v="P1 Hardware / Software"/>
    <s v="Sales"/>
    <s v="Main"/>
    <n v="2735"/>
    <s v="Ventura"/>
    <b v="1"/>
    <m/>
  </r>
  <r>
    <x v="1"/>
    <x v="0"/>
    <s v="common/images/infoicons/opp-flag-clear_32x32.png"/>
    <s v="common/images/infoicons/Flag_Overridden.svg"/>
    <x v="0"/>
    <x v="60"/>
    <s v="CWiggins"/>
    <x v="17"/>
    <x v="118"/>
    <n v="475.99"/>
    <n v="136"/>
    <x v="0"/>
    <n v="0"/>
    <x v="0"/>
    <x v="0"/>
    <m/>
    <m/>
    <n v="49"/>
    <m/>
    <n v="0"/>
    <s v="Corporate"/>
    <s v="Jeremy Wilson"/>
    <s v="Ventura"/>
    <s v="CA"/>
    <n v="0"/>
    <n v="475.99"/>
    <n v="0"/>
    <n v="0"/>
    <n v="0"/>
    <x v="1"/>
    <n v="0"/>
    <n v="0"/>
    <n v="475.99"/>
    <n v="0"/>
    <n v="0"/>
    <n v="0"/>
    <s v="P1 Hardware / Software"/>
    <s v="Sales"/>
    <s v="New Ventura Main"/>
    <n v="2959"/>
    <s v="Ventura"/>
    <b v="1"/>
    <m/>
  </r>
  <r>
    <x v="1"/>
    <x v="0"/>
    <s v="common/images/infoicons/opp-flag-clear_32x32.png"/>
    <s v="common/images/infoicons/Flag_Overridden.svg"/>
    <x v="0"/>
    <x v="60"/>
    <s v="CWiggins"/>
    <x v="21"/>
    <x v="119"/>
    <n v="486"/>
    <n v="129.75"/>
    <x v="0"/>
    <n v="0"/>
    <x v="0"/>
    <x v="2"/>
    <m/>
    <m/>
    <n v="52"/>
    <m/>
    <n v="0"/>
    <s v="Corporate"/>
    <s v="Robert  Hughes "/>
    <s v="Commerce"/>
    <s v="CA"/>
    <n v="0"/>
    <n v="486"/>
    <n v="0"/>
    <n v="0"/>
    <n v="0"/>
    <x v="1"/>
    <n v="0"/>
    <n v="0"/>
    <n v="486"/>
    <n v="0"/>
    <n v="0"/>
    <n v="0"/>
    <s v="P1 Hardware / Software"/>
    <s v="Sales"/>
    <s v="Main"/>
    <n v="2939"/>
    <s v="Ventura"/>
    <b v="1"/>
    <m/>
  </r>
  <r>
    <x v="1"/>
    <x v="0"/>
    <s v="common/images/infoicons/opp-flag-clear_32x32.png"/>
    <s v="common/images/infoicons/Flag_Overridden.svg"/>
    <x v="0"/>
    <x v="61"/>
    <s v="CWiggins"/>
    <x v="25"/>
    <x v="100"/>
    <n v="39.979999999999997"/>
    <n v="14.99"/>
    <x v="0"/>
    <n v="0"/>
    <x v="0"/>
    <x v="0"/>
    <m/>
    <m/>
    <n v="48"/>
    <m/>
    <n v="0"/>
    <s v="Corporate"/>
    <s v="James deVos"/>
    <s v="Newbury Park"/>
    <s v="CA"/>
    <n v="0"/>
    <n v="39.979999999999997"/>
    <n v="0"/>
    <n v="0"/>
    <n v="0"/>
    <x v="1"/>
    <n v="0"/>
    <n v="0"/>
    <n v="39.979999999999997"/>
    <n v="0"/>
    <n v="0"/>
    <n v="0"/>
    <s v="P1 Hardware / Software"/>
    <s v="Sales"/>
    <s v="Main"/>
    <n v="2961"/>
    <s v="Hero Tech"/>
    <b v="1"/>
    <m/>
  </r>
  <r>
    <x v="1"/>
    <x v="0"/>
    <s v="common/images/infoicons/opp-flag-clear_32x32.png"/>
    <s v="common/images/infoicons/Flag_Overridden.svg"/>
    <x v="0"/>
    <x v="61"/>
    <s v="CWiggins"/>
    <x v="45"/>
    <x v="120"/>
    <n v="1362.98"/>
    <n v="490.93"/>
    <x v="0"/>
    <n v="0"/>
    <x v="0"/>
    <x v="2"/>
    <m/>
    <m/>
    <n v="48"/>
    <m/>
    <n v="0"/>
    <s v="Corporate"/>
    <s v="Steven Ortmann"/>
    <s v="Thousand Oaks"/>
    <s v="CA"/>
    <n v="0"/>
    <n v="1362.98"/>
    <n v="0"/>
    <n v="0"/>
    <n v="0"/>
    <x v="1"/>
    <n v="0"/>
    <n v="0"/>
    <n v="1052.98"/>
    <n v="310"/>
    <n v="0"/>
    <n v="0"/>
    <s v="P1 Hardware / Software"/>
    <s v="Sales"/>
    <s v="Main"/>
    <n v="2962"/>
    <s v="Hero Tech"/>
    <b v="1"/>
    <m/>
  </r>
  <r>
    <x v="1"/>
    <x v="0"/>
    <s v="common/images/infoicons/opp-flag-clear_32x32.png"/>
    <s v="common/images/infoicons/Flag_Overridden.svg"/>
    <x v="0"/>
    <x v="61"/>
    <s v="CWiggins"/>
    <x v="30"/>
    <x v="121"/>
    <n v="1468"/>
    <n v="636.14"/>
    <x v="0"/>
    <n v="0"/>
    <x v="0"/>
    <x v="2"/>
    <m/>
    <m/>
    <n v="55"/>
    <m/>
    <n v="0"/>
    <s v="Corporate"/>
    <s v="Mark Schumacher"/>
    <s v="Ventura"/>
    <s v="CA"/>
    <n v="0"/>
    <n v="1468"/>
    <n v="0"/>
    <n v="0"/>
    <n v="0"/>
    <x v="1"/>
    <n v="0"/>
    <n v="0"/>
    <n v="1068"/>
    <n v="400"/>
    <n v="0"/>
    <n v="0"/>
    <s v="P1 Hardware / Software"/>
    <s v="Sales"/>
    <s v="Main"/>
    <n v="2935"/>
    <s v="Ventura"/>
    <b v="1"/>
    <m/>
  </r>
  <r>
    <x v="1"/>
    <x v="0"/>
    <s v="common/images/infoicons/opp-flag-clear_32x32.png"/>
    <s v="common/images/infoicons/Flag_Overridden.svg"/>
    <x v="0"/>
    <x v="62"/>
    <s v="CWiggins"/>
    <x v="25"/>
    <x v="122"/>
    <n v="725"/>
    <n v="371.01"/>
    <x v="0"/>
    <n v="0"/>
    <x v="0"/>
    <x v="2"/>
    <m/>
    <m/>
    <n v="45"/>
    <m/>
    <n v="0"/>
    <s v="Corporate"/>
    <s v="James deVos"/>
    <s v="Newbury Park"/>
    <s v="CA"/>
    <n v="0"/>
    <n v="725"/>
    <n v="0"/>
    <n v="0"/>
    <n v="0"/>
    <x v="1"/>
    <n v="0"/>
    <n v="0"/>
    <n v="415"/>
    <n v="310"/>
    <n v="0"/>
    <n v="0"/>
    <s v="P1 Hardware / Software"/>
    <s v="Sales"/>
    <s v="Main"/>
    <n v="2965"/>
    <s v="Hero Tech"/>
    <b v="1"/>
    <m/>
  </r>
  <r>
    <x v="1"/>
    <x v="0"/>
    <s v="common/images/infoicons/opp-flag-clear_32x32.png"/>
    <s v="common/images/infoicons/Flag_Overridden.svg"/>
    <x v="0"/>
    <x v="62"/>
    <s v="CWiggins"/>
    <x v="23"/>
    <x v="123"/>
    <n v="321.29000000000002"/>
    <n v="93.26"/>
    <x v="0"/>
    <n v="0"/>
    <x v="0"/>
    <x v="0"/>
    <m/>
    <m/>
    <n v="45"/>
    <m/>
    <n v="0"/>
    <s v="Corporate"/>
    <s v="Choti Singh"/>
    <s v="North Hollywood"/>
    <s v="CA"/>
    <n v="0"/>
    <n v="321.29000000000002"/>
    <n v="0"/>
    <n v="0"/>
    <n v="0"/>
    <x v="1"/>
    <n v="0"/>
    <n v="0"/>
    <n v="321.29000000000002"/>
    <n v="0"/>
    <n v="0"/>
    <n v="0"/>
    <s v="P1 Hardware / Software"/>
    <s v="Sales"/>
    <s v="Main"/>
    <n v="2964"/>
    <s v="Ventura"/>
    <b v="1"/>
    <m/>
  </r>
  <r>
    <x v="1"/>
    <x v="0"/>
    <s v="common/images/infoicons/opp-flag-clear_32x32.png"/>
    <s v="common/images/infoicons/Flag_Overridden.svg"/>
    <x v="0"/>
    <x v="63"/>
    <s v="CWiggins"/>
    <x v="8"/>
    <x v="124"/>
    <n v="420"/>
    <n v="118"/>
    <x v="0"/>
    <n v="0"/>
    <x v="0"/>
    <x v="1"/>
    <s v="Wed 03/27/2019 get Jared's cost from Laura"/>
    <m/>
    <n v="43"/>
    <m/>
    <n v="0"/>
    <s v="Corporate"/>
    <s v="Isu Sahai"/>
    <s v="El Segundo"/>
    <s v="CA"/>
    <n v="0"/>
    <n v="420"/>
    <n v="0"/>
    <n v="0"/>
    <n v="0"/>
    <x v="1"/>
    <n v="0"/>
    <n v="0"/>
    <n v="0"/>
    <n v="420"/>
    <n v="0"/>
    <n v="0"/>
    <s v="P1 Hardware / Software"/>
    <s v="Sales"/>
    <s v="Maple Ave - Current Locatin"/>
    <n v="2973"/>
    <s v="Ventura"/>
    <b v="1"/>
    <m/>
  </r>
  <r>
    <x v="1"/>
    <x v="0"/>
    <s v="common/images/infoicons/opp-flag-clear_32x32.png"/>
    <s v="common/images/infoicons/Flag_Overridden.svg"/>
    <x v="0"/>
    <x v="63"/>
    <s v="CWiggins"/>
    <x v="34"/>
    <x v="125"/>
    <n v="399.98"/>
    <n v="104"/>
    <x v="0"/>
    <n v="0"/>
    <x v="0"/>
    <x v="0"/>
    <m/>
    <m/>
    <n v="43"/>
    <m/>
    <n v="0"/>
    <s v="Corporate"/>
    <s v="Janae Betterton"/>
    <s v="Carpinteria"/>
    <s v="CA"/>
    <n v="0"/>
    <n v="399.98"/>
    <n v="0"/>
    <n v="0"/>
    <n v="0"/>
    <x v="1"/>
    <n v="0"/>
    <n v="0"/>
    <n v="399.98"/>
    <n v="0"/>
    <n v="0"/>
    <n v="0"/>
    <s v="P1 Hardware / Software"/>
    <s v="Sales"/>
    <s v="Main"/>
    <n v="2974"/>
    <s v="Ventura"/>
    <b v="1"/>
    <m/>
  </r>
  <r>
    <x v="1"/>
    <x v="0"/>
    <s v="common/images/infoicons/opp-flag-clear_32x32.png"/>
    <s v="common/images/infoicons/Flag_Overridden.svg"/>
    <x v="0"/>
    <x v="64"/>
    <s v="CWiggins"/>
    <x v="39"/>
    <x v="116"/>
    <n v="223.99"/>
    <n v="64"/>
    <x v="0"/>
    <n v="0"/>
    <x v="0"/>
    <x v="2"/>
    <m/>
    <m/>
    <n v="36"/>
    <m/>
    <n v="0"/>
    <s v="Corporate"/>
    <s v="Don Cooper"/>
    <s v="Carpinteria"/>
    <s v="CA"/>
    <n v="0"/>
    <n v="223.99"/>
    <n v="0"/>
    <n v="0"/>
    <n v="0"/>
    <x v="1"/>
    <n v="0"/>
    <n v="0"/>
    <n v="223.99"/>
    <n v="0"/>
    <n v="0"/>
    <n v="0"/>
    <s v="P1 Hardware / Software"/>
    <s v="Sales"/>
    <s v="Main"/>
    <n v="2987"/>
    <s v="Ventura"/>
    <b v="1"/>
    <m/>
  </r>
  <r>
    <x v="1"/>
    <x v="0"/>
    <s v="common/images/infoicons/opp-flag-clear_32x32.png"/>
    <s v="common/images/infoicons/Flag_Overridden.svg"/>
    <x v="0"/>
    <x v="64"/>
    <s v="CWiggins"/>
    <x v="8"/>
    <x v="126"/>
    <n v="107.99"/>
    <n v="18"/>
    <x v="0"/>
    <n v="0"/>
    <x v="0"/>
    <x v="0"/>
    <m/>
    <m/>
    <n v="35"/>
    <m/>
    <n v="0"/>
    <s v="Corporate"/>
    <s v="Isu Sahai"/>
    <s v="El Segundo"/>
    <s v="CA"/>
    <n v="0"/>
    <n v="107.99"/>
    <n v="0"/>
    <n v="0"/>
    <n v="0"/>
    <x v="1"/>
    <n v="0"/>
    <n v="0"/>
    <n v="107.99"/>
    <n v="0"/>
    <n v="0"/>
    <n v="0"/>
    <s v="P1 Hardware / Software"/>
    <s v="Sales"/>
    <s v="Maple Ave - Current Locatin"/>
    <n v="2989"/>
    <s v="Ventura"/>
    <b v="1"/>
    <m/>
  </r>
  <r>
    <x v="1"/>
    <x v="0"/>
    <s v="common/images/infoicons/opp-flag-clear_32x32.png"/>
    <s v="common/images/infoicons/Flag_Overridden.svg"/>
    <x v="0"/>
    <x v="64"/>
    <s v="CWiggins"/>
    <x v="34"/>
    <x v="127"/>
    <n v="2345.91"/>
    <n v="847.93"/>
    <x v="0"/>
    <n v="0"/>
    <x v="0"/>
    <x v="2"/>
    <m/>
    <m/>
    <n v="38"/>
    <m/>
    <n v="0"/>
    <s v="Corporate"/>
    <s v="Lennea Morris"/>
    <s v="Carpinteria"/>
    <s v="CA"/>
    <n v="0"/>
    <n v="2345.91"/>
    <n v="0"/>
    <n v="0"/>
    <n v="0"/>
    <x v="1"/>
    <n v="0"/>
    <n v="0"/>
    <n v="2035.91"/>
    <n v="310"/>
    <n v="0"/>
    <n v="0"/>
    <s v="P1 Hardware / Software"/>
    <s v="Sales"/>
    <s v="Main"/>
    <n v="2982"/>
    <s v="Ventura"/>
    <b v="1"/>
    <m/>
  </r>
  <r>
    <x v="1"/>
    <x v="0"/>
    <s v="common/images/infoicons/opp-flag-clear_32x32.png"/>
    <s v="common/images/infoicons/Status_CredsVaild.svg"/>
    <x v="6"/>
    <x v="64"/>
    <s v="CWiggins"/>
    <x v="23"/>
    <x v="128"/>
    <n v="349.25"/>
    <n v="101.22"/>
    <x v="0"/>
    <n v="100"/>
    <x v="9"/>
    <x v="0"/>
    <m/>
    <m/>
    <n v="51"/>
    <m/>
    <n v="0"/>
    <s v="Corporate"/>
    <s v="Choti Singh"/>
    <s v="North Hollywood"/>
    <s v="CA"/>
    <n v="0"/>
    <n v="0"/>
    <n v="0"/>
    <n v="349.25"/>
    <n v="0"/>
    <x v="1"/>
    <n v="0"/>
    <n v="0"/>
    <n v="349.25"/>
    <n v="0"/>
    <n v="0"/>
    <n v="0"/>
    <s v="P1 Hardware / Software"/>
    <s v="Sales"/>
    <s v="Main"/>
    <n v="2943"/>
    <s v="Ventura"/>
    <b v="1"/>
    <m/>
  </r>
  <r>
    <x v="1"/>
    <x v="0"/>
    <s v="common/images/infoicons/opp-flag-clear_32x32.png"/>
    <s v="common/images/infoicons/Flag_Overridden.svg"/>
    <x v="0"/>
    <x v="16"/>
    <s v="CWiggins"/>
    <x v="8"/>
    <x v="129"/>
    <n v="3075.3"/>
    <n v="687.54"/>
    <x v="0"/>
    <n v="80"/>
    <x v="1"/>
    <x v="0"/>
    <s v="Fri 03/29/2019 getting quote from Dell "/>
    <m/>
    <n v="34"/>
    <m/>
    <n v="0"/>
    <s v="Corporate"/>
    <s v="Isu Sahai"/>
    <s v="El Segundo"/>
    <s v="CA"/>
    <n v="0"/>
    <n v="3075.3"/>
    <n v="0"/>
    <n v="2460.2399999999998"/>
    <n v="0"/>
    <x v="1"/>
    <n v="0"/>
    <n v="0"/>
    <n v="3075.3"/>
    <n v="0"/>
    <n v="0"/>
    <n v="0"/>
    <s v="P1 Hardware / Software"/>
    <s v="Sales"/>
    <s v="Maple Ave - Current Locatin"/>
    <n v="2994"/>
    <s v="Ventura"/>
    <b v="1"/>
    <m/>
  </r>
  <r>
    <x v="1"/>
    <x v="0"/>
    <s v="common/images/infoicons/opp-flag-clear_32x32.png"/>
    <s v="common/images/infoicons/Flag_Overridden.svg"/>
    <x v="0"/>
    <x v="16"/>
    <s v="CWiggins"/>
    <x v="8"/>
    <x v="130"/>
    <n v="165.06"/>
    <n v="47.16"/>
    <x v="0"/>
    <n v="0"/>
    <x v="0"/>
    <x v="0"/>
    <m/>
    <m/>
    <n v="34"/>
    <m/>
    <n v="0"/>
    <s v="Corporate"/>
    <s v="Isu Sahai"/>
    <s v="El Segundo"/>
    <s v="CA"/>
    <n v="0"/>
    <n v="165.06"/>
    <n v="0"/>
    <n v="0"/>
    <n v="0"/>
    <x v="1"/>
    <n v="0"/>
    <n v="0"/>
    <n v="165.06"/>
    <n v="0"/>
    <n v="0"/>
    <n v="0"/>
    <s v="P1 Hardware / Software"/>
    <s v="Sales"/>
    <s v="Maple Ave - Current Locatin"/>
    <n v="2997"/>
    <s v="Ventura"/>
    <b v="1"/>
    <m/>
  </r>
  <r>
    <x v="1"/>
    <x v="0"/>
    <s v="common/images/infoicons/opp-flag-clear_32x32.png"/>
    <s v="common/images/infoicons/Flag_Overridden.svg"/>
    <x v="0"/>
    <x v="16"/>
    <s v="CWiggins"/>
    <x v="8"/>
    <x v="131"/>
    <n v="3241.9"/>
    <n v="150"/>
    <x v="0"/>
    <n v="0"/>
    <x v="0"/>
    <x v="0"/>
    <m/>
    <m/>
    <n v="34"/>
    <m/>
    <n v="0"/>
    <s v="Corporate"/>
    <s v="Isu Sahai"/>
    <s v="El Segundo"/>
    <s v="CA"/>
    <n v="0"/>
    <n v="3241.9"/>
    <n v="0"/>
    <n v="0"/>
    <n v="0"/>
    <x v="1"/>
    <n v="0"/>
    <n v="0"/>
    <n v="3241.9"/>
    <n v="0"/>
    <n v="0"/>
    <n v="0"/>
    <s v="P1 Hardware / Software"/>
    <s v="Sales"/>
    <s v="Maple Ave - Current Locatin"/>
    <n v="2995"/>
    <s v="Ventura"/>
    <b v="1"/>
    <m/>
  </r>
  <r>
    <x v="1"/>
    <x v="0"/>
    <s v="common/images/infoicons/opp-flag-clear_32x32.png"/>
    <s v="common/images/infoicons/Flag_Overridden.svg"/>
    <x v="0"/>
    <x v="16"/>
    <s v="CWiggins"/>
    <x v="48"/>
    <x v="93"/>
    <n v="2154.85"/>
    <n v="631.84"/>
    <x v="0"/>
    <n v="0"/>
    <x v="0"/>
    <x v="2"/>
    <m/>
    <m/>
    <n v="34"/>
    <m/>
    <n v="0"/>
    <s v="Corporate"/>
    <s v="Karyl Lynn Burns"/>
    <s v="Ventura"/>
    <s v="CA"/>
    <n v="0"/>
    <n v="2154.85"/>
    <n v="0"/>
    <n v="0"/>
    <n v="0"/>
    <x v="1"/>
    <n v="0"/>
    <n v="0"/>
    <n v="1954.85"/>
    <n v="200"/>
    <n v="0"/>
    <n v="0"/>
    <s v="P1 Hardware / Software"/>
    <s v="Sales"/>
    <s v="Main"/>
    <n v="2998"/>
    <s v="Hero Tech"/>
    <b v="1"/>
    <m/>
  </r>
  <r>
    <x v="1"/>
    <x v="0"/>
    <s v="common/images/infoicons/opp-flag-clear_32x32.png"/>
    <s v="common/images/infoicons/Flag_Overridden.svg"/>
    <x v="0"/>
    <x v="2"/>
    <s v="CWiggins"/>
    <x v="7"/>
    <x v="132"/>
    <n v="132.97"/>
    <n v="35.9"/>
    <x v="0"/>
    <n v="0"/>
    <x v="0"/>
    <x v="2"/>
    <m/>
    <m/>
    <n v="78"/>
    <m/>
    <n v="0"/>
    <s v="Corporate"/>
    <s v="Mariela Feldman"/>
    <s v="Lancaster"/>
    <s v="CA"/>
    <n v="0"/>
    <n v="132.97"/>
    <n v="0"/>
    <n v="0"/>
    <n v="0"/>
    <x v="1"/>
    <n v="0"/>
    <n v="0"/>
    <n v="132.97"/>
    <n v="0"/>
    <n v="0"/>
    <n v="0"/>
    <s v="P1 Hardware / Software"/>
    <s v="Sales"/>
    <s v="ACT - Lancaster"/>
    <n v="2855"/>
    <s v="Ventura"/>
    <b v="1"/>
    <m/>
  </r>
  <r>
    <x v="1"/>
    <x v="0"/>
    <s v="common/images/infoicons/opp-flag-clear_32x32.png"/>
    <s v="common/images/infoicons/Flag_Overridden.svg"/>
    <x v="0"/>
    <x v="2"/>
    <s v="CWiggins"/>
    <x v="7"/>
    <x v="133"/>
    <n v="1787.24"/>
    <n v="505.32"/>
    <x v="0"/>
    <n v="0"/>
    <x v="0"/>
    <x v="2"/>
    <s v="Mon 03/04/2019 Chad/Jasmine Sales Engineer "/>
    <m/>
    <n v="62"/>
    <m/>
    <n v="0"/>
    <s v="Corporate"/>
    <s v="Shannon Truque"/>
    <s v="Van Nuys"/>
    <s v="CA"/>
    <n v="0"/>
    <n v="1787.24"/>
    <n v="0"/>
    <n v="0"/>
    <n v="0"/>
    <x v="1"/>
    <n v="0"/>
    <n v="0"/>
    <n v="1587.24"/>
    <n v="200"/>
    <n v="0"/>
    <n v="0"/>
    <s v="P1 Hardware / Software"/>
    <s v="Sales"/>
    <s v="Main"/>
    <n v="2912"/>
    <s v="Ventura"/>
    <b v="1"/>
    <m/>
  </r>
  <r>
    <x v="1"/>
    <x v="0"/>
    <s v="common/images/infoicons/opp-flag-clear_32x32.png"/>
    <s v="common/images/infoicons/Flag_Overridden.svg"/>
    <x v="0"/>
    <x v="2"/>
    <s v="CWiggins"/>
    <x v="7"/>
    <x v="134"/>
    <n v="1739.66"/>
    <n v="503.5"/>
    <x v="0"/>
    <n v="0"/>
    <x v="0"/>
    <x v="2"/>
    <s v="Mon 03/04/2019 Chad/Jasmine Sales Engineer"/>
    <m/>
    <n v="63"/>
    <m/>
    <n v="0"/>
    <s v="Corporate"/>
    <s v="Shannon Truque"/>
    <s v="Riverside"/>
    <s v="CA"/>
    <n v="0"/>
    <n v="1739.66"/>
    <n v="0"/>
    <n v="0"/>
    <n v="0"/>
    <x v="1"/>
    <n v="0"/>
    <n v="0"/>
    <n v="1539.66"/>
    <n v="200"/>
    <n v="0"/>
    <n v="0"/>
    <s v="P1 Hardware / Software"/>
    <s v="Sales"/>
    <s v="ACT – Riverside"/>
    <n v="2911"/>
    <s v="Ventura"/>
    <b v="1"/>
    <m/>
  </r>
  <r>
    <x v="1"/>
    <x v="0"/>
    <s v="common/images/infoicons/opp-flag-clear_32x32.png"/>
    <s v="common/images/infoicons/Flag_Overridden.svg"/>
    <x v="0"/>
    <x v="2"/>
    <s v="CWiggins"/>
    <x v="7"/>
    <x v="135"/>
    <n v="2680.86"/>
    <n v="757.98"/>
    <x v="0"/>
    <n v="0"/>
    <x v="0"/>
    <x v="2"/>
    <s v="Mon 03/04/2019 Chad/ Jasmine Sales Engineer"/>
    <m/>
    <n v="62"/>
    <m/>
    <n v="0"/>
    <s v="Corporate"/>
    <s v="Shannon Truque"/>
    <s v="Van Nuys"/>
    <s v="CA"/>
    <n v="0"/>
    <n v="2680.86"/>
    <n v="0"/>
    <n v="0"/>
    <n v="0"/>
    <x v="1"/>
    <n v="0"/>
    <n v="0"/>
    <n v="2380.86"/>
    <n v="300"/>
    <n v="0"/>
    <n v="0"/>
    <s v="P1 Hardware / Software"/>
    <s v="Sales"/>
    <s v="Main"/>
    <n v="2913"/>
    <s v="Ventura"/>
    <b v="1"/>
    <m/>
  </r>
  <r>
    <x v="1"/>
    <x v="0"/>
    <s v="common/images/infoicons/opp-flag-clear_32x32.png"/>
    <s v="common/images/infoicons/Status_CredsNotVaild.svg"/>
    <x v="2"/>
    <x v="2"/>
    <s v="CWiggins"/>
    <x v="44"/>
    <x v="136"/>
    <n v="0"/>
    <n v="0"/>
    <x v="0"/>
    <n v="0"/>
    <x v="2"/>
    <x v="1"/>
    <m/>
    <m/>
    <n v="63"/>
    <m/>
    <n v="0"/>
    <s v="Corporate"/>
    <s v="Darcie Crandall"/>
    <s v="Newbury Park"/>
    <s v="CA"/>
    <n v="0"/>
    <n v="0"/>
    <n v="792"/>
    <n v="0"/>
    <n v="0"/>
    <x v="1"/>
    <n v="0"/>
    <n v="0"/>
    <n v="0"/>
    <n v="0"/>
    <n v="0"/>
    <n v="0"/>
    <s v="P1 Hardware / Software"/>
    <s v="Sales"/>
    <s v="Main"/>
    <n v="2910"/>
    <s v="Hero Tech"/>
    <b v="0"/>
    <m/>
  </r>
  <r>
    <x v="1"/>
    <x v="0"/>
    <s v="common/images/infoicons/opp-flag-clear_32x32.png"/>
    <s v="common/images/infoicons/Flag_Overridden.svg"/>
    <x v="0"/>
    <x v="2"/>
    <s v="CWiggins"/>
    <x v="25"/>
    <x v="137"/>
    <n v="4650"/>
    <n v="2325"/>
    <x v="4"/>
    <n v="0"/>
    <x v="0"/>
    <x v="1"/>
    <s v="Tue 03/12/2019 Meeting with James @ 10AM "/>
    <m/>
    <n v="224"/>
    <m/>
    <n v="0"/>
    <s v="Corporate"/>
    <s v="James deVos"/>
    <s v="Newbury Park"/>
    <s v="CA"/>
    <n v="0"/>
    <n v="4650"/>
    <n v="0"/>
    <n v="0"/>
    <n v="0"/>
    <x v="0"/>
    <n v="0"/>
    <n v="0"/>
    <n v="0"/>
    <n v="4650"/>
    <n v="0"/>
    <n v="0"/>
    <s v="P1 Hardware / Software"/>
    <s v="Sales"/>
    <s v="Main"/>
    <n v="2406"/>
    <s v="Hero Tech"/>
    <b v="1"/>
    <m/>
  </r>
  <r>
    <x v="1"/>
    <x v="0"/>
    <s v="common/images/infoicons/opp-flag-clear_32x32.png"/>
    <s v="common/images/infoicons/Flag_Overridden.svg"/>
    <x v="0"/>
    <x v="2"/>
    <s v="CWiggins"/>
    <x v="14"/>
    <x v="138"/>
    <n v="254.99"/>
    <n v="205"/>
    <x v="0"/>
    <n v="0"/>
    <x v="0"/>
    <x v="0"/>
    <m/>
    <m/>
    <n v="35"/>
    <m/>
    <n v="0"/>
    <s v="Corporate"/>
    <s v="Paula Coffman-Johs"/>
    <s v="Oxnard"/>
    <s v="CA"/>
    <n v="0"/>
    <n v="254.99"/>
    <n v="0"/>
    <n v="0"/>
    <n v="0"/>
    <x v="1"/>
    <n v="0"/>
    <n v="0"/>
    <n v="99.99"/>
    <n v="155"/>
    <n v="0"/>
    <n v="0"/>
    <s v="P1 Hardware / Software"/>
    <s v="Sales"/>
    <s v="Main"/>
    <n v="2990"/>
    <s v="Ventura"/>
    <b v="1"/>
    <m/>
  </r>
  <r>
    <x v="1"/>
    <x v="0"/>
    <s v="common/images/infoicons/opp-flag-clear_32x32.png"/>
    <s v="common/images/infoicons/Status_CredsNotVaild.svg"/>
    <x v="5"/>
    <x v="2"/>
    <s v="CWiggins"/>
    <x v="3"/>
    <x v="139"/>
    <n v="0"/>
    <n v="0"/>
    <x v="0"/>
    <n v="0"/>
    <x v="2"/>
    <x v="1"/>
    <m/>
    <m/>
    <n v="94"/>
    <m/>
    <n v="0"/>
    <s v="Corporate"/>
    <s v="Dave Jaskolski"/>
    <s v="Carpinteria"/>
    <s v="CA"/>
    <n v="0"/>
    <n v="0"/>
    <n v="0"/>
    <n v="0"/>
    <n v="0"/>
    <x v="0"/>
    <n v="0"/>
    <n v="0"/>
    <n v="0"/>
    <n v="0"/>
    <n v="0"/>
    <n v="0"/>
    <m/>
    <s v="Sales"/>
    <s v="Main"/>
    <n v="2787"/>
    <s v="Ventura"/>
    <b v="0"/>
    <m/>
  </r>
  <r>
    <x v="1"/>
    <x v="0"/>
    <s v="common/images/infoicons/opp-flag-clear_32x32.png"/>
    <s v="common/images/infoicons/Flag_Overridden.svg"/>
    <x v="0"/>
    <x v="2"/>
    <s v="CWiggins"/>
    <x v="8"/>
    <x v="140"/>
    <n v="239.99"/>
    <n v="35"/>
    <x v="0"/>
    <n v="0"/>
    <x v="0"/>
    <x v="2"/>
    <s v="Wed 03/27/2019 send f/u"/>
    <m/>
    <n v="49"/>
    <m/>
    <n v="0"/>
    <s v="Corporate"/>
    <s v="Isu Sahai"/>
    <s v="El Segundo"/>
    <s v="CA"/>
    <n v="0"/>
    <n v="239.99"/>
    <n v="0"/>
    <n v="0"/>
    <n v="0"/>
    <x v="1"/>
    <n v="0"/>
    <n v="0"/>
    <n v="239.99"/>
    <n v="0"/>
    <n v="0"/>
    <n v="0"/>
    <s v="P1 Hardware / Software"/>
    <s v="Sales"/>
    <s v="Maple Ave - Current Locatin"/>
    <n v="2955"/>
    <s v="Ventura"/>
    <b v="1"/>
    <m/>
  </r>
  <r>
    <x v="1"/>
    <x v="0"/>
    <s v="common/images/infoicons/opp-flag-clear_32x32.png"/>
    <s v="common/images/infoicons/Flag_Overridden.svg"/>
    <x v="0"/>
    <x v="2"/>
    <s v="CWiggins"/>
    <x v="8"/>
    <x v="141"/>
    <n v="2579.4"/>
    <n v="150"/>
    <x v="0"/>
    <n v="80"/>
    <x v="1"/>
    <x v="0"/>
    <m/>
    <m/>
    <n v="36"/>
    <m/>
    <n v="0"/>
    <s v="Corporate"/>
    <s v="Isu Sahai"/>
    <s v="El Segundo"/>
    <s v="CA"/>
    <n v="0"/>
    <n v="2579.4"/>
    <n v="0"/>
    <n v="2063.52"/>
    <n v="0"/>
    <x v="1"/>
    <n v="0"/>
    <n v="0"/>
    <n v="2579.4"/>
    <n v="0"/>
    <n v="0"/>
    <n v="0"/>
    <s v="P1 Hardware / Software"/>
    <s v="Sales"/>
    <s v="Maple Ave - Current Locatin"/>
    <n v="2985"/>
    <s v="Ventura"/>
    <b v="1"/>
    <m/>
  </r>
  <r>
    <x v="1"/>
    <x v="0"/>
    <s v="common/images/infoicons/opp-flag-clear_32x32.png"/>
    <s v="common/images/infoicons/Flag_Overridden.svg"/>
    <x v="0"/>
    <x v="2"/>
    <s v="CWiggins"/>
    <x v="8"/>
    <x v="142"/>
    <n v="179"/>
    <n v="30"/>
    <x v="0"/>
    <n v="0"/>
    <x v="0"/>
    <x v="0"/>
    <m/>
    <m/>
    <n v="38"/>
    <m/>
    <n v="0"/>
    <s v="Corporate"/>
    <s v="Isu Sahai"/>
    <s v="El Segundo"/>
    <s v="CA"/>
    <n v="0"/>
    <n v="179"/>
    <n v="0"/>
    <n v="0"/>
    <n v="0"/>
    <x v="1"/>
    <n v="0"/>
    <n v="0"/>
    <n v="179"/>
    <n v="0"/>
    <n v="0"/>
    <n v="0"/>
    <s v="P1 Hardware / Software"/>
    <s v="Sales"/>
    <s v="Maple Ave - Current Locatin"/>
    <n v="2981"/>
    <s v="Ventura"/>
    <b v="1"/>
    <m/>
  </r>
  <r>
    <x v="1"/>
    <x v="0"/>
    <s v="common/images/infoicons/opp-flag-clear_32x32.png"/>
    <s v="common/images/infoicons/Status_CredsVaild.svg"/>
    <x v="4"/>
    <x v="2"/>
    <s v="CWiggins"/>
    <x v="20"/>
    <x v="93"/>
    <n v="695"/>
    <n v="320"/>
    <x v="0"/>
    <n v="0"/>
    <x v="2"/>
    <x v="0"/>
    <s v="Mon 04/01/2019 follow up "/>
    <m/>
    <n v="66"/>
    <m/>
    <n v="0"/>
    <s v="Corporate"/>
    <s v="Jen Hodges"/>
    <s v="Santa Barbara"/>
    <s v="CA"/>
    <n v="0"/>
    <n v="0"/>
    <n v="0"/>
    <n v="0"/>
    <n v="0"/>
    <x v="1"/>
    <n v="0"/>
    <n v="0"/>
    <n v="495"/>
    <n v="200"/>
    <n v="0"/>
    <n v="0"/>
    <s v="P1 Hardware / Software"/>
    <s v="Sales"/>
    <s v="Main"/>
    <n v="2895"/>
    <s v="Ventura"/>
    <b v="0"/>
    <m/>
  </r>
  <r>
    <x v="1"/>
    <x v="0"/>
    <s v="common/images/infoicons/opp-flag-clear_32x32.png"/>
    <s v="common/images/infoicons/Flag_Overridden.svg"/>
    <x v="0"/>
    <x v="2"/>
    <s v="CWiggins"/>
    <x v="45"/>
    <x v="143"/>
    <n v="4680"/>
    <n v="780"/>
    <x v="0"/>
    <n v="0"/>
    <x v="0"/>
    <x v="1"/>
    <s v="Fri 03/22/2019 Call Follow up to cabling proposal sent over"/>
    <m/>
    <n v="59"/>
    <m/>
    <n v="0"/>
    <s v="Corporate"/>
    <s v="Steven Ortmann"/>
    <s v="Thousand Oaks"/>
    <s v="CA"/>
    <n v="0"/>
    <n v="4680"/>
    <n v="0"/>
    <n v="0"/>
    <n v="0"/>
    <x v="1"/>
    <n v="0"/>
    <n v="0"/>
    <n v="0"/>
    <n v="4680"/>
    <n v="0"/>
    <n v="0"/>
    <s v="P1 Hardware / Software"/>
    <s v="Sales"/>
    <s v="Main"/>
    <n v="2919"/>
    <s v="Hero Tech"/>
    <b v="1"/>
    <m/>
  </r>
  <r>
    <x v="1"/>
    <x v="0"/>
    <s v="common/images/infoicons/opp-flag-clear_32x32.png"/>
    <s v="common/images/infoicons/Flag_Overridden.svg"/>
    <x v="0"/>
    <x v="2"/>
    <s v="CWiggins"/>
    <x v="23"/>
    <x v="144"/>
    <n v="262.99"/>
    <n v="187.01"/>
    <x v="0"/>
    <n v="0"/>
    <x v="0"/>
    <x v="2"/>
    <m/>
    <m/>
    <n v="59"/>
    <m/>
    <n v="0"/>
    <s v="Corporate"/>
    <s v="Choti Singh"/>
    <s v="North Hollywood"/>
    <s v="CA"/>
    <n v="0"/>
    <n v="262.99"/>
    <n v="0"/>
    <n v="0"/>
    <n v="0"/>
    <x v="1"/>
    <n v="0"/>
    <n v="0"/>
    <n v="107.99"/>
    <n v="155"/>
    <n v="0"/>
    <n v="0"/>
    <s v="P1 Hardware / Software"/>
    <s v="Sales"/>
    <s v="Main"/>
    <n v="2921"/>
    <s v="Ventura"/>
    <b v="1"/>
    <m/>
  </r>
  <r>
    <x v="1"/>
    <x v="0"/>
    <s v="common/images/infoicons/opp-flag-clear_32x32.png"/>
    <s v="common/images/infoicons/Status_CredsVaild.svg"/>
    <x v="4"/>
    <x v="2"/>
    <s v="CWiggins"/>
    <x v="43"/>
    <x v="145"/>
    <n v="4406"/>
    <n v="2174.6"/>
    <x v="0"/>
    <n v="80"/>
    <x v="1"/>
    <x v="1"/>
    <s v="Mon 03/18/2019 send email to f/u on timeline "/>
    <m/>
    <n v="131"/>
    <m/>
    <n v="0"/>
    <s v="Corporate"/>
    <s v="Elyssa Henderson"/>
    <s v="Port Hueneme"/>
    <s v="CA"/>
    <n v="0"/>
    <n v="0"/>
    <n v="0"/>
    <n v="3524.8"/>
    <n v="0"/>
    <x v="1"/>
    <n v="0"/>
    <n v="0"/>
    <n v="3406"/>
    <n v="1000"/>
    <n v="0"/>
    <n v="0"/>
    <s v="P1 Hardware / Software"/>
    <s v="Sales"/>
    <s v="Main"/>
    <n v="2693"/>
    <s v="Ventura"/>
    <b v="0"/>
    <m/>
  </r>
  <r>
    <x v="1"/>
    <x v="0"/>
    <s v="common/images/infoicons/opp-flag-clear_32x32.png"/>
    <s v="common/images/infoicons/Status_CredsVaild.svg"/>
    <x v="4"/>
    <x v="2"/>
    <s v="CWiggins"/>
    <x v="43"/>
    <x v="146"/>
    <n v="1792.39"/>
    <n v="577.09"/>
    <x v="2"/>
    <n v="20"/>
    <x v="10"/>
    <x v="1"/>
    <m/>
    <m/>
    <n v="169"/>
    <m/>
    <n v="0"/>
    <s v="Corporate"/>
    <s v="Kathi Niffenegger"/>
    <s v="Port Hueneme"/>
    <s v="CA"/>
    <n v="0"/>
    <n v="0"/>
    <n v="0"/>
    <n v="358.47800000000001"/>
    <n v="0"/>
    <x v="1"/>
    <n v="0"/>
    <n v="0"/>
    <n v="1482.39"/>
    <n v="310"/>
    <n v="0"/>
    <n v="0"/>
    <s v="P1 Hardware / Software"/>
    <s v="Sales"/>
    <s v="Main"/>
    <n v="2577"/>
    <s v="Ventura"/>
    <b v="0"/>
    <m/>
  </r>
  <r>
    <x v="1"/>
    <x v="0"/>
    <s v="common/images/infoicons/opp-flag-clear_32x32.png"/>
    <s v="common/images/infoicons/Status_CredsVaild.svg"/>
    <x v="4"/>
    <x v="2"/>
    <s v="CWiggins"/>
    <x v="30"/>
    <x v="147"/>
    <n v="200"/>
    <n v="125"/>
    <x v="0"/>
    <n v="0"/>
    <x v="2"/>
    <x v="2"/>
    <s v="Wed 03/06/2019 TEST Activity"/>
    <m/>
    <n v="89"/>
    <m/>
    <n v="0"/>
    <s v="Corporate"/>
    <s v="Kalie Matisek"/>
    <s v="Ventura"/>
    <s v="CA"/>
    <n v="0"/>
    <n v="0"/>
    <n v="0"/>
    <n v="0"/>
    <n v="0"/>
    <x v="1"/>
    <n v="0"/>
    <n v="0"/>
    <n v="0"/>
    <n v="200"/>
    <n v="0"/>
    <n v="0"/>
    <s v="P1 Hardware / Software"/>
    <s v="Sales"/>
    <s v="Main"/>
    <n v="2815"/>
    <s v="Ventura"/>
    <b v="0"/>
    <m/>
  </r>
  <r>
    <x v="1"/>
    <x v="0"/>
    <s v="common/images/infoicons/opp-flag-clear_32x32.png"/>
    <s v="common/images/infoicons/Status_CredsNotVaild.svg"/>
    <x v="2"/>
    <x v="2"/>
    <s v="CWiggins"/>
    <x v="30"/>
    <x v="148"/>
    <n v="0"/>
    <n v="0"/>
    <x v="0"/>
    <n v="0"/>
    <x v="2"/>
    <x v="1"/>
    <m/>
    <m/>
    <n v="85"/>
    <m/>
    <n v="0"/>
    <s v="Corporate"/>
    <s v="Kalie Matisek"/>
    <s v="Ventura"/>
    <s v="CA"/>
    <n v="0"/>
    <n v="0"/>
    <n v="1188"/>
    <n v="0"/>
    <n v="0"/>
    <x v="1"/>
    <n v="0"/>
    <n v="0"/>
    <n v="0"/>
    <n v="0"/>
    <n v="0"/>
    <n v="0"/>
    <s v="P1 Hardware / Software"/>
    <s v="Sales"/>
    <s v="Main"/>
    <n v="2838"/>
    <s v="Ventura"/>
    <b v="0"/>
    <m/>
  </r>
  <r>
    <x v="1"/>
    <x v="0"/>
    <s v="common/images/infoicons/opp-flag-clear_32x32.png"/>
    <s v="common/images/infoicons/Status_CredsNotVaild.svg"/>
    <x v="1"/>
    <x v="2"/>
    <s v="CWiggins"/>
    <x v="49"/>
    <x v="149"/>
    <n v="0"/>
    <n v="0"/>
    <x v="4"/>
    <n v="80"/>
    <x v="1"/>
    <x v="0"/>
    <s v="Tue 03/12/2019 Call Jennifer"/>
    <m/>
    <n v="162"/>
    <m/>
    <n v="0"/>
    <s v="Corporate"/>
    <s v="Jennifer Willis"/>
    <s v="Ventura"/>
    <s v="CA"/>
    <n v="0"/>
    <n v="0"/>
    <n v="6150"/>
    <n v="0"/>
    <n v="0"/>
    <x v="0"/>
    <n v="0"/>
    <n v="0"/>
    <n v="0"/>
    <n v="0"/>
    <n v="0"/>
    <n v="0"/>
    <s v="P1 Hardware / Software"/>
    <s v="Admin"/>
    <s v="Main"/>
    <n v="2612"/>
    <s v="Ventura"/>
    <b v="0"/>
    <m/>
  </r>
  <r>
    <x v="5"/>
    <x v="0"/>
    <s v="common/images/infoicons/opp-flag-clear_32x32.png"/>
    <s v="common/images/infoicons/Flag_Overridden.svg"/>
    <x v="0"/>
    <x v="65"/>
    <s v="CWiggins"/>
    <x v="50"/>
    <x v="150"/>
    <n v="310"/>
    <n v="310"/>
    <x v="0"/>
    <n v="0"/>
    <x v="0"/>
    <x v="0"/>
    <s v="Wed 04/03/2019 create invoice with chad"/>
    <m/>
    <n v="31"/>
    <m/>
    <n v="0"/>
    <s v="Corporate"/>
    <s v="Kat  Cryers"/>
    <s v="Ventura, "/>
    <s v="CA"/>
    <n v="0"/>
    <n v="310"/>
    <n v="0"/>
    <n v="0"/>
    <n v="0"/>
    <x v="1"/>
    <n v="0"/>
    <n v="0"/>
    <n v="0"/>
    <n v="310"/>
    <n v="0"/>
    <n v="0"/>
    <s v="P1 Hardware / Software"/>
    <s v="Sales"/>
    <s v="Main"/>
    <n v="3006"/>
    <s v="Corporate"/>
    <b v="1"/>
    <m/>
  </r>
  <r>
    <x v="5"/>
    <x v="0"/>
    <s v="common/images/infoicons/opp-flag-clear_32x32.png"/>
    <s v="common/images/infoicons/Flag_Overridden.svg"/>
    <x v="0"/>
    <x v="65"/>
    <s v="CWiggins"/>
    <x v="8"/>
    <x v="151"/>
    <n v="576"/>
    <n v="96"/>
    <x v="0"/>
    <n v="0"/>
    <x v="0"/>
    <x v="0"/>
    <m/>
    <m/>
    <n v="31"/>
    <m/>
    <n v="0"/>
    <s v="Corporate"/>
    <s v="Isu Sahai"/>
    <s v="El Segundo"/>
    <s v="CA"/>
    <n v="0"/>
    <n v="576"/>
    <n v="0"/>
    <n v="0"/>
    <n v="0"/>
    <x v="1"/>
    <n v="0"/>
    <n v="0"/>
    <n v="0"/>
    <n v="576"/>
    <n v="0"/>
    <n v="0"/>
    <s v="P1 Hardware / Software"/>
    <s v="Sales"/>
    <s v="Maple Ave - Current Locatin"/>
    <n v="3002"/>
    <s v="Ventura"/>
    <b v="1"/>
    <m/>
  </r>
  <r>
    <x v="5"/>
    <x v="0"/>
    <s v="common/images/infoicons/opp-flag-clear_32x32.png"/>
    <s v="common/images/infoicons/Flag_Overridden.svg"/>
    <x v="0"/>
    <x v="65"/>
    <s v="CWiggins"/>
    <x v="34"/>
    <x v="152"/>
    <n v="2400.91"/>
    <n v="863.94"/>
    <x v="0"/>
    <n v="80"/>
    <x v="1"/>
    <x v="2"/>
    <m/>
    <m/>
    <n v="31"/>
    <m/>
    <n v="0"/>
    <s v="Corporate"/>
    <s v="Lennea Morris"/>
    <s v="Carpinteria"/>
    <s v="CA"/>
    <n v="0"/>
    <n v="2400.91"/>
    <n v="0"/>
    <n v="1920.7280000000001"/>
    <n v="0"/>
    <x v="1"/>
    <n v="0"/>
    <n v="0"/>
    <n v="2090.91"/>
    <n v="310"/>
    <n v="0"/>
    <n v="0"/>
    <s v="P1 Hardware / Software"/>
    <s v="Sales"/>
    <s v="Main"/>
    <n v="3004"/>
    <s v="Ventura"/>
    <b v="1"/>
    <m/>
  </r>
  <r>
    <x v="5"/>
    <x v="0"/>
    <s v="common/images/infoicons/opp-flag-clear_32x32.png"/>
    <s v="common/images/infoicons/Flag_Overridden.svg"/>
    <x v="0"/>
    <x v="65"/>
    <s v="CWiggins"/>
    <x v="48"/>
    <x v="153"/>
    <n v="51.99"/>
    <n v="0"/>
    <x v="0"/>
    <n v="0"/>
    <x v="0"/>
    <x v="0"/>
    <m/>
    <m/>
    <n v="33"/>
    <m/>
    <n v="0"/>
    <s v="Corporate"/>
    <s v="Karyl Lynn Burns"/>
    <s v="Ventura"/>
    <s v="CA"/>
    <n v="0"/>
    <n v="51.99"/>
    <n v="0"/>
    <n v="0"/>
    <n v="0"/>
    <x v="1"/>
    <n v="0"/>
    <n v="0"/>
    <n v="51.99"/>
    <n v="0"/>
    <n v="0"/>
    <n v="0"/>
    <s v="P1 Hardware / Software"/>
    <s v="Sales"/>
    <s v="Main"/>
    <n v="3000"/>
    <s v="Hero Tech"/>
    <b v="1"/>
    <m/>
  </r>
  <r>
    <x v="5"/>
    <x v="0"/>
    <s v="common/images/infoicons/opp-flag-clear_32x32.png"/>
    <s v="common/images/infoicons/Flag_Overridden.svg"/>
    <x v="0"/>
    <x v="65"/>
    <s v="CWiggins"/>
    <x v="30"/>
    <x v="37"/>
    <n v="705"/>
    <n v="270"/>
    <x v="0"/>
    <n v="0"/>
    <x v="0"/>
    <x v="2"/>
    <m/>
    <m/>
    <n v="33"/>
    <m/>
    <n v="0"/>
    <s v="Corporate"/>
    <s v="Kalie Matisek"/>
    <s v="Ventura"/>
    <s v="CA"/>
    <n v="0"/>
    <n v="705"/>
    <n v="0"/>
    <n v="0"/>
    <n v="0"/>
    <x v="1"/>
    <n v="0"/>
    <n v="0"/>
    <n v="505"/>
    <n v="200"/>
    <n v="0"/>
    <n v="0"/>
    <s v="P1 Hardware / Software"/>
    <s v="Sales"/>
    <s v="Main"/>
    <n v="3001"/>
    <s v="Ventura"/>
    <b v="1"/>
    <m/>
  </r>
  <r>
    <x v="5"/>
    <x v="0"/>
    <s v="common/images/infoicons/opp-flag-clear_32x32.png"/>
    <s v="common/images/infoicons/Flag_Overridden.svg"/>
    <x v="0"/>
    <x v="66"/>
    <s v="CWiggins"/>
    <x v="8"/>
    <x v="154"/>
    <n v="1537.65"/>
    <n v="343.77"/>
    <x v="0"/>
    <n v="0"/>
    <x v="0"/>
    <x v="0"/>
    <m/>
    <m/>
    <n v="28"/>
    <m/>
    <n v="0"/>
    <s v="Corporate"/>
    <s v="Isu Sahai"/>
    <s v="El Segundo"/>
    <s v="CA"/>
    <n v="0"/>
    <n v="1537.65"/>
    <n v="0"/>
    <n v="0"/>
    <n v="0"/>
    <x v="1"/>
    <n v="0"/>
    <n v="0"/>
    <n v="1537.65"/>
    <n v="0"/>
    <n v="0"/>
    <n v="0"/>
    <s v="P1 Hardware / Software"/>
    <s v="Sales"/>
    <s v="Maple Ave - Current Locatin"/>
    <n v="3012"/>
    <s v="Ventura"/>
    <b v="1"/>
    <m/>
  </r>
  <r>
    <x v="5"/>
    <x v="0"/>
    <s v="common/images/infoicons/opp-flag-clear_32x32.png"/>
    <s v="common/images/infoicons/Flag_Overridden.svg"/>
    <x v="0"/>
    <x v="67"/>
    <s v="CWiggins"/>
    <x v="8"/>
    <x v="155"/>
    <n v="1225"/>
    <n v="367.5"/>
    <x v="0"/>
    <n v="0"/>
    <x v="0"/>
    <x v="0"/>
    <m/>
    <m/>
    <n v="27"/>
    <m/>
    <n v="0"/>
    <s v="Corporate"/>
    <s v="Isu Sahai"/>
    <s v="El Segundo"/>
    <s v="CA"/>
    <n v="0"/>
    <n v="1225"/>
    <n v="0"/>
    <n v="0"/>
    <n v="0"/>
    <x v="1"/>
    <n v="0"/>
    <n v="0"/>
    <n v="1225"/>
    <n v="0"/>
    <n v="0"/>
    <n v="0"/>
    <s v="P1 Hardware / Software"/>
    <s v="Sales"/>
    <s v="Maple Ave - Current Locatin"/>
    <n v="3015"/>
    <s v="Ventura"/>
    <b v="1"/>
    <m/>
  </r>
  <r>
    <x v="5"/>
    <x v="0"/>
    <s v="common/images/infoicons/opp-flag-clear_32x32.png"/>
    <s v="common/images/infoicons/Flag_Overridden.svg"/>
    <x v="0"/>
    <x v="67"/>
    <s v="CWiggins"/>
    <x v="34"/>
    <x v="156"/>
    <n v="1557.99"/>
    <n v="518.04"/>
    <x v="0"/>
    <n v="0"/>
    <x v="0"/>
    <x v="2"/>
    <m/>
    <m/>
    <n v="27"/>
    <m/>
    <n v="0"/>
    <s v="Corporate"/>
    <s v="Lennea Morris"/>
    <s v="Carpinteria"/>
    <s v="CA"/>
    <n v="0"/>
    <n v="1557.99"/>
    <n v="0"/>
    <n v="0"/>
    <n v="0"/>
    <x v="1"/>
    <n v="0"/>
    <n v="0"/>
    <n v="1247.99"/>
    <n v="310"/>
    <n v="0"/>
    <n v="0"/>
    <s v="P1 Hardware / Software"/>
    <s v="Sales"/>
    <s v="Main"/>
    <n v="3013"/>
    <s v="Ventura"/>
    <b v="1"/>
    <m/>
  </r>
  <r>
    <x v="5"/>
    <x v="0"/>
    <s v="common/images/infoicons/opp-flag-clear_32x32.png"/>
    <s v="common/images/infoicons/Flag_Overridden.svg"/>
    <x v="0"/>
    <x v="68"/>
    <s v="CWiggins"/>
    <x v="16"/>
    <x v="117"/>
    <n v="360"/>
    <n v="180"/>
    <x v="5"/>
    <n v="0"/>
    <x v="0"/>
    <x v="0"/>
    <m/>
    <m/>
    <n v="25"/>
    <m/>
    <n v="0"/>
    <s v="Corporate"/>
    <s v="Craig Reibenspies"/>
    <m/>
    <m/>
    <n v="0"/>
    <n v="360"/>
    <n v="0"/>
    <n v="0"/>
    <n v="0"/>
    <x v="1"/>
    <n v="0"/>
    <n v="0"/>
    <n v="360"/>
    <n v="0"/>
    <n v="0"/>
    <n v="0"/>
    <s v="P1 Hardware / Software"/>
    <s v="Sales"/>
    <m/>
    <n v="3024"/>
    <s v="Ventura"/>
    <b v="1"/>
    <m/>
  </r>
  <r>
    <x v="5"/>
    <x v="0"/>
    <s v="common/images/infoicons/opp-flag-clear_32x32.png"/>
    <s v="common/images/infoicons/Flag_Overridden.svg"/>
    <x v="0"/>
    <x v="68"/>
    <s v="CWiggins"/>
    <x v="51"/>
    <x v="157"/>
    <n v="181.48"/>
    <n v="89.74"/>
    <x v="5"/>
    <n v="0"/>
    <x v="0"/>
    <x v="0"/>
    <m/>
    <m/>
    <n v="25"/>
    <m/>
    <n v="0"/>
    <s v="Corporate"/>
    <s v="Terry Quinones"/>
    <s v="Oxnard"/>
    <s v="CA"/>
    <n v="0"/>
    <n v="181.48"/>
    <n v="0"/>
    <n v="0"/>
    <n v="0"/>
    <x v="1"/>
    <n v="0"/>
    <n v="0"/>
    <n v="181.48"/>
    <n v="0"/>
    <n v="0"/>
    <n v="0"/>
    <s v="P1 Hardware / Software"/>
    <s v="Sales"/>
    <s v="Main"/>
    <n v="3025"/>
    <s v="Ventura"/>
    <b v="1"/>
    <m/>
  </r>
  <r>
    <x v="5"/>
    <x v="0"/>
    <s v="common/images/infoicons/opp-flag-clear_32x32.png"/>
    <s v="common/images/infoicons/Flag_Overridden.svg"/>
    <x v="0"/>
    <x v="69"/>
    <s v="CWiggins"/>
    <x v="24"/>
    <x v="157"/>
    <n v="212.64"/>
    <n v="106.32"/>
    <x v="5"/>
    <n v="0"/>
    <x v="0"/>
    <x v="0"/>
    <m/>
    <m/>
    <n v="25"/>
    <m/>
    <n v="0"/>
    <s v="Corporate"/>
    <s v="Tony Burns"/>
    <s v="Cheektowaga"/>
    <s v="NY"/>
    <n v="0"/>
    <n v="212.64"/>
    <n v="0"/>
    <n v="0"/>
    <n v="0"/>
    <x v="1"/>
    <n v="0"/>
    <n v="0"/>
    <n v="212.64"/>
    <n v="0"/>
    <n v="0"/>
    <n v="0"/>
    <s v="P1 Hardware / Software"/>
    <s v="Sales"/>
    <s v="New York"/>
    <n v="3023"/>
    <s v="Ventura"/>
    <b v="1"/>
    <m/>
  </r>
  <r>
    <x v="5"/>
    <x v="0"/>
    <s v="common/images/infoicons/opp-flag-clear_32x32.png"/>
    <s v="common/images/infoicons/Flag_Overridden.svg"/>
    <x v="0"/>
    <x v="69"/>
    <s v="CWiggins"/>
    <x v="25"/>
    <x v="158"/>
    <n v="15.45"/>
    <n v="4.43"/>
    <x v="0"/>
    <n v="0"/>
    <x v="0"/>
    <x v="0"/>
    <m/>
    <m/>
    <n v="27"/>
    <m/>
    <n v="0"/>
    <s v="Corporate"/>
    <s v="James deVos"/>
    <s v="Newbury Park"/>
    <s v="CA"/>
    <n v="0"/>
    <n v="15.45"/>
    <n v="0"/>
    <n v="0"/>
    <n v="0"/>
    <x v="1"/>
    <n v="0"/>
    <n v="0"/>
    <n v="15.45"/>
    <n v="0"/>
    <n v="0"/>
    <n v="0"/>
    <s v="P1 Hardware / Software"/>
    <s v="Sales"/>
    <s v="Main"/>
    <n v="3022"/>
    <s v="Hero Tech"/>
    <b v="1"/>
    <m/>
  </r>
  <r>
    <x v="5"/>
    <x v="0"/>
    <s v="common/images/infoicons/opp-flag-clear_32x32.png"/>
    <s v="common/images/infoicons/Flag_Overridden.svg"/>
    <x v="0"/>
    <x v="70"/>
    <s v="CWiggins"/>
    <x v="14"/>
    <x v="159"/>
    <n v="792.92"/>
    <n v="226.55"/>
    <x v="0"/>
    <n v="0"/>
    <x v="0"/>
    <x v="0"/>
    <m/>
    <m/>
    <n v="22"/>
    <m/>
    <n v="0"/>
    <s v="Corporate"/>
    <s v="Hernan Espinosa"/>
    <s v="Oxnard"/>
    <s v="CA"/>
    <n v="0"/>
    <n v="792.92"/>
    <n v="0"/>
    <n v="0"/>
    <n v="0"/>
    <x v="1"/>
    <n v="0"/>
    <n v="0"/>
    <n v="792.92"/>
    <n v="0"/>
    <n v="0"/>
    <n v="0"/>
    <s v="P1 Hardware / Software"/>
    <s v="Sales"/>
    <s v="Main"/>
    <n v="3032"/>
    <s v="Ventura"/>
    <b v="1"/>
    <m/>
  </r>
  <r>
    <x v="5"/>
    <x v="0"/>
    <s v="common/images/infoicons/opp-flag-clear_32x32.png"/>
    <s v="common/images/infoicons/Flag_Overridden.svg"/>
    <x v="0"/>
    <x v="70"/>
    <s v="CWiggins"/>
    <x v="8"/>
    <x v="140"/>
    <n v="239.99"/>
    <n v="35"/>
    <x v="0"/>
    <n v="0"/>
    <x v="0"/>
    <x v="0"/>
    <m/>
    <m/>
    <n v="22"/>
    <m/>
    <n v="0"/>
    <s v="Corporate"/>
    <s v="Isu Sahai"/>
    <s v="El Segundo"/>
    <s v="CA"/>
    <n v="0"/>
    <n v="239.99"/>
    <n v="0"/>
    <n v="0"/>
    <n v="0"/>
    <x v="1"/>
    <n v="0"/>
    <n v="0"/>
    <n v="239.99"/>
    <n v="0"/>
    <n v="0"/>
    <n v="0"/>
    <s v="P1 Hardware / Software"/>
    <s v="Sales"/>
    <s v="Maple Ave - Current Locatin"/>
    <n v="3040"/>
    <s v="Ventura"/>
    <b v="1"/>
    <m/>
  </r>
  <r>
    <x v="5"/>
    <x v="0"/>
    <s v="common/images/infoicons/opp-flag-clear_32x32.png"/>
    <s v="common/images/infoicons/Flag_Overridden.svg"/>
    <x v="0"/>
    <x v="70"/>
    <s v="CWiggins"/>
    <x v="8"/>
    <x v="160"/>
    <n v="179.97"/>
    <n v="30"/>
    <x v="0"/>
    <n v="0"/>
    <x v="0"/>
    <x v="0"/>
    <m/>
    <m/>
    <n v="22"/>
    <m/>
    <n v="0"/>
    <s v="Corporate"/>
    <s v="Chuck Shehadi"/>
    <s v="El Segundo"/>
    <s v="CA"/>
    <n v="0"/>
    <n v="179.97"/>
    <n v="0"/>
    <n v="0"/>
    <n v="0"/>
    <x v="1"/>
    <n v="0"/>
    <n v="0"/>
    <n v="179.97"/>
    <n v="0"/>
    <n v="0"/>
    <n v="0"/>
    <s v="P1 Hardware / Software"/>
    <s v="Sales"/>
    <s v="Maple Ave - Current Locatin"/>
    <n v="3041"/>
    <s v="Ventura"/>
    <b v="1"/>
    <m/>
  </r>
  <r>
    <x v="5"/>
    <x v="0"/>
    <s v="common/images/infoicons/opp-flag-clear_32x32.png"/>
    <s v="common/images/infoicons/Flag_Overridden.svg"/>
    <x v="0"/>
    <x v="71"/>
    <s v="CWiggins"/>
    <x v="23"/>
    <x v="161"/>
    <n v="707.19"/>
    <n v="309.2"/>
    <x v="0"/>
    <n v="0"/>
    <x v="0"/>
    <x v="2"/>
    <m/>
    <m/>
    <n v="21"/>
    <m/>
    <n v="0"/>
    <s v="Corporate"/>
    <s v="Choti Singh"/>
    <s v="North Hollywood"/>
    <s v="CA"/>
    <n v="0"/>
    <n v="707.19"/>
    <n v="0"/>
    <n v="0"/>
    <n v="0"/>
    <x v="1"/>
    <n v="0"/>
    <n v="0"/>
    <n v="207.19"/>
    <n v="500"/>
    <n v="0"/>
    <n v="0"/>
    <s v="P1 Hardware / Software"/>
    <s v="Sales"/>
    <s v="Main"/>
    <n v="3043"/>
    <s v="Ventura"/>
    <b v="1"/>
    <m/>
  </r>
  <r>
    <x v="5"/>
    <x v="0"/>
    <s v="common/images/infoicons/opp-flag-clear_32x32.png"/>
    <s v="common/images/infoicons/Flag_Overridden.svg"/>
    <x v="0"/>
    <x v="72"/>
    <s v="CWiggins"/>
    <x v="8"/>
    <x v="162"/>
    <n v="465"/>
    <n v="235"/>
    <x v="0"/>
    <n v="0"/>
    <x v="0"/>
    <x v="2"/>
    <m/>
    <m/>
    <n v="27"/>
    <m/>
    <n v="0"/>
    <s v="Corporate"/>
    <s v="Isu Sahai"/>
    <s v="El Segundo"/>
    <s v="CA"/>
    <n v="0"/>
    <n v="465"/>
    <n v="0"/>
    <n v="0"/>
    <n v="0"/>
    <x v="1"/>
    <n v="0"/>
    <n v="0"/>
    <n v="0"/>
    <n v="465"/>
    <n v="0"/>
    <n v="0"/>
    <s v="P1 Hardware / Software"/>
    <s v="Sales"/>
    <s v="Maple Ave - Current Locatin"/>
    <n v="3016"/>
    <s v="Ventura"/>
    <b v="1"/>
    <m/>
  </r>
  <r>
    <x v="5"/>
    <x v="0"/>
    <s v="common/images/infoicons/opp-flag-clear_32x32.png"/>
    <s v="common/images/infoicons/Flag_Overridden.svg"/>
    <x v="0"/>
    <x v="72"/>
    <s v="CWiggins"/>
    <x v="8"/>
    <x v="163"/>
    <n v="177.62"/>
    <n v="29.6"/>
    <x v="0"/>
    <n v="0"/>
    <x v="0"/>
    <x v="0"/>
    <m/>
    <m/>
    <n v="20"/>
    <m/>
    <n v="0"/>
    <s v="Corporate"/>
    <s v="Isu Sahai"/>
    <s v="El Segundo"/>
    <s v="CA"/>
    <n v="0"/>
    <n v="177.62"/>
    <n v="0"/>
    <n v="0"/>
    <n v="0"/>
    <x v="1"/>
    <n v="0"/>
    <n v="0"/>
    <n v="177.62"/>
    <n v="0"/>
    <n v="0"/>
    <n v="0"/>
    <s v="P1 Hardware / Software"/>
    <s v="Sales"/>
    <s v="Maple Ave - Current Locatin"/>
    <n v="3049"/>
    <s v="Ventura"/>
    <b v="1"/>
    <m/>
  </r>
  <r>
    <x v="5"/>
    <x v="0"/>
    <s v="common/images/infoicons/opp-flag-clear_32x32.png"/>
    <s v="common/images/infoicons/Flag_Overridden.svg"/>
    <x v="0"/>
    <x v="72"/>
    <s v="CWiggins"/>
    <x v="8"/>
    <x v="164"/>
    <n v="1469.74"/>
    <n v="570.66"/>
    <x v="0"/>
    <n v="0"/>
    <x v="0"/>
    <x v="1"/>
    <m/>
    <m/>
    <n v="21"/>
    <m/>
    <n v="0"/>
    <s v="Corporate"/>
    <s v="Isu Sahai"/>
    <s v="El Segundo"/>
    <s v="CA"/>
    <n v="0"/>
    <n v="1469.74"/>
    <n v="0"/>
    <n v="0"/>
    <n v="0"/>
    <x v="1"/>
    <n v="0"/>
    <n v="0"/>
    <n v="1159.74"/>
    <n v="310"/>
    <n v="0"/>
    <n v="0"/>
    <s v="P1 Hardware / Software"/>
    <s v="Sales"/>
    <s v="Maple Ave - Current Locatin"/>
    <n v="3044"/>
    <s v="Ventura"/>
    <b v="1"/>
    <m/>
  </r>
  <r>
    <x v="5"/>
    <x v="0"/>
    <s v="common/images/infoicons/opp-flag-clear_32x32.png"/>
    <s v="common/images/infoicons/Flag_Overridden.svg"/>
    <x v="0"/>
    <x v="72"/>
    <s v="CWiggins"/>
    <x v="9"/>
    <x v="165"/>
    <n v="232.69"/>
    <n v="228.53"/>
    <x v="0"/>
    <n v="0"/>
    <x v="0"/>
    <x v="0"/>
    <s v="Wed 04/10/2019 need to invoice - need #'s from chad, reply to Lauren in ticket (has ?s)"/>
    <m/>
    <n v="31"/>
    <m/>
    <n v="0"/>
    <s v="Corporate"/>
    <s v="Lauren Pioli"/>
    <s v="Camarillo"/>
    <s v="CA"/>
    <n v="0"/>
    <n v="232.69"/>
    <n v="0"/>
    <n v="0"/>
    <n v="0"/>
    <x v="1"/>
    <n v="0"/>
    <n v="0"/>
    <n v="10.5"/>
    <n v="222.19"/>
    <n v="0"/>
    <n v="0"/>
    <s v="P1 Hardware / Software"/>
    <s v="Sales"/>
    <s v="Main"/>
    <n v="3005"/>
    <s v="Ventura"/>
    <b v="1"/>
    <m/>
  </r>
  <r>
    <x v="5"/>
    <x v="0"/>
    <s v="common/images/infoicons/opp-flag-clear_32x32.png"/>
    <s v="common/images/infoicons/Flag_Overridden.svg"/>
    <x v="0"/>
    <x v="73"/>
    <s v="CWiggins"/>
    <x v="8"/>
    <x v="166"/>
    <n v="1280.49"/>
    <n v="257.55"/>
    <x v="0"/>
    <n v="0"/>
    <x v="0"/>
    <x v="2"/>
    <m/>
    <m/>
    <n v="16"/>
    <m/>
    <n v="0"/>
    <s v="Corporate"/>
    <s v="Isu Sahai"/>
    <s v="El Segundo "/>
    <s v="CA"/>
    <n v="0"/>
    <n v="1280.49"/>
    <n v="0"/>
    <n v="0"/>
    <n v="0"/>
    <x v="1"/>
    <n v="0"/>
    <n v="0"/>
    <n v="1280.49"/>
    <n v="0"/>
    <n v="0"/>
    <n v="0"/>
    <s v="P1 Hardware / Software"/>
    <s v="Sales"/>
    <s v="Main - Old Location"/>
    <n v="3055"/>
    <s v="Ventura"/>
    <b v="1"/>
    <m/>
  </r>
  <r>
    <x v="5"/>
    <x v="0"/>
    <s v="common/images/infoicons/opp-flag-clear_32x32.png"/>
    <s v="common/images/infoicons/Flag_Overridden.svg"/>
    <x v="0"/>
    <x v="7"/>
    <s v="CWiggins"/>
    <x v="34"/>
    <x v="167"/>
    <n v="15.99"/>
    <n v="5"/>
    <x v="0"/>
    <n v="0"/>
    <x v="0"/>
    <x v="0"/>
    <m/>
    <m/>
    <n v="15"/>
    <m/>
    <n v="0"/>
    <s v="Corporate"/>
    <s v="Jasmin De Luna"/>
    <s v="Carpinteria"/>
    <s v="CA"/>
    <n v="0"/>
    <n v="15.99"/>
    <n v="0"/>
    <n v="0"/>
    <n v="0"/>
    <x v="1"/>
    <n v="0"/>
    <n v="0"/>
    <n v="15.99"/>
    <n v="0"/>
    <n v="0"/>
    <n v="0"/>
    <s v="P1 Hardware / Software"/>
    <s v="Sales"/>
    <s v="Main"/>
    <n v="3065"/>
    <s v="Ventura"/>
    <b v="1"/>
    <m/>
  </r>
  <r>
    <x v="5"/>
    <x v="0"/>
    <s v="common/images/infoicons/opp-flag-clear_32x32.png"/>
    <s v="common/images/infoicons/Flag_Overridden.svg"/>
    <x v="0"/>
    <x v="74"/>
    <s v="CWiggins"/>
    <x v="52"/>
    <x v="168"/>
    <n v="882"/>
    <n v="272"/>
    <x v="0"/>
    <n v="0"/>
    <x v="0"/>
    <x v="2"/>
    <m/>
    <m/>
    <n v="14"/>
    <m/>
    <n v="0"/>
    <s v="Corporate"/>
    <s v="Linda Hofer"/>
    <s v="Camarillo"/>
    <s v="CA"/>
    <n v="0"/>
    <n v="882"/>
    <n v="0"/>
    <n v="0"/>
    <n v="0"/>
    <x v="1"/>
    <n v="0"/>
    <n v="0"/>
    <n v="192"/>
    <n v="690"/>
    <n v="0"/>
    <n v="0"/>
    <s v="P1 Hardware / Software"/>
    <s v="Sales"/>
    <s v="Main"/>
    <n v="3067"/>
    <s v="Ventura"/>
    <b v="1"/>
    <m/>
  </r>
  <r>
    <x v="5"/>
    <x v="0"/>
    <s v="common/images/infoicons/opp-flag-clear_32x32.png"/>
    <s v="common/images/infoicons/Flag_Overridden.svg"/>
    <x v="0"/>
    <x v="74"/>
    <s v="CWiggins"/>
    <x v="8"/>
    <x v="169"/>
    <n v="559.57000000000005"/>
    <n v="150"/>
    <x v="0"/>
    <n v="0"/>
    <x v="0"/>
    <x v="2"/>
    <m/>
    <m/>
    <n v="14"/>
    <m/>
    <n v="0"/>
    <s v="Corporate"/>
    <s v="Isu Sahai"/>
    <s v="El Segundo"/>
    <s v="CA"/>
    <n v="0"/>
    <n v="559.57000000000005"/>
    <n v="0"/>
    <n v="0"/>
    <n v="0"/>
    <x v="1"/>
    <n v="0"/>
    <n v="0"/>
    <n v="559.57000000000005"/>
    <n v="0"/>
    <n v="0"/>
    <n v="0"/>
    <s v="P1 Hardware / Software"/>
    <s v="Sales"/>
    <s v="Maple Ave - Current Locatin"/>
    <n v="3066"/>
    <s v="Ventura"/>
    <b v="1"/>
    <m/>
  </r>
  <r>
    <x v="5"/>
    <x v="0"/>
    <s v="common/images/infoicons/opp-flag-clear_32x32.png"/>
    <s v="common/images/infoicons/Flag_Overridden.svg"/>
    <x v="0"/>
    <x v="75"/>
    <s v="CWiggins"/>
    <x v="9"/>
    <x v="170"/>
    <n v="388.99"/>
    <n v="106.9"/>
    <x v="0"/>
    <n v="0"/>
    <x v="0"/>
    <x v="2"/>
    <m/>
    <m/>
    <n v="15"/>
    <m/>
    <n v="0"/>
    <s v="Corporate"/>
    <s v="Andy Alvarez"/>
    <s v="Camarillo"/>
    <s v="CA"/>
    <n v="0"/>
    <n v="388.99"/>
    <n v="0"/>
    <n v="0"/>
    <n v="0"/>
    <x v="1"/>
    <n v="0"/>
    <n v="0"/>
    <n v="388.99"/>
    <n v="0"/>
    <n v="0"/>
    <n v="0"/>
    <s v="P1 Hardware / Software"/>
    <s v="Sales"/>
    <s v="Main"/>
    <n v="3062"/>
    <s v="Ventura"/>
    <b v="1"/>
    <m/>
  </r>
  <r>
    <x v="5"/>
    <x v="0"/>
    <s v="common/images/infoicons/opp-flag-clear_32x32.png"/>
    <s v="common/images/infoicons/Flag_Overridden.svg"/>
    <x v="0"/>
    <x v="76"/>
    <s v="CWiggins"/>
    <x v="53"/>
    <x v="171"/>
    <n v="100"/>
    <n v="50"/>
    <x v="0"/>
    <n v="0"/>
    <x v="0"/>
    <x v="2"/>
    <m/>
    <m/>
    <n v="10"/>
    <m/>
    <n v="0"/>
    <s v="Corporate"/>
    <s v="Jeremy Wilson"/>
    <m/>
    <m/>
    <n v="0"/>
    <n v="100"/>
    <n v="0"/>
    <n v="0"/>
    <n v="0"/>
    <x v="1"/>
    <n v="0"/>
    <n v="0"/>
    <n v="0"/>
    <n v="100"/>
    <n v="0"/>
    <n v="0"/>
    <s v="P1 Hardware / Software"/>
    <s v="Sales"/>
    <s v="Main"/>
    <n v="3077"/>
    <s v="Ventura"/>
    <b v="1"/>
    <m/>
  </r>
  <r>
    <x v="5"/>
    <x v="0"/>
    <s v="common/images/infoicons/opp-flag-clear_32x32.png"/>
    <s v="common/images/infoicons/Flag_Overridden.svg"/>
    <x v="0"/>
    <x v="77"/>
    <s v="CWiggins"/>
    <x v="8"/>
    <x v="172"/>
    <n v="2869.58"/>
    <n v="821.33"/>
    <x v="0"/>
    <n v="0"/>
    <x v="0"/>
    <x v="2"/>
    <m/>
    <m/>
    <n v="9"/>
    <m/>
    <n v="0"/>
    <s v="Corporate"/>
    <s v="Isu Sahai"/>
    <s v="El Segundo"/>
    <s v="CA"/>
    <n v="0"/>
    <n v="2869.58"/>
    <n v="0"/>
    <n v="0"/>
    <n v="0"/>
    <x v="1"/>
    <n v="0"/>
    <n v="0"/>
    <n v="2869.58"/>
    <n v="0"/>
    <n v="0"/>
    <n v="0"/>
    <s v="P1 Hardware / Software"/>
    <s v="Sales"/>
    <s v="Maple Ave - Current Locatin"/>
    <n v="3080"/>
    <s v="Ventura"/>
    <b v="1"/>
    <m/>
  </r>
  <r>
    <x v="5"/>
    <x v="0"/>
    <s v="common/images/infoicons/opp-flag-clear_32x32.png"/>
    <s v="common/images/infoicons/Flag_Overridden.svg"/>
    <x v="0"/>
    <x v="77"/>
    <s v="Batsford2"/>
    <x v="54"/>
    <x v="173"/>
    <n v="1670"/>
    <n v="770"/>
    <x v="0"/>
    <n v="20"/>
    <x v="8"/>
    <x v="0"/>
    <m/>
    <m/>
    <n v="9"/>
    <m/>
    <n v="0"/>
    <s v="Corporate"/>
    <s v="Tom Jellinek"/>
    <s v="Agoura Hills"/>
    <s v="CA"/>
    <n v="0"/>
    <n v="1670"/>
    <n v="0"/>
    <n v="334"/>
    <n v="0"/>
    <x v="0"/>
    <n v="0"/>
    <n v="0"/>
    <n v="1050"/>
    <n v="620"/>
    <n v="0"/>
    <n v="0"/>
    <m/>
    <s v="Managed Services"/>
    <s v="Main"/>
    <n v="3082"/>
    <s v="Hero Tech"/>
    <b v="1"/>
    <m/>
  </r>
  <r>
    <x v="5"/>
    <x v="0"/>
    <s v="common/images/infoicons/opp-flag-clear_32x32.png"/>
    <s v="common/images/infoicons/Flag_Overridden.svg"/>
    <x v="0"/>
    <x v="78"/>
    <s v="CWiggins"/>
    <x v="48"/>
    <x v="174"/>
    <n v="6225.2"/>
    <n v="3196.35"/>
    <x v="0"/>
    <n v="0"/>
    <x v="0"/>
    <x v="1"/>
    <m/>
    <m/>
    <n v="8"/>
    <m/>
    <n v="0"/>
    <s v="Corporate"/>
    <s v="Karyl Lynn Burns"/>
    <s v="Ventura"/>
    <s v="CA"/>
    <n v="0"/>
    <n v="6225.2"/>
    <n v="0"/>
    <n v="0"/>
    <n v="0"/>
    <x v="0"/>
    <n v="0"/>
    <n v="0"/>
    <n v="4175.2"/>
    <n v="2050"/>
    <n v="0"/>
    <n v="0"/>
    <s v="P1 Hardware / Software"/>
    <s v="Sales"/>
    <s v="Main"/>
    <n v="3086"/>
    <s v="Hero Tech"/>
    <b v="1"/>
    <m/>
  </r>
  <r>
    <x v="5"/>
    <x v="0"/>
    <s v="common/images/infoicons/opp-flag-clear_32x32.png"/>
    <s v="common/images/infoicons/Status_CredsVaild.svg"/>
    <x v="6"/>
    <x v="79"/>
    <s v="CWiggins"/>
    <x v="8"/>
    <x v="175"/>
    <n v="4307.7"/>
    <n v="567.85"/>
    <x v="0"/>
    <n v="0"/>
    <x v="2"/>
    <x v="2"/>
    <m/>
    <m/>
    <n v="7"/>
    <m/>
    <n v="0"/>
    <s v="Corporate"/>
    <s v="Isu Sahai"/>
    <s v="El Segundo"/>
    <s v="CA"/>
    <n v="0"/>
    <n v="0"/>
    <n v="0"/>
    <n v="0"/>
    <n v="0"/>
    <x v="1"/>
    <n v="0"/>
    <n v="0"/>
    <n v="3997.7"/>
    <n v="310"/>
    <n v="0"/>
    <n v="0"/>
    <s v="P1 Hardware / Software"/>
    <s v="Sales"/>
    <s v="Maple Ave - Current Locatin"/>
    <n v="3088"/>
    <s v="Ventura"/>
    <b v="0"/>
    <m/>
  </r>
  <r>
    <x v="5"/>
    <x v="0"/>
    <s v="common/images/infoicons/opp-flag-clear_32x32.png"/>
    <s v="common/images/infoicons/Flag_Overridden.svg"/>
    <x v="0"/>
    <x v="80"/>
    <s v="CWiggins"/>
    <x v="10"/>
    <x v="176"/>
    <n v="620"/>
    <n v="470"/>
    <x v="0"/>
    <n v="0"/>
    <x v="0"/>
    <x v="2"/>
    <m/>
    <m/>
    <n v="8"/>
    <m/>
    <n v="0"/>
    <s v="Corporate"/>
    <s v="Gerald Innes"/>
    <s v="Ventura"/>
    <s v="CA"/>
    <n v="0"/>
    <n v="620"/>
    <n v="0"/>
    <n v="0"/>
    <n v="0"/>
    <x v="1"/>
    <n v="0"/>
    <n v="0"/>
    <n v="0"/>
    <n v="620"/>
    <n v="0"/>
    <n v="0"/>
    <s v="P1 Hardware / Software"/>
    <s v="Sales"/>
    <s v="Main"/>
    <n v="3083"/>
    <s v="Hero Tech"/>
    <b v="1"/>
    <m/>
  </r>
  <r>
    <x v="5"/>
    <x v="0"/>
    <s v="common/images/infoicons/opp-flag-clear_32x32.png"/>
    <s v="common/images/infoicons/Flag_Overridden.svg"/>
    <x v="0"/>
    <x v="80"/>
    <s v="CWiggins"/>
    <x v="14"/>
    <x v="177"/>
    <n v="200"/>
    <n v="125"/>
    <x v="0"/>
    <n v="0"/>
    <x v="0"/>
    <x v="2"/>
    <m/>
    <m/>
    <n v="6"/>
    <m/>
    <n v="0"/>
    <s v="Corporate"/>
    <s v="Jason Block"/>
    <s v="Oxnard"/>
    <s v="CA"/>
    <n v="0"/>
    <n v="200"/>
    <n v="0"/>
    <n v="0"/>
    <n v="0"/>
    <x v="1"/>
    <n v="0"/>
    <n v="0"/>
    <n v="0"/>
    <n v="200"/>
    <n v="0"/>
    <n v="0"/>
    <s v="P1 Hardware / Software"/>
    <s v="Sales"/>
    <s v="Main"/>
    <n v="3092"/>
    <s v="Ventura"/>
    <b v="1"/>
    <m/>
  </r>
  <r>
    <x v="5"/>
    <x v="0"/>
    <s v="common/images/infoicons/opp-flag-clear_32x32.png"/>
    <s v="common/images/infoicons/Status_CredsVaild.svg"/>
    <x v="4"/>
    <x v="81"/>
    <s v="CWiggins"/>
    <x v="50"/>
    <x v="178"/>
    <n v="3000"/>
    <n v="3000"/>
    <x v="0"/>
    <n v="20"/>
    <x v="8"/>
    <x v="0"/>
    <s v="Tue 04/02/2019 bludog walk through"/>
    <m/>
    <n v="41"/>
    <m/>
    <n v="0"/>
    <s v="Corporate"/>
    <s v="Kat  Cryers"/>
    <s v="Ventura, "/>
    <s v="CA"/>
    <n v="0"/>
    <n v="0"/>
    <n v="0"/>
    <n v="600"/>
    <n v="0"/>
    <x v="0"/>
    <n v="0"/>
    <n v="0"/>
    <n v="0"/>
    <n v="3000"/>
    <n v="0"/>
    <n v="0"/>
    <s v="P1 Hardware / Software"/>
    <s v="Admin"/>
    <s v="Main"/>
    <n v="2978"/>
    <s v="Corporate"/>
    <b v="0"/>
    <m/>
  </r>
  <r>
    <x v="5"/>
    <x v="0"/>
    <s v="common/images/infoicons/opp-flag-clear_32x32.png"/>
    <s v="common/images/infoicons/Flag_Overridden.svg"/>
    <x v="0"/>
    <x v="82"/>
    <s v="CWiggins"/>
    <x v="26"/>
    <x v="24"/>
    <n v="539"/>
    <n v="134.75"/>
    <x v="0"/>
    <n v="0"/>
    <x v="0"/>
    <x v="2"/>
    <m/>
    <m/>
    <n v="3"/>
    <m/>
    <n v="0"/>
    <s v="Corporate"/>
    <s v="Rhonda Rivas"/>
    <s v="Irvine"/>
    <s v="CA"/>
    <n v="0"/>
    <n v="539"/>
    <n v="0"/>
    <n v="0"/>
    <n v="0"/>
    <x v="1"/>
    <n v="0"/>
    <n v="0"/>
    <n v="539"/>
    <n v="0"/>
    <n v="0"/>
    <n v="0"/>
    <s v="P1 Hardware / Software"/>
    <s v="Sales"/>
    <s v="Main"/>
    <n v="3099"/>
    <s v="Ventura"/>
    <b v="1"/>
    <m/>
  </r>
  <r>
    <x v="5"/>
    <x v="0"/>
    <s v="common/images/infoicons/opp-flag-clear_32x32.png"/>
    <s v="common/images/infoicons/Flag_Overridden.svg"/>
    <x v="0"/>
    <x v="82"/>
    <s v="CWiggins"/>
    <x v="52"/>
    <x v="179"/>
    <n v="65.97"/>
    <n v="25.97"/>
    <x v="0"/>
    <n v="0"/>
    <x v="0"/>
    <x v="2"/>
    <m/>
    <m/>
    <n v="3"/>
    <m/>
    <n v="0"/>
    <s v="Corporate"/>
    <s v="Linda Hofer"/>
    <s v="Camarillo"/>
    <s v="CA"/>
    <n v="0"/>
    <n v="65.97"/>
    <n v="0"/>
    <n v="0"/>
    <n v="0"/>
    <x v="1"/>
    <n v="0"/>
    <n v="0"/>
    <n v="65.97"/>
    <n v="0"/>
    <n v="0"/>
    <n v="0"/>
    <s v="P1 Hardware / Software"/>
    <s v="Sales"/>
    <s v="Main"/>
    <n v="3106"/>
    <s v="Ventura"/>
    <b v="1"/>
    <m/>
  </r>
  <r>
    <x v="5"/>
    <x v="0"/>
    <s v="common/images/infoicons/opp-flag-clear_32x32.png"/>
    <s v="common/images/infoicons/Flag_Overridden.svg"/>
    <x v="0"/>
    <x v="82"/>
    <s v="CWiggins"/>
    <x v="4"/>
    <x v="180"/>
    <n v="200"/>
    <n v="125"/>
    <x v="0"/>
    <n v="0"/>
    <x v="0"/>
    <x v="2"/>
    <m/>
    <m/>
    <n v="3"/>
    <m/>
    <n v="0"/>
    <s v="Corporate"/>
    <s v="Laura  Leblanc"/>
    <s v="Ventura"/>
    <s v="CA"/>
    <n v="0"/>
    <n v="200"/>
    <n v="0"/>
    <n v="0"/>
    <n v="0"/>
    <x v="1"/>
    <n v="0"/>
    <n v="0"/>
    <n v="0"/>
    <n v="200"/>
    <n v="0"/>
    <n v="0"/>
    <s v="P1 Hardware / Software"/>
    <s v="Sales"/>
    <s v="Main"/>
    <n v="3096"/>
    <s v="Ventura"/>
    <b v="1"/>
    <m/>
  </r>
  <r>
    <x v="5"/>
    <x v="0"/>
    <s v="common/images/infoicons/opp-flag-clear_32x32.png"/>
    <s v="common/images/infoicons/Flag_Overridden.svg"/>
    <x v="0"/>
    <x v="82"/>
    <s v="CWiggins"/>
    <x v="34"/>
    <x v="181"/>
    <n v="61.66"/>
    <n v="57.45"/>
    <x v="0"/>
    <n v="0"/>
    <x v="0"/>
    <x v="0"/>
    <m/>
    <m/>
    <n v="3"/>
    <m/>
    <n v="0"/>
    <s v="Corporate"/>
    <s v="Lennea Morris"/>
    <s v="Carpinteria"/>
    <s v="CA"/>
    <n v="0"/>
    <n v="61.66"/>
    <n v="0"/>
    <n v="0"/>
    <n v="0"/>
    <x v="1"/>
    <n v="0"/>
    <n v="0"/>
    <n v="10.5"/>
    <n v="51.16"/>
    <n v="0"/>
    <n v="0"/>
    <s v="P1 Hardware / Software"/>
    <s v="Sales"/>
    <s v="Main"/>
    <n v="3093"/>
    <s v="Ventura"/>
    <b v="1"/>
    <m/>
  </r>
  <r>
    <x v="5"/>
    <x v="0"/>
    <s v="common/images/infoicons/opp-flag-clear_32x32.png"/>
    <s v="common/images/infoicons/Flag_Overridden.svg"/>
    <x v="0"/>
    <x v="82"/>
    <s v="CWiggins"/>
    <x v="16"/>
    <x v="125"/>
    <n v="230.35"/>
    <n v="65.819999999999993"/>
    <x v="0"/>
    <n v="0"/>
    <x v="0"/>
    <x v="0"/>
    <m/>
    <m/>
    <n v="3"/>
    <m/>
    <n v="0"/>
    <s v="Corporate"/>
    <s v="Deanne Filerman"/>
    <s v="Thousand Oaks"/>
    <s v="CA"/>
    <n v="0"/>
    <n v="230.35"/>
    <n v="0"/>
    <n v="0"/>
    <n v="0"/>
    <x v="1"/>
    <n v="0"/>
    <n v="0"/>
    <n v="230.35"/>
    <n v="0"/>
    <n v="0"/>
    <n v="0"/>
    <s v="P1 Hardware / Software"/>
    <s v="Sales"/>
    <s v="Main"/>
    <n v="3107"/>
    <s v="Ventura"/>
    <b v="1"/>
    <m/>
  </r>
  <r>
    <x v="5"/>
    <x v="0"/>
    <s v="common/images/infoicons/opp-flag-clear_32x32.png"/>
    <s v="common/images/infoicons/Flag_Overridden.svg"/>
    <x v="0"/>
    <x v="82"/>
    <s v="CWiggins"/>
    <x v="15"/>
    <x v="182"/>
    <n v="500"/>
    <n v="260"/>
    <x v="0"/>
    <n v="0"/>
    <x v="0"/>
    <x v="2"/>
    <m/>
    <m/>
    <n v="3"/>
    <m/>
    <n v="0"/>
    <s v="Corporate"/>
    <s v="Michelle LaPointe"/>
    <s v="Oxnard"/>
    <s v="CA"/>
    <n v="0"/>
    <n v="500"/>
    <n v="0"/>
    <n v="0"/>
    <n v="0"/>
    <x v="0"/>
    <n v="0"/>
    <n v="0"/>
    <n v="500"/>
    <n v="0"/>
    <n v="0"/>
    <n v="0"/>
    <s v="P1 Hardware / Software"/>
    <s v="Admin"/>
    <s v="Main"/>
    <n v="3105"/>
    <s v="Ventura"/>
    <b v="1"/>
    <m/>
  </r>
  <r>
    <x v="5"/>
    <x v="0"/>
    <s v="common/images/infoicons/opp-flag-clear_32x32.png"/>
    <s v="common/images/infoicons/Flag_Overridden.svg"/>
    <x v="0"/>
    <x v="8"/>
    <s v="CWiggins"/>
    <x v="40"/>
    <x v="183"/>
    <n v="686.5"/>
    <n v="32.700000000000003"/>
    <x v="0"/>
    <n v="0"/>
    <x v="0"/>
    <x v="0"/>
    <s v="Wed 04/17/2019 Call Lisa "/>
    <m/>
    <n v="188"/>
    <m/>
    <n v="0"/>
    <s v="Corporate"/>
    <s v="Lisa Mousselli"/>
    <s v="Tyler"/>
    <s v="TX"/>
    <n v="0"/>
    <n v="686.5"/>
    <n v="0"/>
    <n v="0"/>
    <n v="0"/>
    <x v="1"/>
    <n v="0"/>
    <n v="0"/>
    <n v="686.5"/>
    <n v="0"/>
    <n v="0"/>
    <n v="0"/>
    <s v="P1 Hardware / Software"/>
    <s v="Sales"/>
    <s v="Main"/>
    <n v="2541"/>
    <s v="Ventura"/>
    <b v="1"/>
    <m/>
  </r>
  <r>
    <x v="5"/>
    <x v="0"/>
    <s v="common/images/infoicons/opp-flag-clear_32x32.png"/>
    <s v="common/images/infoicons/Flag_Overridden.svg"/>
    <x v="0"/>
    <x v="8"/>
    <s v="CWiggins"/>
    <x v="6"/>
    <x v="184"/>
    <n v="14621.02"/>
    <n v="10285.75"/>
    <x v="1"/>
    <n v="0"/>
    <x v="0"/>
    <x v="1"/>
    <s v="Wed 04/17/2019 Call Mike "/>
    <m/>
    <n v="146"/>
    <m/>
    <n v="0"/>
    <s v="Corporate"/>
    <s v="Mike Davis"/>
    <s v="Oxnard"/>
    <s v="CA"/>
    <n v="0"/>
    <n v="14621.02"/>
    <n v="0"/>
    <n v="0"/>
    <n v="0"/>
    <x v="0"/>
    <n v="0"/>
    <n v="0"/>
    <n v="7506.02"/>
    <n v="7115"/>
    <n v="0"/>
    <n v="0"/>
    <s v="P1 Hardware / Software"/>
    <s v="Admin"/>
    <s v="Main"/>
    <n v="2650"/>
    <s v="Hero Tech"/>
    <b v="1"/>
    <m/>
  </r>
  <r>
    <x v="5"/>
    <x v="0"/>
    <s v="common/images/infoicons/opp-flag-clear_32x32.png"/>
    <s v="common/images/infoicons/Status_CredsVaild.svg"/>
    <x v="6"/>
    <x v="8"/>
    <s v="CWiggins"/>
    <x v="25"/>
    <x v="185"/>
    <n v="1275"/>
    <n v="551.25"/>
    <x v="0"/>
    <n v="0"/>
    <x v="2"/>
    <x v="0"/>
    <s v="Wed 04/17/2019 Shaun to test Fortinet and AWS"/>
    <m/>
    <n v="27"/>
    <m/>
    <n v="0"/>
    <s v="Corporate"/>
    <s v="James deVos"/>
    <s v="Newbury Park"/>
    <s v="CA"/>
    <n v="0"/>
    <n v="0"/>
    <n v="0"/>
    <n v="0"/>
    <n v="0"/>
    <x v="1"/>
    <n v="0"/>
    <n v="0"/>
    <n v="965"/>
    <n v="310"/>
    <n v="0"/>
    <n v="0"/>
    <s v="P1 Hardware / Software"/>
    <s v="Sales"/>
    <s v="Main"/>
    <n v="3018"/>
    <s v="Hero Tech"/>
    <b v="0"/>
    <m/>
  </r>
  <r>
    <x v="5"/>
    <x v="0"/>
    <s v="common/images/infoicons/opp-flag-clear_32x32.png"/>
    <s v="common/images/infoicons/Flag_Overridden.svg"/>
    <x v="0"/>
    <x v="8"/>
    <s v="CWiggins"/>
    <x v="32"/>
    <x v="186"/>
    <n v="900"/>
    <n v="450"/>
    <x v="0"/>
    <n v="0"/>
    <x v="0"/>
    <x v="1"/>
    <m/>
    <m/>
    <n v="1"/>
    <m/>
    <n v="0"/>
    <s v="Corporate"/>
    <s v="Maryam Vosogh"/>
    <s v="Covina"/>
    <s v="CA"/>
    <n v="0"/>
    <n v="900"/>
    <n v="0"/>
    <n v="0"/>
    <n v="0"/>
    <x v="0"/>
    <n v="0"/>
    <n v="0"/>
    <n v="0"/>
    <n v="900"/>
    <n v="0"/>
    <n v="0"/>
    <s v="P1 Hardware / Software"/>
    <s v="Sales"/>
    <s v="Main"/>
    <n v="3114"/>
    <s v="Inland Empire"/>
    <b v="1"/>
    <m/>
  </r>
  <r>
    <x v="5"/>
    <x v="0"/>
    <s v="common/images/infoicons/opp-flag-clear_32x32.png"/>
    <s v="common/images/infoicons/Status_CredsNotVaild.svg"/>
    <x v="2"/>
    <x v="8"/>
    <s v="CWiggins"/>
    <x v="55"/>
    <x v="187"/>
    <n v="0"/>
    <n v="0"/>
    <x v="0"/>
    <n v="20"/>
    <x v="8"/>
    <x v="0"/>
    <s v="Thu 04/18/2019 f/u Alex/Damien"/>
    <m/>
    <n v="16"/>
    <m/>
    <n v="0"/>
    <s v="Corporate"/>
    <s v="Alex Manchipoz"/>
    <s v="Oxnard"/>
    <s v="CA"/>
    <n v="0"/>
    <n v="0"/>
    <n v="3000"/>
    <n v="0"/>
    <n v="0"/>
    <x v="0"/>
    <n v="0"/>
    <n v="0"/>
    <n v="0"/>
    <n v="0"/>
    <n v="0"/>
    <n v="0"/>
    <s v="P1 Hardware / Software"/>
    <s v="Admin"/>
    <s v="Main"/>
    <n v="3061"/>
    <s v="Hero Tech"/>
    <b v="0"/>
    <m/>
  </r>
  <r>
    <x v="5"/>
    <x v="0"/>
    <s v="common/images/infoicons/opp-flag-clear_32x32.png"/>
    <s v="common/images/infoicons/Flag_Overridden.svg"/>
    <x v="0"/>
    <x v="8"/>
    <s v="CWiggins"/>
    <x v="52"/>
    <x v="188"/>
    <n v="770"/>
    <n v="770"/>
    <x v="0"/>
    <n v="0"/>
    <x v="0"/>
    <x v="2"/>
    <m/>
    <m/>
    <n v="14"/>
    <m/>
    <n v="0"/>
    <s v="Corporate"/>
    <s v="Linda Hofer"/>
    <s v="Camarillo"/>
    <s v="CA"/>
    <n v="0"/>
    <n v="770"/>
    <n v="0"/>
    <n v="0"/>
    <n v="0"/>
    <x v="1"/>
    <n v="0"/>
    <n v="0"/>
    <n v="0"/>
    <n v="770"/>
    <n v="0"/>
    <n v="0"/>
    <s v="P1 Hardware / Software"/>
    <s v="Admin"/>
    <s v="Main"/>
    <n v="3068"/>
    <s v="Ventura"/>
    <b v="1"/>
    <m/>
  </r>
  <r>
    <x v="5"/>
    <x v="0"/>
    <s v="common/images/infoicons/opp-flag-clear_32x32.png"/>
    <s v="common/images/infoicons/Flag_Overridden.svg"/>
    <x v="0"/>
    <x v="8"/>
    <s v="CWiggins"/>
    <x v="12"/>
    <x v="189"/>
    <n v="6569"/>
    <n v="2270.1999999999998"/>
    <x v="0"/>
    <n v="0"/>
    <x v="0"/>
    <x v="1"/>
    <m/>
    <m/>
    <n v="2"/>
    <m/>
    <n v="0"/>
    <s v="Corporate"/>
    <s v="Chris Rodgers"/>
    <s v="Corona"/>
    <s v="CA"/>
    <n v="0"/>
    <n v="6569"/>
    <n v="0"/>
    <n v="0"/>
    <n v="0"/>
    <x v="0"/>
    <n v="0"/>
    <n v="0"/>
    <n v="5794"/>
    <n v="775"/>
    <n v="0"/>
    <n v="0"/>
    <s v="P1 Hardware / Software"/>
    <s v="Admin"/>
    <s v="Main"/>
    <n v="3108"/>
    <s v="Inland Empire"/>
    <b v="1"/>
    <m/>
  </r>
  <r>
    <x v="5"/>
    <x v="0"/>
    <s v="common/images/infoicons/opp-flag-clear_32x32.png"/>
    <s v="common/images/infoicons/Flag_Overridden.svg"/>
    <x v="0"/>
    <x v="8"/>
    <s v="CWiggins"/>
    <x v="8"/>
    <x v="190"/>
    <n v="735"/>
    <n v="250"/>
    <x v="0"/>
    <n v="0"/>
    <x v="0"/>
    <x v="2"/>
    <s v="Wed 04/10/2019 call tv guy"/>
    <m/>
    <n v="43"/>
    <m/>
    <n v="0"/>
    <s v="Corporate"/>
    <s v="Isu Sahai"/>
    <s v="El Segundo"/>
    <s v="CA"/>
    <n v="0"/>
    <n v="735"/>
    <n v="0"/>
    <n v="0"/>
    <n v="0"/>
    <x v="1"/>
    <n v="0"/>
    <n v="0"/>
    <n v="395"/>
    <n v="340"/>
    <n v="0"/>
    <n v="0"/>
    <s v="P1 Hardware / Software"/>
    <s v="Sales"/>
    <s v="Maple Ave - Current Locatin"/>
    <n v="2975"/>
    <s v="Ventura"/>
    <b v="1"/>
    <m/>
  </r>
  <r>
    <x v="5"/>
    <x v="0"/>
    <s v="common/images/infoicons/opp-flag-clear_32x32.png"/>
    <s v="common/images/infoicons/Status_CredsVaild.svg"/>
    <x v="4"/>
    <x v="8"/>
    <s v="CWiggins"/>
    <x v="8"/>
    <x v="191"/>
    <n v="0"/>
    <n v="0"/>
    <x v="0"/>
    <n v="20"/>
    <x v="8"/>
    <x v="0"/>
    <s v="Wed 04/10/2019 call Chris at Bludog for info/quote"/>
    <m/>
    <n v="27"/>
    <m/>
    <n v="0"/>
    <s v="Corporate"/>
    <s v="Isu Sahai"/>
    <s v="El Segundo"/>
    <s v="CA"/>
    <n v="0"/>
    <n v="0"/>
    <n v="0"/>
    <n v="0"/>
    <n v="0"/>
    <x v="1"/>
    <n v="0"/>
    <n v="0"/>
    <n v="0"/>
    <n v="0"/>
    <n v="0"/>
    <n v="0"/>
    <s v="P1 Hardware / Software"/>
    <s v="Sales"/>
    <s v="Maple Ave - Current Locatin"/>
    <n v="3014"/>
    <s v="Ventura"/>
    <b v="0"/>
    <m/>
  </r>
  <r>
    <x v="5"/>
    <x v="0"/>
    <s v="common/images/infoicons/opp-flag-clear_32x32.png"/>
    <s v="common/images/infoicons/Status_CredsVaild.svg"/>
    <x v="4"/>
    <x v="8"/>
    <s v="CWiggins"/>
    <x v="20"/>
    <x v="192"/>
    <n v="1775.37"/>
    <n v="268.22000000000003"/>
    <x v="0"/>
    <n v="0"/>
    <x v="2"/>
    <x v="0"/>
    <m/>
    <m/>
    <n v="24"/>
    <m/>
    <n v="0"/>
    <s v="Corporate"/>
    <s v="Raymond Jacob"/>
    <s v="Santa Barbara"/>
    <s v="CA"/>
    <n v="0"/>
    <n v="0"/>
    <n v="0"/>
    <n v="0"/>
    <n v="0"/>
    <x v="1"/>
    <n v="0"/>
    <n v="0"/>
    <n v="1575.37"/>
    <n v="200"/>
    <n v="0"/>
    <n v="0"/>
    <s v="P1 Hardware / Software"/>
    <s v="Sales"/>
    <s v="Main"/>
    <n v="3028"/>
    <s v="Ventura"/>
    <b v="0"/>
    <m/>
  </r>
  <r>
    <x v="5"/>
    <x v="0"/>
    <s v="common/images/infoicons/opp-flag-clear_32x32.png"/>
    <s v="common/images/infoicons/Flag_Overridden.svg"/>
    <x v="0"/>
    <x v="8"/>
    <s v="CWiggins"/>
    <x v="9"/>
    <x v="125"/>
    <n v="194.98"/>
    <n v="55"/>
    <x v="0"/>
    <n v="0"/>
    <x v="0"/>
    <x v="0"/>
    <m/>
    <m/>
    <n v="20"/>
    <m/>
    <n v="0"/>
    <s v="Corporate"/>
    <s v="Teresa Nelson"/>
    <s v="Camarillo"/>
    <s v="CA"/>
    <n v="0"/>
    <n v="194.98"/>
    <n v="0"/>
    <n v="0"/>
    <n v="0"/>
    <x v="1"/>
    <n v="0"/>
    <n v="0"/>
    <n v="194.98"/>
    <n v="0"/>
    <n v="0"/>
    <n v="0"/>
    <s v="P1 Hardware / Software"/>
    <s v="Sales"/>
    <s v="Main"/>
    <n v="3051"/>
    <s v="Ventura"/>
    <b v="1"/>
    <m/>
  </r>
  <r>
    <x v="5"/>
    <x v="0"/>
    <s v="common/images/infoicons/opp-flag-clear_32x32.png"/>
    <s v="common/images/infoicons/Status_CredsVaild.svg"/>
    <x v="4"/>
    <x v="8"/>
    <s v="CWiggins"/>
    <x v="23"/>
    <x v="193"/>
    <n v="1625"/>
    <n v="375"/>
    <x v="0"/>
    <n v="80"/>
    <x v="1"/>
    <x v="0"/>
    <s v="Mon 04/15/2019 f/u to proposal"/>
    <m/>
    <n v="58"/>
    <m/>
    <n v="0"/>
    <s v="Corporate"/>
    <s v="Choti Singh"/>
    <s v="North Hollywood"/>
    <s v="CA"/>
    <n v="0"/>
    <n v="0"/>
    <n v="0"/>
    <n v="1300"/>
    <n v="0"/>
    <x v="0"/>
    <n v="0"/>
    <n v="0"/>
    <n v="0"/>
    <n v="1625"/>
    <n v="0"/>
    <n v="0"/>
    <s v="P1 Hardware / Software"/>
    <s v="Admin"/>
    <s v="Main"/>
    <n v="2925"/>
    <s v="Ventura"/>
    <b v="0"/>
    <m/>
  </r>
  <r>
    <x v="5"/>
    <x v="0"/>
    <s v="common/images/infoicons/opp-flag-clear_32x32.png"/>
    <s v="common/images/infoicons/Flag_Overridden.svg"/>
    <x v="0"/>
    <x v="8"/>
    <s v="CWiggins"/>
    <x v="15"/>
    <x v="6"/>
    <n v="5892"/>
    <n v="1957"/>
    <x v="0"/>
    <n v="0"/>
    <x v="0"/>
    <x v="1"/>
    <s v="Tue 04/02/2019 follow up on proposal sent"/>
    <m/>
    <n v="92"/>
    <m/>
    <n v="0"/>
    <s v="Corporate"/>
    <s v="Michelle LaPointe"/>
    <s v="Oxnard"/>
    <s v="CA"/>
    <n v="0"/>
    <n v="5892"/>
    <n v="0"/>
    <n v="0"/>
    <n v="0"/>
    <x v="0"/>
    <n v="0"/>
    <n v="0"/>
    <n v="3042"/>
    <n v="2850"/>
    <n v="0"/>
    <n v="0"/>
    <s v="P1 Hardware / Software"/>
    <s v="Admin"/>
    <s v="Main"/>
    <n v="2800"/>
    <s v="Ventura"/>
    <b v="1"/>
    <m/>
  </r>
  <r>
    <x v="5"/>
    <x v="0"/>
    <s v="common/images/infoicons/opp-flag-clear_32x32.png"/>
    <s v="common/images/infoicons/Flag_Overridden.svg"/>
    <x v="0"/>
    <x v="8"/>
    <s v="CWiggins"/>
    <x v="15"/>
    <x v="194"/>
    <n v="1500"/>
    <n v="1500"/>
    <x v="0"/>
    <n v="0"/>
    <x v="0"/>
    <x v="1"/>
    <s v="Tue 04/02/2019 Call Michelle about approval(see notes)"/>
    <m/>
    <n v="92"/>
    <m/>
    <n v="0"/>
    <s v="Corporate"/>
    <s v="Michelle LaPointe"/>
    <s v="Oxnard"/>
    <s v="CA"/>
    <n v="0"/>
    <n v="1500"/>
    <n v="0"/>
    <n v="0"/>
    <n v="0"/>
    <x v="0"/>
    <n v="0"/>
    <n v="0"/>
    <n v="1500"/>
    <n v="0"/>
    <n v="0"/>
    <n v="0"/>
    <s v="P1 Hardware / Software"/>
    <s v="Admin"/>
    <s v="Main"/>
    <n v="2799"/>
    <s v="Ventura"/>
    <b v="1"/>
    <m/>
  </r>
  <r>
    <x v="2"/>
    <x v="0"/>
    <s v="common/images/infoicons/opp-flag-clear_32x32.png"/>
    <s v="common/images/infoicons/Flag_Overridden.svg"/>
    <x v="0"/>
    <x v="83"/>
    <s v="CWiggins"/>
    <x v="7"/>
    <x v="195"/>
    <n v="321.08"/>
    <n v="23.74"/>
    <x v="0"/>
    <n v="0"/>
    <x v="0"/>
    <x v="0"/>
    <m/>
    <m/>
    <n v="1"/>
    <m/>
    <n v="0"/>
    <s v="Corporate"/>
    <s v="Shannon Truque"/>
    <s v="Van Nuys"/>
    <s v="CA"/>
    <n v="0"/>
    <n v="321.08"/>
    <n v="0"/>
    <n v="0"/>
    <n v="0"/>
    <x v="1"/>
    <n v="0"/>
    <n v="0"/>
    <n v="321.08"/>
    <n v="0"/>
    <n v="0"/>
    <n v="0"/>
    <s v="P1 Hardware / Software"/>
    <s v="Sales"/>
    <s v="Main"/>
    <n v="3116"/>
    <s v="Ventura"/>
    <b v="1"/>
    <m/>
  </r>
  <r>
    <x v="2"/>
    <x v="0"/>
    <s v="common/images/infoicons/opp-flag-clear_32x32.png"/>
    <s v="common/images/infoicons/transpix.gif"/>
    <x v="3"/>
    <x v="83"/>
    <s v="CWiggins"/>
    <x v="26"/>
    <x v="196"/>
    <n v="620"/>
    <n v="470"/>
    <x v="0"/>
    <n v="40"/>
    <x v="4"/>
    <x v="2"/>
    <s v="Mon 04/29/2019 review ticket with Chad RE On site visit"/>
    <m/>
    <n v="8"/>
    <m/>
    <n v="620"/>
    <s v="Corporate"/>
    <s v="Rhonda Rivas"/>
    <s v="Irvine"/>
    <s v="CA"/>
    <n v="0"/>
    <n v="0"/>
    <n v="0"/>
    <n v="248"/>
    <n v="0"/>
    <x v="1"/>
    <n v="0"/>
    <n v="0"/>
    <n v="0"/>
    <n v="620"/>
    <n v="0"/>
    <n v="0"/>
    <s v="P1 Hardware / Software"/>
    <s v="Sales"/>
    <s v="Main"/>
    <n v="3085"/>
    <s v="Ventura"/>
    <b v="0"/>
    <m/>
  </r>
  <r>
    <x v="2"/>
    <x v="0"/>
    <s v="common/images/infoicons/opp-flag-clear_32x32.png"/>
    <s v="common/images/infoicons/transpix.gif"/>
    <x v="3"/>
    <x v="83"/>
    <s v="CWiggins"/>
    <x v="40"/>
    <x v="24"/>
    <n v="539"/>
    <n v="134.75"/>
    <x v="3"/>
    <n v="0"/>
    <x v="0"/>
    <x v="2"/>
    <s v="Add new activity"/>
    <m/>
    <n v="3"/>
    <m/>
    <n v="539"/>
    <s v="Corporate"/>
    <s v="Lisa Mousselli"/>
    <s v="Tyler"/>
    <s v="TX"/>
    <n v="0"/>
    <n v="0"/>
    <n v="0"/>
    <n v="0"/>
    <n v="0"/>
    <x v="1"/>
    <n v="0"/>
    <n v="0"/>
    <n v="539"/>
    <n v="0"/>
    <n v="0"/>
    <n v="0"/>
    <s v="P1 Hardware / Software"/>
    <s v="Sales"/>
    <s v="Main"/>
    <n v="3100"/>
    <s v="Ventura"/>
    <b v="0"/>
    <m/>
  </r>
  <r>
    <x v="2"/>
    <x v="0"/>
    <s v="common/images/infoicons/opp-flag-clear_32x32.png"/>
    <s v="common/images/infoicons/transpix.gif"/>
    <x v="3"/>
    <x v="83"/>
    <s v="jelbek"/>
    <x v="13"/>
    <x v="197"/>
    <n v="0"/>
    <n v="0"/>
    <x v="0"/>
    <n v="20"/>
    <x v="8"/>
    <x v="0"/>
    <s v="Add new activity"/>
    <m/>
    <n v="1"/>
    <m/>
    <n v="0"/>
    <s v="Corporate"/>
    <s v="Josh Hansen"/>
    <s v="Camarillo"/>
    <s v="CA"/>
    <n v="0"/>
    <n v="0"/>
    <n v="0"/>
    <n v="0"/>
    <n v="0"/>
    <x v="0"/>
    <n v="0"/>
    <n v="0"/>
    <n v="0"/>
    <n v="0"/>
    <n v="0"/>
    <n v="0"/>
    <m/>
    <s v="Sales"/>
    <s v="Main"/>
    <n v="3117"/>
    <s v="Hero Tech"/>
    <b v="0"/>
    <m/>
  </r>
  <r>
    <x v="2"/>
    <x v="0"/>
    <s v="common/images/infoicons/opp-flag-clear_32x32.png"/>
    <s v="common/images/infoicons/transpix.gif"/>
    <x v="3"/>
    <x v="83"/>
    <s v="CWiggins"/>
    <x v="12"/>
    <x v="198"/>
    <n v="1030"/>
    <n v="780"/>
    <x v="0"/>
    <n v="20"/>
    <x v="8"/>
    <x v="0"/>
    <s v="Add new activity"/>
    <m/>
    <n v="2"/>
    <m/>
    <n v="1030"/>
    <s v="Corporate"/>
    <s v="Chris Rodgers"/>
    <s v="Corona"/>
    <s v="CA"/>
    <n v="0"/>
    <n v="0"/>
    <n v="0"/>
    <n v="206"/>
    <n v="0"/>
    <x v="0"/>
    <n v="0"/>
    <n v="0"/>
    <n v="0"/>
    <n v="1030"/>
    <n v="0"/>
    <n v="0"/>
    <s v="P1 Technology MS"/>
    <s v="Admin"/>
    <s v="Main"/>
    <n v="3113"/>
    <s v="Inland Empire"/>
    <b v="0"/>
    <m/>
  </r>
  <r>
    <x v="2"/>
    <x v="0"/>
    <s v="common/images/infoicons/opp-flag-clear_32x32.png"/>
    <s v="common/images/infoicons/transpix.gif"/>
    <x v="3"/>
    <x v="83"/>
    <s v="CWiggins"/>
    <x v="16"/>
    <x v="199"/>
    <n v="14.95"/>
    <n v="14.95"/>
    <x v="0"/>
    <n v="20"/>
    <x v="8"/>
    <x v="3"/>
    <s v="Add new activity"/>
    <s v="Customer-initiated"/>
    <n v="1"/>
    <m/>
    <n v="14.95"/>
    <s v="Corporate"/>
    <s v="Deanne Filerman"/>
    <s v="Thousand Oaks"/>
    <s v="CA"/>
    <n v="0"/>
    <n v="0"/>
    <n v="0"/>
    <n v="2.99"/>
    <n v="0"/>
    <x v="1"/>
    <n v="0"/>
    <n v="0"/>
    <n v="14.95"/>
    <n v="0"/>
    <n v="0"/>
    <n v="0"/>
    <s v="P1 Hardware / Software"/>
    <s v="Sales"/>
    <s v="Main"/>
    <n v="3120"/>
    <s v="Ventura"/>
    <b v="0"/>
    <m/>
  </r>
  <r>
    <x v="2"/>
    <x v="0"/>
    <s v="common/images/infoicons/opp-flag-clear_32x32.png"/>
    <s v="common/images/infoicons/transpix.gif"/>
    <x v="3"/>
    <x v="83"/>
    <s v="CWiggins"/>
    <x v="16"/>
    <x v="41"/>
    <n v="1248"/>
    <n v="503"/>
    <x v="0"/>
    <n v="80"/>
    <x v="1"/>
    <x v="2"/>
    <s v="Mon 04/29/2019 need to quote"/>
    <s v="Customer-initiated"/>
    <n v="3"/>
    <m/>
    <n v="1248"/>
    <s v="Corporate"/>
    <s v="Dave Snow"/>
    <s v="Thousand Oaks"/>
    <s v="CA"/>
    <n v="0"/>
    <n v="0"/>
    <n v="0"/>
    <n v="998.4"/>
    <n v="0"/>
    <x v="1"/>
    <n v="0"/>
    <n v="0"/>
    <n v="938"/>
    <n v="310"/>
    <n v="0"/>
    <n v="0"/>
    <s v="P1 Hardware / Software"/>
    <s v="Sales"/>
    <s v="Main"/>
    <n v="3103"/>
    <s v="Ventura"/>
    <b v="1"/>
    <m/>
  </r>
  <r>
    <x v="2"/>
    <x v="0"/>
    <s v="common/images/infoicons/opp-flag-clear_32x32.png"/>
    <s v="common/images/infoicons/Flag_Overridden.svg"/>
    <x v="0"/>
    <x v="83"/>
    <s v="CWiggins"/>
    <x v="54"/>
    <x v="200"/>
    <n v="20.8"/>
    <n v="4.2"/>
    <x v="0"/>
    <n v="0"/>
    <x v="0"/>
    <x v="0"/>
    <m/>
    <m/>
    <n v="1"/>
    <m/>
    <n v="0"/>
    <s v="Corporate"/>
    <s v="Tom Jellinek"/>
    <s v="Agoura Hills"/>
    <s v="CA"/>
    <n v="0"/>
    <n v="20.8"/>
    <n v="0"/>
    <n v="0"/>
    <n v="0"/>
    <x v="1"/>
    <n v="0"/>
    <n v="0"/>
    <n v="20.8"/>
    <n v="0"/>
    <n v="0"/>
    <n v="0"/>
    <s v="P1 Hardware / Software"/>
    <s v="Sales"/>
    <s v="Main"/>
    <n v="3118"/>
    <s v="Hero Tech"/>
    <b v="1"/>
    <m/>
  </r>
  <r>
    <x v="2"/>
    <x v="0"/>
    <s v="common/images/infoicons/opp-flag-clear_32x32.png"/>
    <s v="common/images/infoicons/transpix.gif"/>
    <x v="3"/>
    <x v="84"/>
    <s v="CWiggins"/>
    <x v="32"/>
    <x v="201"/>
    <n v="249"/>
    <n v="74.7"/>
    <x v="3"/>
    <n v="20"/>
    <x v="8"/>
    <x v="0"/>
    <s v="Add new activity"/>
    <m/>
    <n v="10"/>
    <m/>
    <n v="249"/>
    <s v="Corporate"/>
    <s v="Maryam Vosogh"/>
    <s v="Covina"/>
    <s v="CA"/>
    <n v="0"/>
    <n v="0"/>
    <n v="0"/>
    <n v="49.8"/>
    <n v="0"/>
    <x v="1"/>
    <n v="0"/>
    <n v="0"/>
    <n v="249"/>
    <n v="0"/>
    <n v="0"/>
    <n v="0"/>
    <s v="P1 Hardware / Software"/>
    <s v="Sales"/>
    <s v="Main"/>
    <n v="3071"/>
    <s v="Inland Empire"/>
    <b v="0"/>
    <m/>
  </r>
  <r>
    <x v="2"/>
    <x v="0"/>
    <s v="common/images/infoicons/opp-flag-clear_32x32.png"/>
    <s v="common/images/infoicons/transpix.gif"/>
    <x v="3"/>
    <x v="84"/>
    <s v="jelbek"/>
    <x v="46"/>
    <x v="202"/>
    <n v="0"/>
    <n v="0"/>
    <x v="0"/>
    <n v="20"/>
    <x v="8"/>
    <x v="0"/>
    <s v="Add new activity"/>
    <m/>
    <n v="1"/>
    <m/>
    <n v="0"/>
    <s v="Corporate"/>
    <s v="Chad Wiggins"/>
    <s v="Ventura"/>
    <s v="CA"/>
    <n v="0"/>
    <n v="0"/>
    <n v="0"/>
    <n v="0"/>
    <n v="0"/>
    <x v="0"/>
    <n v="0"/>
    <n v="0"/>
    <n v="0"/>
    <n v="0"/>
    <n v="0"/>
    <n v="0"/>
    <s v="P1 Hardware / Software"/>
    <s v="Sales"/>
    <s v="Main"/>
    <n v="3115"/>
    <s v="Corporate"/>
    <b v="0"/>
    <m/>
  </r>
  <r>
    <x v="2"/>
    <x v="0"/>
    <s v="common/images/infoicons/opp-flag-clear_32x32.png"/>
    <s v="common/images/infoicons/Status_CredsVaild.svg"/>
    <x v="4"/>
    <x v="3"/>
    <s v="jelbek"/>
    <x v="8"/>
    <x v="203"/>
    <n v="419.96"/>
    <n v="119.98"/>
    <x v="0"/>
    <n v="0"/>
    <x v="2"/>
    <x v="0"/>
    <m/>
    <m/>
    <n v="86"/>
    <m/>
    <n v="0"/>
    <s v="Corporate"/>
    <s v="Naomi Tsuji"/>
    <s v="El Segundo"/>
    <s v="CA"/>
    <n v="0"/>
    <n v="0"/>
    <n v="0"/>
    <n v="0"/>
    <n v="0"/>
    <x v="0"/>
    <n v="0"/>
    <n v="0"/>
    <n v="419.96"/>
    <n v="0"/>
    <n v="0"/>
    <n v="0"/>
    <s v="P1 Hardware / Software"/>
    <s v="Sales"/>
    <s v="Maple Ave - Current Locatin"/>
    <n v="2829"/>
    <s v="Ventura"/>
    <b v="0"/>
    <m/>
  </r>
  <r>
    <x v="2"/>
    <x v="0"/>
    <s v="common/images/infoicons/opp-flag-clear_32x32.png"/>
    <s v="common/images/infoicons/transpix.gif"/>
    <x v="3"/>
    <x v="3"/>
    <s v="CWiggins"/>
    <x v="28"/>
    <x v="204"/>
    <n v="7000"/>
    <n v="7000"/>
    <x v="1"/>
    <n v="20"/>
    <x v="8"/>
    <x v="0"/>
    <s v="Mon 04/22/2019 f/u after taxes"/>
    <m/>
    <n v="169"/>
    <m/>
    <n v="7000"/>
    <s v="Corporate"/>
    <s v="Kathy Whitesell"/>
    <s v="Camarillo"/>
    <s v="CA"/>
    <n v="0"/>
    <n v="0"/>
    <n v="0"/>
    <n v="1400"/>
    <n v="0"/>
    <x v="1"/>
    <n v="0"/>
    <n v="0"/>
    <n v="0"/>
    <n v="7000"/>
    <n v="0"/>
    <n v="0"/>
    <s v="P1 Hardware / Software"/>
    <s v="Sales"/>
    <s v="Main"/>
    <n v="2580"/>
    <s v="Ventura"/>
    <b v="0"/>
    <m/>
  </r>
  <r>
    <x v="2"/>
    <x v="0"/>
    <s v="common/images/infoicons/opp-flag-clear_32x32.png"/>
    <s v="common/images/infoicons/transpix.gif"/>
    <x v="3"/>
    <x v="10"/>
    <s v="CWiggins"/>
    <x v="7"/>
    <x v="205"/>
    <n v="0"/>
    <n v="0"/>
    <x v="0"/>
    <n v="20"/>
    <x v="8"/>
    <x v="1"/>
    <s v="Fri 05/03/2019 Chad, Will, Luis meet"/>
    <m/>
    <n v="20"/>
    <m/>
    <n v="0"/>
    <s v="Corporate"/>
    <s v="Brendin  Poe"/>
    <s v="Van Nuys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50"/>
    <s v="Ventura"/>
    <b v="0"/>
    <m/>
  </r>
  <r>
    <x v="2"/>
    <x v="0"/>
    <s v="common/images/infoicons/opp-flag-clear_32x32.png"/>
    <s v="common/images/infoicons/transpix.gif"/>
    <x v="3"/>
    <x v="10"/>
    <s v="CWiggins"/>
    <x v="7"/>
    <x v="206"/>
    <n v="0"/>
    <n v="0"/>
    <x v="0"/>
    <n v="40"/>
    <x v="4"/>
    <x v="1"/>
    <s v="Fri 05/03/2019 develop SOW"/>
    <m/>
    <n v="3"/>
    <m/>
    <n v="0"/>
    <s v="Corporate"/>
    <s v="Mariela Feldman"/>
    <s v="Van Nuys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95"/>
    <s v="Ventura"/>
    <b v="0"/>
    <m/>
  </r>
  <r>
    <x v="2"/>
    <x v="0"/>
    <s v="common/images/infoicons/opp-flag-clear_32x32.png"/>
    <s v="common/images/infoicons/transpix.gif"/>
    <x v="3"/>
    <x v="10"/>
    <s v="CWiggins"/>
    <x v="7"/>
    <x v="207"/>
    <n v="6643.04"/>
    <n v="1787.43"/>
    <x v="0"/>
    <n v="40"/>
    <x v="4"/>
    <x v="1"/>
    <s v="Wed 04/17/2019 Jasmine get ISP info for new location"/>
    <s v="Customer-initiated"/>
    <n v="24"/>
    <m/>
    <n v="6643.04"/>
    <s v="Corporate"/>
    <s v="Mariela Feldman"/>
    <s v="Van Nuys"/>
    <s v="CA"/>
    <n v="0"/>
    <n v="0"/>
    <n v="0"/>
    <n v="2657.2159999999999"/>
    <n v="0"/>
    <x v="1"/>
    <n v="0"/>
    <n v="0"/>
    <n v="6643.04"/>
    <n v="0"/>
    <n v="0"/>
    <n v="0"/>
    <s v="P1 Hardware / Software"/>
    <s v="Sales"/>
    <s v="Main"/>
    <n v="3029"/>
    <s v="Ventura"/>
    <b v="0"/>
    <m/>
  </r>
  <r>
    <x v="2"/>
    <x v="0"/>
    <s v="common/images/infoicons/opp-flag-clear_32x32.png"/>
    <s v="common/images/infoicons/transpix.gif"/>
    <x v="3"/>
    <x v="10"/>
    <s v="CWiggins"/>
    <x v="7"/>
    <x v="208"/>
    <n v="0"/>
    <n v="0"/>
    <x v="0"/>
    <n v="40"/>
    <x v="4"/>
    <x v="1"/>
    <s v="Fri 05/03/2019 how much to charge ACT - Chad ask Will"/>
    <m/>
    <n v="3"/>
    <m/>
    <n v="0"/>
    <s v="Corporate"/>
    <s v="Mariela Feldman"/>
    <s v="Van Nuys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94"/>
    <s v="Ventura"/>
    <b v="0"/>
    <m/>
  </r>
  <r>
    <x v="2"/>
    <x v="0"/>
    <s v="common/images/infoicons/opp-flag-clear_32x32.png"/>
    <s v="common/images/infoicons/transpix.gif"/>
    <x v="3"/>
    <x v="10"/>
    <s v="CWiggins"/>
    <x v="50"/>
    <x v="209"/>
    <n v="310"/>
    <n v="310"/>
    <x v="0"/>
    <n v="20"/>
    <x v="8"/>
    <x v="0"/>
    <s v="Tue 04/23/2019 andrew / bludog see how to move phones over to ATA box"/>
    <m/>
    <n v="41"/>
    <m/>
    <n v="310"/>
    <s v="Corporate"/>
    <s v="Kat  Cryers"/>
    <s v="Ventura, "/>
    <s v="CA"/>
    <n v="0"/>
    <n v="0"/>
    <n v="0"/>
    <n v="62"/>
    <n v="0"/>
    <x v="0"/>
    <n v="0"/>
    <n v="0"/>
    <n v="0"/>
    <n v="310"/>
    <n v="0"/>
    <n v="0"/>
    <s v="P1 Hardware / Software"/>
    <s v="Admin"/>
    <s v="Main"/>
    <n v="2979"/>
    <s v="Corporate"/>
    <b v="0"/>
    <m/>
  </r>
  <r>
    <x v="2"/>
    <x v="0"/>
    <s v="common/images/infoicons/opp-flag-clear_32x32.png"/>
    <s v="common/images/infoicons/transpix.gif"/>
    <x v="3"/>
    <x v="10"/>
    <s v="CWiggins"/>
    <x v="10"/>
    <x v="210"/>
    <n v="0"/>
    <n v="0"/>
    <x v="0"/>
    <n v="20"/>
    <x v="8"/>
    <x v="0"/>
    <s v="Mon 04/15/2019 f/u with Chris / Bludog"/>
    <m/>
    <n v="20"/>
    <m/>
    <n v="0"/>
    <s v="Corporate"/>
    <s v="Gerald Innes"/>
    <s v="Ventura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52"/>
    <s v="Hero Tech"/>
    <b v="0"/>
    <m/>
  </r>
  <r>
    <x v="2"/>
    <x v="0"/>
    <s v="common/images/infoicons/opp-flag-clear_32x32.png"/>
    <s v="common/images/infoicons/transpix.gif"/>
    <x v="3"/>
    <x v="10"/>
    <s v="CWiggins"/>
    <x v="41"/>
    <x v="211"/>
    <n v="0"/>
    <n v="0"/>
    <x v="0"/>
    <n v="40"/>
    <x v="4"/>
    <x v="2"/>
    <s v="Mon 04/29/2019 call Will Shepherd RE Security Camera needs"/>
    <m/>
    <n v="3"/>
    <m/>
    <n v="0"/>
    <s v="Corporate"/>
    <s v="Chris Shepherd"/>
    <s v="Ventura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97"/>
    <s v="Hero Tech"/>
    <b v="0"/>
    <m/>
  </r>
  <r>
    <x v="2"/>
    <x v="0"/>
    <s v="common/images/infoicons/opp-flag-clear_32x32.png"/>
    <s v="common/images/infoicons/transpix.gif"/>
    <x v="3"/>
    <x v="10"/>
    <s v="CWiggins"/>
    <x v="6"/>
    <x v="101"/>
    <n v="62.5"/>
    <n v="5.7"/>
    <x v="1"/>
    <n v="100"/>
    <x v="9"/>
    <x v="0"/>
    <s v="Wed 05/01/2019 Invoice 5/1"/>
    <m/>
    <n v="162"/>
    <m/>
    <n v="62.5"/>
    <s v="Corporate"/>
    <s v="Mike Davis"/>
    <s v="Oxnard"/>
    <s v="CA"/>
    <n v="0"/>
    <n v="0"/>
    <n v="0"/>
    <n v="62.5"/>
    <n v="0"/>
    <x v="0"/>
    <n v="0"/>
    <n v="0"/>
    <n v="62.5"/>
    <n v="0"/>
    <n v="0"/>
    <n v="0"/>
    <s v="P1 Technology MS"/>
    <s v="Admin"/>
    <s v="Main"/>
    <n v="2601"/>
    <s v="Hero Tech"/>
    <b v="0"/>
    <m/>
  </r>
  <r>
    <x v="2"/>
    <x v="0"/>
    <s v="common/images/infoicons/opp-flag-clear_32x32.png"/>
    <s v="common/images/infoicons/transpix.gif"/>
    <x v="3"/>
    <x v="10"/>
    <s v="CWiggins"/>
    <x v="25"/>
    <x v="212"/>
    <n v="350"/>
    <n v="350"/>
    <x v="0"/>
    <n v="20"/>
    <x v="8"/>
    <x v="0"/>
    <s v="Wed 05/01/2019 can we invoice"/>
    <m/>
    <n v="50"/>
    <m/>
    <n v="350"/>
    <s v="Corporate"/>
    <s v="James deVos"/>
    <s v="Newbury Park"/>
    <s v="CA"/>
    <n v="0"/>
    <n v="0"/>
    <n v="0"/>
    <n v="70"/>
    <n v="0"/>
    <x v="0"/>
    <n v="0"/>
    <n v="0"/>
    <n v="0"/>
    <n v="350"/>
    <n v="0"/>
    <n v="0"/>
    <s v="P1 Hardware / Software"/>
    <s v="Admin"/>
    <s v="Main"/>
    <n v="2951"/>
    <s v="Hero Tech"/>
    <b v="0"/>
    <m/>
  </r>
  <r>
    <x v="2"/>
    <x v="0"/>
    <s v="common/images/infoicons/opp-flag-clear_32x32.png"/>
    <s v="common/images/infoicons/Status_CredsNotVaild.svg"/>
    <x v="2"/>
    <x v="10"/>
    <s v="CWiggins"/>
    <x v="13"/>
    <x v="213"/>
    <n v="0"/>
    <n v="0"/>
    <x v="0"/>
    <n v="80"/>
    <x v="1"/>
    <x v="1"/>
    <s v="Wed 06/05/2019 Follow Up on Server Room Cleanup"/>
    <m/>
    <n v="162"/>
    <m/>
    <n v="0"/>
    <s v="Corporate"/>
    <s v="Mike Somers"/>
    <s v="Camarillo"/>
    <s v="CA"/>
    <n v="0"/>
    <n v="0"/>
    <n v="4730"/>
    <n v="0"/>
    <n v="0"/>
    <x v="1"/>
    <n v="0"/>
    <n v="0"/>
    <n v="0"/>
    <n v="0"/>
    <n v="0"/>
    <n v="0"/>
    <s v="P1 Hardware / Software"/>
    <s v="Sales"/>
    <s v="Main"/>
    <n v="2616"/>
    <s v="Hero Tech"/>
    <b v="0"/>
    <m/>
  </r>
  <r>
    <x v="2"/>
    <x v="0"/>
    <s v="common/images/infoicons/opp-flag-clear_32x32.png"/>
    <s v="common/images/infoicons/transpix.gif"/>
    <x v="3"/>
    <x v="10"/>
    <s v="CWiggins"/>
    <x v="13"/>
    <x v="214"/>
    <n v="3530"/>
    <n v="380"/>
    <x v="0"/>
    <n v="80"/>
    <x v="1"/>
    <x v="1"/>
    <s v="Tue 06/04/2019 Follow Up on Server Room Cleanup"/>
    <m/>
    <n v="168"/>
    <m/>
    <n v="3530"/>
    <s v="Corporate"/>
    <s v="Mike Somers"/>
    <s v="Camarillo"/>
    <s v="CA"/>
    <n v="0"/>
    <n v="0"/>
    <n v="0"/>
    <n v="2824"/>
    <n v="0"/>
    <x v="1"/>
    <n v="0"/>
    <n v="0"/>
    <n v="450"/>
    <n v="3080"/>
    <n v="0"/>
    <n v="0"/>
    <s v="P1 Hardware / Software"/>
    <s v="Sales"/>
    <s v="Main"/>
    <n v="2586"/>
    <s v="Hero Tech"/>
    <b v="0"/>
    <m/>
  </r>
  <r>
    <x v="2"/>
    <x v="0"/>
    <s v="common/images/infoicons/opp-flag-clear_32x32.png"/>
    <s v="common/images/infoicons/transpix.gif"/>
    <x v="3"/>
    <x v="10"/>
    <s v="CWiggins"/>
    <x v="56"/>
    <x v="215"/>
    <n v="10506"/>
    <n v="10356"/>
    <x v="0"/>
    <n v="20"/>
    <x v="8"/>
    <x v="0"/>
    <s v="Add new activity"/>
    <m/>
    <n v="10"/>
    <m/>
    <n v="10506"/>
    <s v="Corporate"/>
    <s v="Anne Daigh"/>
    <s v="Nashville"/>
    <s v="TN"/>
    <n v="0"/>
    <n v="0"/>
    <n v="0"/>
    <n v="2101.1999999999998"/>
    <n v="0"/>
    <x v="0"/>
    <n v="0"/>
    <n v="0"/>
    <n v="9886"/>
    <n v="620"/>
    <n v="0"/>
    <n v="0"/>
    <s v="P1 Hardware / Software"/>
    <s v="Admin"/>
    <s v="Main"/>
    <n v="3076"/>
    <s v="Nashville"/>
    <b v="0"/>
    <m/>
  </r>
  <r>
    <x v="2"/>
    <x v="0"/>
    <s v="common/images/infoicons/opp-flag-clear_32x32.png"/>
    <s v="common/images/infoicons/transpix.gif"/>
    <x v="3"/>
    <x v="10"/>
    <s v="CWiggins"/>
    <x v="56"/>
    <x v="216"/>
    <n v="12108"/>
    <n v="11958"/>
    <x v="0"/>
    <n v="80"/>
    <x v="1"/>
    <x v="2"/>
    <s v="Fri 04/19/2019 Call Anne 2 Macs"/>
    <m/>
    <n v="223"/>
    <m/>
    <n v="12108"/>
    <s v="Corporate"/>
    <s v="Anne Daigh"/>
    <s v="Nashville"/>
    <s v="TN"/>
    <n v="0"/>
    <n v="0"/>
    <n v="0"/>
    <n v="9686.4"/>
    <n v="0"/>
    <x v="0"/>
    <n v="0"/>
    <n v="0"/>
    <n v="11488"/>
    <n v="620"/>
    <n v="0"/>
    <n v="0"/>
    <s v="P1 Hardware / Software"/>
    <s v="Admin"/>
    <s v="Main"/>
    <n v="2412"/>
    <s v="Nashville"/>
    <b v="0"/>
    <m/>
  </r>
  <r>
    <x v="2"/>
    <x v="0"/>
    <s v="common/images/infoicons/opp-flag-clear_32x32.png"/>
    <s v="common/images/infoicons/transpix.gif"/>
    <x v="3"/>
    <x v="10"/>
    <s v="CWiggins"/>
    <x v="57"/>
    <x v="217"/>
    <n v="1500"/>
    <n v="1500"/>
    <x v="0"/>
    <n v="40"/>
    <x v="4"/>
    <x v="1"/>
    <s v="Fri 04/19/2019 develop cyber security content and send to Butch"/>
    <m/>
    <n v="17"/>
    <m/>
    <n v="1500"/>
    <s v="Corporate"/>
    <s v="T.L. (Butch) Walls"/>
    <s v="Simi Valley"/>
    <s v="CA"/>
    <n v="0"/>
    <n v="0"/>
    <n v="0"/>
    <n v="600"/>
    <n v="0"/>
    <x v="1"/>
    <n v="0"/>
    <n v="0"/>
    <n v="0"/>
    <n v="1500"/>
    <n v="0"/>
    <n v="0"/>
    <s v="P1 Hardware / Software"/>
    <s v="Sales"/>
    <s v="Main"/>
    <n v="3054"/>
    <s v="Hero Tech"/>
    <b v="0"/>
    <m/>
  </r>
  <r>
    <x v="2"/>
    <x v="0"/>
    <s v="common/images/infoicons/opp-flag-clear_32x32.png"/>
    <s v="common/images/infoicons/transpix.gif"/>
    <x v="3"/>
    <x v="10"/>
    <s v="CWiggins"/>
    <x v="4"/>
    <x v="218"/>
    <n v="3654.88"/>
    <n v="2116.56"/>
    <x v="0"/>
    <n v="20"/>
    <x v="8"/>
    <x v="1"/>
    <s v="Thu 04/18/2019 POTS call Laura"/>
    <m/>
    <n v="22"/>
    <m/>
    <n v="3654.88"/>
    <s v="Corporate"/>
    <s v="Mike Leblanc"/>
    <s v="Ventura"/>
    <s v="CA"/>
    <n v="0"/>
    <n v="0"/>
    <n v="0"/>
    <n v="730.976"/>
    <n v="0"/>
    <x v="0"/>
    <n v="0"/>
    <n v="0"/>
    <n v="2114.88"/>
    <n v="1540"/>
    <n v="0"/>
    <n v="0"/>
    <s v="P1 Hardware / Software"/>
    <s v="Admin"/>
    <s v="Main"/>
    <n v="3039"/>
    <s v="Ventura"/>
    <b v="0"/>
    <m/>
  </r>
  <r>
    <x v="2"/>
    <x v="0"/>
    <s v="common/images/infoicons/opp-flag-clear_32x32.png"/>
    <s v="common/images/infoicons/Flag_Overridden.svg"/>
    <x v="0"/>
    <x v="10"/>
    <s v="CWiggins"/>
    <x v="4"/>
    <x v="219"/>
    <n v="175"/>
    <n v="52.5"/>
    <x v="0"/>
    <n v="0"/>
    <x v="0"/>
    <x v="2"/>
    <s v="Wed 04/17/2019 f/u with Andrew if this worked"/>
    <m/>
    <n v="36"/>
    <m/>
    <n v="0"/>
    <s v="Corporate"/>
    <s v="Mike Leblanc"/>
    <s v="Ventura"/>
    <s v="CA"/>
    <n v="0"/>
    <n v="175"/>
    <n v="0"/>
    <n v="0"/>
    <n v="0"/>
    <x v="1"/>
    <n v="0"/>
    <n v="0"/>
    <n v="175"/>
    <n v="0"/>
    <n v="0"/>
    <n v="0"/>
    <s v="P1 Hardware / Software"/>
    <s v="Sales"/>
    <s v="Main"/>
    <n v="2988"/>
    <s v="Ventura"/>
    <b v="1"/>
    <m/>
  </r>
  <r>
    <x v="2"/>
    <x v="0"/>
    <s v="common/images/infoicons/opp-flag-clear_32x32.png"/>
    <s v="common/images/infoicons/transpix.gif"/>
    <x v="3"/>
    <x v="10"/>
    <s v="CWiggins"/>
    <x v="4"/>
    <x v="220"/>
    <n v="4450.41"/>
    <n v="2172.5100000000002"/>
    <x v="0"/>
    <n v="20"/>
    <x v="8"/>
    <x v="1"/>
    <s v="Thu 04/18/2019 follow up "/>
    <m/>
    <n v="34"/>
    <m/>
    <n v="4450.41"/>
    <s v="Corporate"/>
    <s v="Mike Leblanc"/>
    <s v="Ventura"/>
    <s v="CA"/>
    <n v="0"/>
    <n v="0"/>
    <n v="0"/>
    <n v="890.08199999999999"/>
    <n v="0"/>
    <x v="0"/>
    <n v="0"/>
    <n v="0"/>
    <n v="3830.41"/>
    <n v="620"/>
    <n v="0"/>
    <n v="0"/>
    <s v="P1 Hardware / Software"/>
    <s v="Admin"/>
    <s v="Main"/>
    <n v="2993"/>
    <s v="Ventura"/>
    <b v="0"/>
    <m/>
  </r>
  <r>
    <x v="2"/>
    <x v="0"/>
    <s v="common/images/infoicons/opp-flag-clear_32x32.png"/>
    <s v="common/images/infoicons/transpix.gif"/>
    <x v="3"/>
    <x v="10"/>
    <s v="CWiggins"/>
    <x v="4"/>
    <x v="221"/>
    <n v="5000"/>
    <n v="5000"/>
    <x v="0"/>
    <n v="20"/>
    <x v="8"/>
    <x v="1"/>
    <s v="Thu 04/18/2019 follow up "/>
    <m/>
    <n v="34"/>
    <m/>
    <n v="5000"/>
    <s v="Corporate"/>
    <s v="Mike Leblanc"/>
    <s v="Ventura"/>
    <s v="CA"/>
    <n v="0"/>
    <n v="0"/>
    <n v="0"/>
    <n v="1000"/>
    <n v="0"/>
    <x v="0"/>
    <n v="0"/>
    <n v="0"/>
    <n v="0"/>
    <n v="5000"/>
    <n v="0"/>
    <n v="0"/>
    <s v="P1 Hardware / Software"/>
    <s v="Admin"/>
    <s v="Main"/>
    <n v="2992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22"/>
    <n v="1830"/>
    <n v="1830"/>
    <x v="0"/>
    <n v="20"/>
    <x v="8"/>
    <x v="1"/>
    <s v="Thu 04/18/2019 f/u w/ isu"/>
    <m/>
    <n v="36"/>
    <m/>
    <n v="1830"/>
    <s v="Corporate"/>
    <s v="Isu Sahai"/>
    <s v="El Segundo "/>
    <s v="CA"/>
    <n v="0"/>
    <n v="0"/>
    <n v="0"/>
    <n v="366"/>
    <n v="0"/>
    <x v="0"/>
    <n v="0"/>
    <n v="0"/>
    <n v="0"/>
    <n v="1830"/>
    <n v="0"/>
    <n v="0"/>
    <s v="P1 Hardware / Software"/>
    <s v="Admin"/>
    <s v="Main - Old Location"/>
    <n v="2986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23"/>
    <n v="0"/>
    <n v="0"/>
    <x v="0"/>
    <n v="20"/>
    <x v="8"/>
    <x v="0"/>
    <s v="Sun 07/21/2019 call Isu - review contract/vendor list "/>
    <m/>
    <n v="10"/>
    <m/>
    <n v="0"/>
    <s v="Corporate"/>
    <s v="Isu Sahai"/>
    <s v="El Segundo"/>
    <s v="CA"/>
    <n v="0"/>
    <n v="0"/>
    <n v="0"/>
    <n v="0"/>
    <n v="0"/>
    <x v="0"/>
    <n v="0"/>
    <n v="0"/>
    <n v="0"/>
    <n v="0"/>
    <n v="0"/>
    <n v="0"/>
    <m/>
    <s v="Sales"/>
    <s v="Maple Ave - Current Locatin"/>
    <n v="3070"/>
    <s v="Ventura"/>
    <b v="0"/>
    <m/>
  </r>
  <r>
    <x v="2"/>
    <x v="0"/>
    <s v="common/images/infoicons/opp-flag-clear_32x32.png"/>
    <s v="common/images/infoicons/transpix.gif"/>
    <x v="3"/>
    <x v="10"/>
    <s v="jelbek"/>
    <x v="8"/>
    <x v="224"/>
    <n v="10140"/>
    <n v="10140"/>
    <x v="0"/>
    <n v="40"/>
    <x v="4"/>
    <x v="1"/>
    <s v="Tue 04/16/2019 f/u with isu - approved?"/>
    <m/>
    <n v="71"/>
    <m/>
    <n v="10140"/>
    <s v="Corporate"/>
    <s v="Isu Sahai"/>
    <s v="El Segundo"/>
    <s v="CA"/>
    <n v="0"/>
    <n v="0"/>
    <n v="0"/>
    <n v="4056"/>
    <n v="0"/>
    <x v="0"/>
    <n v="0"/>
    <n v="0"/>
    <n v="0"/>
    <n v="10140"/>
    <n v="0"/>
    <n v="0"/>
    <s v="P1 Hardware / Software"/>
    <s v="Sales"/>
    <s v="Maple Ave - Current Locatin"/>
    <n v="2885"/>
    <s v="Ventura"/>
    <b v="0"/>
    <m/>
  </r>
  <r>
    <x v="2"/>
    <x v="0"/>
    <s v="common/images/infoicons/opp-flag-clear_32x32.png"/>
    <s v="common/images/infoicons/Status_CredsNotVaild.svg"/>
    <x v="2"/>
    <x v="10"/>
    <s v="CWiggins"/>
    <x v="8"/>
    <x v="225"/>
    <n v="0"/>
    <n v="0"/>
    <x v="0"/>
    <n v="20"/>
    <x v="5"/>
    <x v="1"/>
    <m/>
    <m/>
    <n v="24"/>
    <m/>
    <n v="0"/>
    <s v="Corporate"/>
    <s v="Isu Sahai"/>
    <s v="El Segundo"/>
    <s v="CA"/>
    <n v="0"/>
    <n v="0"/>
    <n v="7753.22"/>
    <n v="0"/>
    <n v="0"/>
    <x v="1"/>
    <n v="0"/>
    <n v="0"/>
    <n v="0"/>
    <n v="0"/>
    <n v="0"/>
    <n v="0"/>
    <s v="P1 Hardware / Software"/>
    <s v="Sales"/>
    <s v="Maple Ave - Current Locatin"/>
    <n v="3027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26"/>
    <n v="10154.530000000001"/>
    <n v="3166.8"/>
    <x v="0"/>
    <n v="0"/>
    <x v="0"/>
    <x v="1"/>
    <s v="Wed 04/17/2019 ask Chuck "/>
    <m/>
    <n v="71"/>
    <m/>
    <n v="7150"/>
    <s v="Corporate"/>
    <s v="Isu Sahai"/>
    <s v="Carson"/>
    <s v="CA"/>
    <n v="0"/>
    <n v="3004.53"/>
    <n v="0"/>
    <n v="0"/>
    <n v="0"/>
    <x v="0"/>
    <n v="0"/>
    <n v="0"/>
    <n v="6798.53"/>
    <n v="3356"/>
    <n v="0"/>
    <n v="0"/>
    <s v="P1 Hardware / Software"/>
    <s v="Admin"/>
    <s v="Carson Warehouse"/>
    <n v="2884"/>
    <s v="Ventura"/>
    <b v="1"/>
    <m/>
  </r>
  <r>
    <x v="2"/>
    <x v="0"/>
    <s v="common/images/infoicons/opp-flag-clear_32x32.png"/>
    <s v="common/images/infoicons/transpix.gif"/>
    <x v="3"/>
    <x v="10"/>
    <s v="CWiggins"/>
    <x v="8"/>
    <x v="227"/>
    <n v="0"/>
    <n v="0"/>
    <x v="0"/>
    <n v="0"/>
    <x v="0"/>
    <x v="0"/>
    <s v="Add new activity"/>
    <m/>
    <n v="6"/>
    <m/>
    <n v="0"/>
    <s v="Corporate"/>
    <s v="Isu Sahai"/>
    <s v="El Segundo"/>
    <s v="CA"/>
    <n v="0"/>
    <n v="0"/>
    <n v="0"/>
    <n v="0"/>
    <n v="0"/>
    <x v="1"/>
    <n v="0"/>
    <n v="0"/>
    <n v="0"/>
    <n v="0"/>
    <n v="0"/>
    <n v="0"/>
    <s v="P1 Hardware / Software"/>
    <s v="Sales"/>
    <s v="Maple Ave - Current Locatin"/>
    <n v="3090"/>
    <s v="Ventura"/>
    <b v="0"/>
    <m/>
  </r>
  <r>
    <x v="2"/>
    <x v="0"/>
    <s v="common/images/infoicons/opp-flag-clear_32x32.png"/>
    <s v="common/images/infoicons/Status_CredsVaild.svg"/>
    <x v="4"/>
    <x v="10"/>
    <s v="CWiggins"/>
    <x v="8"/>
    <x v="228"/>
    <n v="310"/>
    <n v="155"/>
    <x v="0"/>
    <n v="40"/>
    <x v="4"/>
    <x v="2"/>
    <s v="Tue 04/30/2019 send Advantage proposal "/>
    <m/>
    <n v="57"/>
    <m/>
    <n v="0"/>
    <s v="Corporate"/>
    <s v="Elisa Giono"/>
    <s v="Carson"/>
    <s v="CA"/>
    <n v="0"/>
    <n v="0"/>
    <n v="0"/>
    <n v="124"/>
    <n v="0"/>
    <x v="1"/>
    <n v="0"/>
    <n v="0"/>
    <n v="0"/>
    <n v="310"/>
    <n v="0"/>
    <n v="0"/>
    <s v="P1 Hardware / Software"/>
    <s v="Sales"/>
    <s v="Carson Warehouse"/>
    <n v="2928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29"/>
    <n v="9037.56"/>
    <n v="2581.96"/>
    <x v="0"/>
    <n v="80"/>
    <x v="1"/>
    <x v="2"/>
    <s v="Add new activity"/>
    <m/>
    <n v="3"/>
    <m/>
    <n v="9037.56"/>
    <s v="Corporate"/>
    <s v="Isu Sahai"/>
    <s v="El Segundo"/>
    <s v="CA"/>
    <n v="0"/>
    <n v="0"/>
    <n v="0"/>
    <n v="7230.0479999999998"/>
    <n v="0"/>
    <x v="1"/>
    <n v="0"/>
    <n v="0"/>
    <n v="9037.56"/>
    <n v="0"/>
    <n v="0"/>
    <n v="0"/>
    <s v="P1 Hardware / Software"/>
    <s v="Sales"/>
    <s v="Maple Ave - Current Locatin"/>
    <n v="3104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30"/>
    <n v="2289.5"/>
    <n v="642.32000000000005"/>
    <x v="0"/>
    <n v="20"/>
    <x v="8"/>
    <x v="0"/>
    <s v="Add new activity"/>
    <m/>
    <n v="21"/>
    <m/>
    <n v="2289.5"/>
    <s v="Corporate"/>
    <s v="Isu Sahai"/>
    <s v="El Segundo"/>
    <s v="CA"/>
    <n v="0"/>
    <n v="0"/>
    <n v="0"/>
    <n v="457.9"/>
    <n v="0"/>
    <x v="1"/>
    <n v="0"/>
    <n v="0"/>
    <n v="2289.5"/>
    <n v="0"/>
    <n v="0"/>
    <n v="0"/>
    <s v="P1 Hardware / Software"/>
    <s v="Sales"/>
    <s v="Maple Ave - Current Locatin"/>
    <n v="3047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31"/>
    <n v="636"/>
    <n v="106.01"/>
    <x v="0"/>
    <n v="20"/>
    <x v="5"/>
    <x v="2"/>
    <s v="Fri 04/26/2019 Isu put on hold 4/12/19 - f/u"/>
    <m/>
    <n v="31"/>
    <m/>
    <n v="636"/>
    <s v="Corporate"/>
    <s v="Isu Sahai"/>
    <s v="El Segundo"/>
    <s v="CA"/>
    <n v="0"/>
    <n v="0"/>
    <n v="0"/>
    <n v="127.2"/>
    <n v="0"/>
    <x v="1"/>
    <n v="0"/>
    <n v="0"/>
    <n v="636"/>
    <n v="0"/>
    <n v="0"/>
    <n v="0"/>
    <s v="P1 Hardware / Software"/>
    <s v="Sales"/>
    <s v="Maple Ave - Current Locatin"/>
    <n v="3008"/>
    <s v="Ventura"/>
    <b v="0"/>
    <m/>
  </r>
  <r>
    <x v="2"/>
    <x v="0"/>
    <s v="common/images/infoicons/opp-flag-clear_32x32.png"/>
    <s v="common/images/infoicons/transpix.gif"/>
    <x v="3"/>
    <x v="10"/>
    <s v="CWiggins"/>
    <x v="8"/>
    <x v="232"/>
    <n v="500"/>
    <n v="250"/>
    <x v="0"/>
    <n v="40"/>
    <x v="4"/>
    <x v="1"/>
    <s v="Fri 04/19/2019 get $$ MS to Isu"/>
    <m/>
    <n v="27"/>
    <m/>
    <n v="500"/>
    <s v="Corporate"/>
    <s v="Isu Sahai"/>
    <s v="El Segundo"/>
    <s v="CA"/>
    <n v="0"/>
    <n v="0"/>
    <n v="0"/>
    <n v="200"/>
    <n v="0"/>
    <x v="1"/>
    <n v="0"/>
    <n v="0"/>
    <n v="0"/>
    <n v="500"/>
    <n v="0"/>
    <n v="0"/>
    <s v="P1 Hardware / Software"/>
    <s v="Sales"/>
    <s v="Maple Ave - Current Locatin"/>
    <n v="3019"/>
    <s v="Ventura"/>
    <b v="0"/>
    <m/>
  </r>
  <r>
    <x v="2"/>
    <x v="0"/>
    <s v="common/images/infoicons/opp-flag-clear_32x32.png"/>
    <s v="common/images/infoicons/transpix.gif"/>
    <x v="3"/>
    <x v="10"/>
    <s v="CWiggins"/>
    <x v="58"/>
    <x v="233"/>
    <n v="3310"/>
    <n v="1197.52"/>
    <x v="0"/>
    <n v="40"/>
    <x v="11"/>
    <x v="2"/>
    <s v="Wed 04/17/2019 call "/>
    <m/>
    <n v="35"/>
    <m/>
    <n v="3310"/>
    <s v="Corporate"/>
    <s v="Gregory  Marsh "/>
    <s v="Westlake Village"/>
    <m/>
    <n v="0"/>
    <n v="0"/>
    <n v="0"/>
    <n v="1324"/>
    <n v="0"/>
    <x v="0"/>
    <n v="0"/>
    <n v="0"/>
    <n v="3000"/>
    <n v="310"/>
    <n v="0"/>
    <n v="0"/>
    <m/>
    <s v="Sales"/>
    <s v="Main"/>
    <n v="2991"/>
    <s v="Ventura"/>
    <b v="0"/>
    <m/>
  </r>
  <r>
    <x v="2"/>
    <x v="0"/>
    <s v="common/images/infoicons/opp-flag-clear_32x32.png"/>
    <s v="common/images/infoicons/Status_CredsVaild.svg"/>
    <x v="4"/>
    <x v="10"/>
    <s v="CWiggins"/>
    <x v="1"/>
    <x v="234"/>
    <n v="12164.15"/>
    <n v="5846.57"/>
    <x v="0"/>
    <n v="80"/>
    <x v="1"/>
    <x v="0"/>
    <s v="Fri 04/19/2019 they want to start in April / May - begin SOW"/>
    <m/>
    <n v="146"/>
    <m/>
    <n v="0"/>
    <s v="Corporate"/>
    <s v="Donna Nelson"/>
    <s v="Ventura"/>
    <s v="CA"/>
    <n v="0"/>
    <n v="0"/>
    <n v="0"/>
    <n v="9731.32"/>
    <n v="0"/>
    <x v="0"/>
    <n v="0"/>
    <n v="0"/>
    <n v="8364.15"/>
    <n v="3800"/>
    <n v="0"/>
    <n v="0"/>
    <s v="P1 Hardware / Software"/>
    <s v="Sales"/>
    <s v="Main"/>
    <n v="2651"/>
    <s v="Ventura"/>
    <b v="0"/>
    <m/>
  </r>
  <r>
    <x v="2"/>
    <x v="0"/>
    <s v="common/images/infoicons/opp-flag-clear_32x32.png"/>
    <s v="common/images/infoicons/transpix.gif"/>
    <x v="3"/>
    <x v="10"/>
    <s v="CWiggins"/>
    <x v="27"/>
    <x v="235"/>
    <n v="465"/>
    <n v="465"/>
    <x v="0"/>
    <n v="80"/>
    <x v="1"/>
    <x v="1"/>
    <s v="Fri 04/19/2019 follow up on quote"/>
    <m/>
    <n v="59"/>
    <m/>
    <n v="465"/>
    <s v="Corporate"/>
    <s v="Laura Chilldres"/>
    <s v="Ventura"/>
    <s v="CA"/>
    <n v="0"/>
    <n v="0"/>
    <n v="0"/>
    <n v="372"/>
    <n v="0"/>
    <x v="1"/>
    <n v="0"/>
    <n v="0"/>
    <n v="0"/>
    <n v="465"/>
    <n v="0"/>
    <n v="0"/>
    <s v="P1 Hardware / Software"/>
    <s v="Sales"/>
    <s v="Main"/>
    <n v="2915"/>
    <s v="Ventura"/>
    <b v="0"/>
    <m/>
  </r>
  <r>
    <x v="2"/>
    <x v="0"/>
    <s v="common/images/infoicons/opp-flag-clear_32x32.png"/>
    <s v="common/images/infoicons/transpix.gif"/>
    <x v="3"/>
    <x v="10"/>
    <s v="CWiggins"/>
    <x v="46"/>
    <x v="236"/>
    <n v="0"/>
    <n v="0"/>
    <x v="0"/>
    <n v="20"/>
    <x v="8"/>
    <x v="0"/>
    <s v="Mon 04/29/2019 TPF - Rescope Phase 3 "/>
    <m/>
    <n v="3"/>
    <m/>
    <n v="0"/>
    <s v="Corporate"/>
    <s v="Brittany Dobson"/>
    <s v="Ventura"/>
    <s v="CA"/>
    <n v="0"/>
    <n v="0"/>
    <n v="0"/>
    <n v="0"/>
    <n v="0"/>
    <x v="0"/>
    <n v="0"/>
    <n v="0"/>
    <n v="0"/>
    <n v="0"/>
    <n v="0"/>
    <n v="0"/>
    <m/>
    <s v="Sales"/>
    <s v="Main"/>
    <n v="3102"/>
    <s v="Corporate"/>
    <b v="0"/>
    <m/>
  </r>
  <r>
    <x v="2"/>
    <x v="0"/>
    <s v="common/images/infoicons/opp-flag-clear_32x32.png"/>
    <s v="common/images/infoicons/transpix.gif"/>
    <x v="3"/>
    <x v="10"/>
    <s v="CWiggins"/>
    <x v="9"/>
    <x v="237"/>
    <n v="3133.16"/>
    <n v="1145.2"/>
    <x v="0"/>
    <n v="80"/>
    <x v="1"/>
    <x v="1"/>
    <s v="Add new activity"/>
    <m/>
    <n v="15"/>
    <m/>
    <n v="3133.16"/>
    <s v="Corporate"/>
    <s v="Lauren Pioli"/>
    <s v="Camarillo"/>
    <s v="CA"/>
    <n v="0"/>
    <n v="0"/>
    <n v="0"/>
    <n v="2506.5279999999998"/>
    <n v="0"/>
    <x v="1"/>
    <n v="0"/>
    <n v="0"/>
    <n v="2333.16"/>
    <n v="800"/>
    <n v="0"/>
    <n v="0"/>
    <s v="P1 Hardware / Software"/>
    <s v="Sales"/>
    <s v="Main"/>
    <n v="3063"/>
    <s v="Ventura"/>
    <b v="0"/>
    <m/>
  </r>
  <r>
    <x v="2"/>
    <x v="0"/>
    <s v="common/images/infoicons/opp-flag-clear_32x32.png"/>
    <s v="common/images/infoicons/transpix.gif"/>
    <x v="3"/>
    <x v="10"/>
    <s v="CWiggins"/>
    <x v="23"/>
    <x v="238"/>
    <n v="500"/>
    <n v="350"/>
    <x v="4"/>
    <n v="100"/>
    <x v="9"/>
    <x v="0"/>
    <s v="Wed 05/01/2019 Invoice 5/1"/>
    <m/>
    <n v="162"/>
    <m/>
    <n v="500"/>
    <s v="Corporate"/>
    <s v="Choti Singh"/>
    <s v="North Hollywood"/>
    <s v="CA"/>
    <n v="0"/>
    <n v="0"/>
    <n v="0"/>
    <n v="500"/>
    <n v="0"/>
    <x v="0"/>
    <n v="0"/>
    <n v="0"/>
    <n v="500"/>
    <n v="0"/>
    <n v="0"/>
    <n v="0"/>
    <s v="P1 Technology MS"/>
    <s v="Admin"/>
    <s v="Main"/>
    <n v="2610"/>
    <s v="Ventura"/>
    <b v="0"/>
    <m/>
  </r>
  <r>
    <x v="2"/>
    <x v="0"/>
    <s v="common/images/infoicons/opp-flag-clear_32x32.png"/>
    <s v="common/images/infoicons/transpix.gif"/>
    <x v="3"/>
    <x v="10"/>
    <s v="CWiggins"/>
    <x v="43"/>
    <x v="239"/>
    <n v="0"/>
    <n v="0"/>
    <x v="0"/>
    <n v="20"/>
    <x v="8"/>
    <x v="1"/>
    <s v="Add new activity"/>
    <s v="Sales-initiated"/>
    <n v="1"/>
    <m/>
    <n v="0"/>
    <s v="Corporate"/>
    <s v="Kathi Niffenegger"/>
    <s v="Port Hueneme"/>
    <s v="CA"/>
    <n v="0"/>
    <n v="0"/>
    <n v="0"/>
    <n v="0"/>
    <n v="0"/>
    <x v="0"/>
    <n v="0"/>
    <n v="0"/>
    <n v="0"/>
    <n v="0"/>
    <n v="0"/>
    <n v="0"/>
    <s v="P1 Hardware / Software"/>
    <s v="Sales"/>
    <s v="Main"/>
    <n v="3121"/>
    <s v="Ventura"/>
    <b v="0"/>
    <m/>
  </r>
  <r>
    <x v="2"/>
    <x v="0"/>
    <s v="common/images/infoicons/opp-flag-clear_32x32.png"/>
    <s v="common/images/infoicons/transpix.gif"/>
    <x v="3"/>
    <x v="10"/>
    <s v="CWiggins"/>
    <x v="43"/>
    <x v="15"/>
    <n v="0"/>
    <n v="0"/>
    <x v="0"/>
    <n v="40"/>
    <x v="4"/>
    <x v="0"/>
    <s v="Tue 04/23/2019 develop SOW"/>
    <m/>
    <n v="17"/>
    <m/>
    <n v="0"/>
    <s v="Corporate"/>
    <s v="Kathi Niffenegger"/>
    <s v="Port Hueneme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53"/>
    <s v="Ventura"/>
    <b v="0"/>
    <m/>
  </r>
  <r>
    <x v="2"/>
    <x v="0"/>
    <s v="common/images/infoicons/opp-flag-clear_32x32.png"/>
    <s v="common/images/infoicons/transpix.gif"/>
    <x v="3"/>
    <x v="10"/>
    <s v="CWiggins"/>
    <x v="54"/>
    <x v="240"/>
    <n v="0"/>
    <n v="0"/>
    <x v="0"/>
    <n v="40"/>
    <x v="4"/>
    <x v="1"/>
    <s v="Add new activity"/>
    <m/>
    <n v="1"/>
    <m/>
    <n v="0"/>
    <s v="Corporate"/>
    <s v="Tom Jellinek"/>
    <s v="Agoura Hills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119"/>
    <s v="Hero Tech"/>
    <b v="0"/>
    <m/>
  </r>
  <r>
    <x v="2"/>
    <x v="0"/>
    <s v="common/images/infoicons/opp-flag-clear_32x32.png"/>
    <s v="common/images/infoicons/transpix.gif"/>
    <x v="3"/>
    <x v="10"/>
    <s v="CWiggins"/>
    <x v="59"/>
    <x v="241"/>
    <n v="4500"/>
    <n v="4250"/>
    <x v="0"/>
    <n v="20"/>
    <x v="8"/>
    <x v="0"/>
    <s v="Fri 04/12/2019 Meeting with Owner today"/>
    <m/>
    <n v="22"/>
    <m/>
    <n v="4500"/>
    <s v="Corporate"/>
    <s v="Michael Thaxtoon"/>
    <s v="Studio City"/>
    <s v="CA"/>
    <n v="0"/>
    <n v="0"/>
    <n v="0"/>
    <n v="900"/>
    <n v="0"/>
    <x v="0"/>
    <n v="0"/>
    <n v="0"/>
    <n v="0"/>
    <n v="4500"/>
    <n v="0"/>
    <n v="0"/>
    <s v="P1 Technology MS"/>
    <s v="Admin"/>
    <s v="Main"/>
    <n v="3033"/>
    <s v="Ventura"/>
    <b v="0"/>
    <m/>
  </r>
  <r>
    <x v="2"/>
    <x v="0"/>
    <s v="common/images/infoicons/opp-flag-clear_32x32.png"/>
    <s v="common/images/infoicons/transpix.gif"/>
    <x v="3"/>
    <x v="10"/>
    <s v="CWiggins"/>
    <x v="30"/>
    <x v="24"/>
    <n v="539"/>
    <n v="134.75"/>
    <x v="3"/>
    <n v="0"/>
    <x v="0"/>
    <x v="2"/>
    <s v="Add new activity"/>
    <m/>
    <n v="3"/>
    <m/>
    <n v="539"/>
    <s v="Corporate"/>
    <s v="Kalie Matisek"/>
    <s v="ventura"/>
    <s v="CA"/>
    <n v="0"/>
    <n v="0"/>
    <n v="0"/>
    <n v="0"/>
    <n v="0"/>
    <x v="1"/>
    <n v="0"/>
    <n v="0"/>
    <n v="539"/>
    <n v="0"/>
    <n v="0"/>
    <n v="0"/>
    <s v="P1 Hardware / Software"/>
    <s v="Sales"/>
    <s v="Main"/>
    <n v="3101"/>
    <s v="Ventura"/>
    <b v="0"/>
    <m/>
  </r>
  <r>
    <x v="2"/>
    <x v="0"/>
    <s v="common/images/infoicons/opp-flag-clear_32x32.png"/>
    <s v="common/images/infoicons/transpix.gif"/>
    <x v="3"/>
    <x v="10"/>
    <s v="CWiggins"/>
    <x v="30"/>
    <x v="121"/>
    <n v="1446"/>
    <n v="630.14"/>
    <x v="0"/>
    <n v="40"/>
    <x v="3"/>
    <x v="2"/>
    <s v="Add new activity"/>
    <s v="Customer-initiated"/>
    <n v="1"/>
    <m/>
    <n v="1446"/>
    <s v="Corporate"/>
    <s v="Kalie Matisek"/>
    <s v="ventura"/>
    <s v="CA"/>
    <n v="0"/>
    <n v="0"/>
    <n v="0"/>
    <n v="578.4"/>
    <n v="0"/>
    <x v="1"/>
    <n v="0"/>
    <n v="0"/>
    <n v="1046"/>
    <n v="400"/>
    <n v="0"/>
    <n v="0"/>
    <s v="P1 Hardware / Software"/>
    <s v="Sales"/>
    <s v="Main"/>
    <n v="3122"/>
    <s v="Ventura"/>
    <b v="0"/>
    <m/>
  </r>
  <r>
    <x v="6"/>
    <x v="0"/>
    <s v="common/images/infoicons/opp-flag-clear_32x32.png"/>
    <s v="common/images/infoicons/transpix.gif"/>
    <x v="3"/>
    <x v="85"/>
    <s v="CWiggins"/>
    <x v="9"/>
    <x v="242"/>
    <n v="3000"/>
    <n v="3000"/>
    <x v="0"/>
    <n v="20"/>
    <x v="10"/>
    <x v="1"/>
    <s v="Tue 04/16/2019 Lauren P1 setting up CTO meeting"/>
    <m/>
    <n v="153"/>
    <m/>
    <n v="3000"/>
    <s v="Corporate"/>
    <s v="Lauren Pioli"/>
    <s v="Camarillo"/>
    <s v="CA"/>
    <n v="0"/>
    <n v="0"/>
    <n v="0"/>
    <n v="600"/>
    <n v="0"/>
    <x v="0"/>
    <n v="0"/>
    <n v="0"/>
    <n v="0"/>
    <n v="3000"/>
    <n v="0"/>
    <n v="0"/>
    <s v="P1 Hardware / Software"/>
    <s v="Admin"/>
    <s v="Main"/>
    <n v="2638"/>
    <s v="Ventura"/>
    <b v="0"/>
    <m/>
  </r>
  <r>
    <x v="6"/>
    <x v="0"/>
    <s v="common/images/infoicons/opp-flag-clear_32x32.png"/>
    <s v="common/images/infoicons/Status_CredsVaild.svg"/>
    <x v="4"/>
    <x v="86"/>
    <s v="CWiggins"/>
    <x v="8"/>
    <x v="117"/>
    <n v="160.44"/>
    <n v="80.22"/>
    <x v="5"/>
    <n v="40"/>
    <x v="4"/>
    <x v="0"/>
    <s v="Mon 06/24/2019 review server warranty renewal "/>
    <m/>
    <n v="155"/>
    <m/>
    <n v="160.44"/>
    <s v="Corporate"/>
    <s v="Philippe El Khazen"/>
    <s v="El Segundo "/>
    <s v="CA"/>
    <n v="0"/>
    <n v="0"/>
    <n v="0"/>
    <n v="64.176000000000002"/>
    <n v="0"/>
    <x v="1"/>
    <n v="0"/>
    <n v="0"/>
    <n v="160.44"/>
    <n v="0"/>
    <n v="0"/>
    <n v="0"/>
    <s v="P1 Hardware / Software"/>
    <s v="Sales"/>
    <s v="Main - Old Location"/>
    <n v="2626"/>
    <s v="Ventura"/>
    <b v="0"/>
    <m/>
  </r>
  <r>
    <x v="6"/>
    <x v="0"/>
    <s v="common/images/infoicons/opp-flag-clear_32x32.png"/>
    <s v="common/images/infoicons/transpix.gif"/>
    <x v="3"/>
    <x v="11"/>
    <s v="CWiggins"/>
    <x v="50"/>
    <x v="243"/>
    <n v="650"/>
    <n v="400"/>
    <x v="0"/>
    <n v="20"/>
    <x v="8"/>
    <x v="1"/>
    <s v="Tue 04/23/2019 follow up to proposal sent. Build second opportunity for networking"/>
    <s v="Referral"/>
    <n v="44"/>
    <m/>
    <n v="650"/>
    <s v="Corporate"/>
    <s v="Kat  Cryers"/>
    <s v="Ventura, "/>
    <s v="CA"/>
    <n v="0"/>
    <n v="0"/>
    <n v="0"/>
    <n v="130"/>
    <n v="0"/>
    <x v="0"/>
    <n v="0"/>
    <n v="0"/>
    <n v="0"/>
    <n v="650"/>
    <n v="0"/>
    <n v="0"/>
    <s v="P1 Technology MS"/>
    <s v="Sales"/>
    <s v="Main"/>
    <n v="2968"/>
    <s v="Corporate"/>
    <b v="0"/>
    <m/>
  </r>
  <r>
    <x v="6"/>
    <x v="0"/>
    <s v="common/images/infoicons/opp-flag-clear_32x32.png"/>
    <s v="common/images/infoicons/transpix.gif"/>
    <x v="3"/>
    <x v="11"/>
    <s v="CWiggins"/>
    <x v="50"/>
    <x v="244"/>
    <n v="3495.38"/>
    <n v="970.06"/>
    <x v="0"/>
    <n v="20"/>
    <x v="8"/>
    <x v="0"/>
    <s v="Tue 04/23/2019 Call Kat - owner approved?"/>
    <m/>
    <n v="37"/>
    <m/>
    <n v="3495.38"/>
    <s v="Corporate"/>
    <s v="Kat  Cryers"/>
    <s v="Ventura, "/>
    <s v="CA"/>
    <n v="0"/>
    <n v="0"/>
    <n v="0"/>
    <n v="699.07600000000002"/>
    <n v="0"/>
    <x v="0"/>
    <n v="0"/>
    <n v="0"/>
    <n v="3030.38"/>
    <n v="465"/>
    <n v="0"/>
    <n v="0"/>
    <s v="P1 Hardware / Software"/>
    <s v="Admin"/>
    <s v="Main"/>
    <n v="2983"/>
    <s v="Corporate"/>
    <b v="0"/>
    <m/>
  </r>
  <r>
    <x v="6"/>
    <x v="0"/>
    <s v="common/images/infoicons/opp-flag-clear_32x32.png"/>
    <s v="common/images/infoicons/transpix.gif"/>
    <x v="3"/>
    <x v="11"/>
    <s v="CWiggins"/>
    <x v="12"/>
    <x v="17"/>
    <n v="0"/>
    <n v="0"/>
    <x v="2"/>
    <n v="20"/>
    <x v="8"/>
    <x v="1"/>
    <s v="Fri 05/03/2019 on board client then run LT"/>
    <s v="Sales-initiated"/>
    <n v="1"/>
    <m/>
    <n v="0"/>
    <s v="Corporate"/>
    <s v="Chris Rodgers"/>
    <s v="Corona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123"/>
    <s v="Inland Empire"/>
    <b v="0"/>
    <m/>
  </r>
  <r>
    <x v="6"/>
    <x v="0"/>
    <s v="common/images/infoicons/opp-flag-clear_32x32.png"/>
    <s v="common/images/infoicons/transpix.gif"/>
    <x v="3"/>
    <x v="11"/>
    <s v="CWiggins"/>
    <x v="4"/>
    <x v="245"/>
    <n v="0"/>
    <n v="0"/>
    <x v="0"/>
    <n v="40"/>
    <x v="4"/>
    <x v="1"/>
    <s v="Fri 04/19/2019 develop SOW"/>
    <m/>
    <n v="22"/>
    <m/>
    <n v="0"/>
    <s v="Corporate"/>
    <s v="Mike Leblanc"/>
    <s v="Ventura"/>
    <s v="CA"/>
    <n v="0"/>
    <n v="0"/>
    <n v="0"/>
    <n v="0"/>
    <n v="0"/>
    <x v="1"/>
    <n v="0"/>
    <n v="0"/>
    <n v="0"/>
    <n v="0"/>
    <n v="0"/>
    <n v="0"/>
    <s v="P1 Hardware / Software"/>
    <s v="Sales"/>
    <s v="Main"/>
    <n v="3036"/>
    <s v="Ventura"/>
    <b v="0"/>
    <m/>
  </r>
  <r>
    <x v="6"/>
    <x v="0"/>
    <s v="common/images/infoicons/opp-flag-clear_32x32.png"/>
    <s v="common/images/infoicons/transpix.gif"/>
    <x v="3"/>
    <x v="11"/>
    <s v="CWiggins"/>
    <x v="8"/>
    <x v="246"/>
    <n v="7750"/>
    <n v="7750"/>
    <x v="0"/>
    <n v="40"/>
    <x v="3"/>
    <x v="1"/>
    <s v="Wed 04/10/2019 Awaiting information to Prepare Proposal"/>
    <m/>
    <n v="84"/>
    <m/>
    <n v="7750"/>
    <s v="Corporate"/>
    <s v="Isu Sahai"/>
    <s v="El Segundo "/>
    <s v="CA"/>
    <n v="0"/>
    <n v="0"/>
    <n v="0"/>
    <n v="3100"/>
    <n v="0"/>
    <x v="1"/>
    <n v="0"/>
    <n v="0"/>
    <n v="0"/>
    <n v="7750"/>
    <n v="0"/>
    <n v="0"/>
    <s v="P1 Hardware / Software"/>
    <s v="Sales"/>
    <s v="Main - Old Location"/>
    <n v="2840"/>
    <s v="Ventura"/>
    <b v="0"/>
    <m/>
  </r>
  <r>
    <x v="6"/>
    <x v="0"/>
    <s v="common/images/infoicons/opp-flag-clear_32x32.png"/>
    <s v="common/images/infoicons/transpix.gif"/>
    <x v="3"/>
    <x v="11"/>
    <s v="CWiggins"/>
    <x v="28"/>
    <x v="101"/>
    <n v="250"/>
    <n v="22.8"/>
    <x v="4"/>
    <n v="20"/>
    <x v="8"/>
    <x v="0"/>
    <s v="Add new activity"/>
    <m/>
    <n v="162"/>
    <m/>
    <n v="250"/>
    <s v="Corporate"/>
    <s v="Kathy Whitesell"/>
    <s v="Camarillo"/>
    <s v="CA"/>
    <n v="0"/>
    <n v="0"/>
    <n v="0"/>
    <n v="50"/>
    <n v="0"/>
    <x v="0"/>
    <n v="0"/>
    <n v="0"/>
    <n v="250"/>
    <n v="0"/>
    <n v="0"/>
    <n v="0"/>
    <s v="P1 Technology MS"/>
    <s v="Admin"/>
    <s v="Main"/>
    <n v="2606"/>
    <s v="Ventura"/>
    <b v="0"/>
    <m/>
  </r>
  <r>
    <x v="6"/>
    <x v="0"/>
    <s v="common/images/infoicons/opp-flag-clear_32x32.png"/>
    <s v="common/images/infoicons/transpix.gif"/>
    <x v="3"/>
    <x v="11"/>
    <s v="CWiggins"/>
    <x v="30"/>
    <x v="247"/>
    <n v="0"/>
    <n v="0"/>
    <x v="0"/>
    <n v="20"/>
    <x v="8"/>
    <x v="0"/>
    <s v="Add new activity"/>
    <m/>
    <n v="6"/>
    <m/>
    <n v="0"/>
    <s v="Corporate"/>
    <s v="Kalie Matisek"/>
    <s v="ventura"/>
    <s v="CA"/>
    <n v="0"/>
    <n v="0"/>
    <n v="0"/>
    <n v="0"/>
    <n v="0"/>
    <x v="0"/>
    <n v="0"/>
    <n v="0"/>
    <n v="0"/>
    <n v="0"/>
    <n v="0"/>
    <n v="0"/>
    <s v="P1 Hardware / Software"/>
    <s v="Admin"/>
    <s v="Main"/>
    <n v="3091"/>
    <s v="Ventura"/>
    <b v="0"/>
    <m/>
  </r>
  <r>
    <x v="7"/>
    <x v="0"/>
    <s v="common/images/infoicons/opp-flag-clear_32x32.png"/>
    <s v="common/images/infoicons/transpix.gif"/>
    <x v="3"/>
    <x v="20"/>
    <s v="CWiggins"/>
    <x v="2"/>
    <x v="248"/>
    <n v="250"/>
    <n v="22.8"/>
    <x v="1"/>
    <n v="100"/>
    <x v="9"/>
    <x v="0"/>
    <s v="Wed 05/01/2019 Invoice 5/1"/>
    <m/>
    <n v="162"/>
    <m/>
    <n v="250"/>
    <s v="Corporate"/>
    <s v="Chad Lande"/>
    <s v="Santa Monica"/>
    <s v="CA"/>
    <n v="0"/>
    <n v="0"/>
    <n v="0"/>
    <n v="250"/>
    <n v="0"/>
    <x v="0"/>
    <n v="0"/>
    <n v="0"/>
    <n v="250"/>
    <n v="0"/>
    <n v="0"/>
    <n v="0"/>
    <s v="P1 Technology MS"/>
    <s v="Admin"/>
    <s v="Main"/>
    <n v="2600"/>
    <s v="Ventura"/>
    <b v="0"/>
    <m/>
  </r>
  <r>
    <x v="7"/>
    <x v="0"/>
    <s v="common/images/infoicons/opp-flag-clear_32x32.png"/>
    <s v="common/images/infoicons/transpix.gif"/>
    <x v="3"/>
    <x v="21"/>
    <s v="CWiggins"/>
    <x v="2"/>
    <x v="249"/>
    <n v="500"/>
    <n v="500"/>
    <x v="0"/>
    <n v="20"/>
    <x v="8"/>
    <x v="0"/>
    <s v="Fri 04/12/2019 wants to talk to Chad RE Cyber Security - getting spam emails"/>
    <m/>
    <n v="27"/>
    <m/>
    <n v="500"/>
    <s v="Corporate"/>
    <s v="Jessica Ceppi"/>
    <s v="Santa Monica"/>
    <s v="CA"/>
    <n v="0"/>
    <n v="0"/>
    <n v="0"/>
    <n v="100"/>
    <n v="0"/>
    <x v="1"/>
    <n v="0"/>
    <n v="0"/>
    <n v="0"/>
    <n v="500"/>
    <n v="0"/>
    <n v="0"/>
    <s v="P1 Hardware / Software"/>
    <s v="Sales"/>
    <s v="Main"/>
    <n v="3020"/>
    <s v="Ventura"/>
    <b v="0"/>
    <m/>
  </r>
  <r>
    <x v="7"/>
    <x v="0"/>
    <s v="common/images/infoicons/opp-flag-clear_32x32.png"/>
    <s v="common/images/infoicons/transpix.gif"/>
    <x v="3"/>
    <x v="21"/>
    <s v="CWiggins"/>
    <x v="2"/>
    <x v="250"/>
    <n v="2273.21"/>
    <n v="2094.64"/>
    <x v="0"/>
    <n v="20"/>
    <x v="8"/>
    <x v="0"/>
    <s v="Add new activity"/>
    <m/>
    <n v="16"/>
    <m/>
    <n v="2273.21"/>
    <s v="Corporate"/>
    <s v="Chad Lande"/>
    <s v="Santa Monica"/>
    <s v="CA"/>
    <n v="0"/>
    <n v="0"/>
    <n v="0"/>
    <n v="454.642"/>
    <n v="0"/>
    <x v="0"/>
    <n v="0"/>
    <n v="0"/>
    <n v="223.21"/>
    <n v="2050"/>
    <n v="0"/>
    <n v="0"/>
    <s v="P1 Hardware / Software"/>
    <s v="Admin"/>
    <s v="Main"/>
    <n v="3060"/>
    <s v="Ventura"/>
    <b v="0"/>
    <m/>
  </r>
  <r>
    <x v="7"/>
    <x v="0"/>
    <s v="common/images/infoicons/opp-flag-clear_32x32.png"/>
    <s v="common/images/infoicons/transpix.gif"/>
    <x v="3"/>
    <x v="21"/>
    <s v="CWiggins"/>
    <x v="14"/>
    <x v="251"/>
    <n v="4930"/>
    <n v="4930"/>
    <x v="0"/>
    <n v="40"/>
    <x v="3"/>
    <x v="1"/>
    <s v="Mon 06/17/2019 email Niall and Arjun to ge CTO meeting scheduled"/>
    <m/>
    <n v="218"/>
    <m/>
    <n v="4930"/>
    <s v="Corporate"/>
    <s v="Michelle Cardona"/>
    <s v="Oxnard"/>
    <s v="CA"/>
    <n v="0"/>
    <n v="0"/>
    <n v="0"/>
    <n v="1972"/>
    <n v="0"/>
    <x v="1"/>
    <n v="0"/>
    <n v="0"/>
    <n v="0"/>
    <n v="4930"/>
    <n v="0"/>
    <n v="0"/>
    <s v="P1 Hardware / Software"/>
    <s v="Sales"/>
    <s v="Main"/>
    <n v="2432"/>
    <s v="Ventura"/>
    <b v="0"/>
    <m/>
  </r>
  <r>
    <x v="8"/>
    <x v="0"/>
    <s v="common/images/infoicons/opp-flag-clear_32x32.png"/>
    <s v="common/images/infoicons/transpix.gif"/>
    <x v="3"/>
    <x v="23"/>
    <s v="CWiggins"/>
    <x v="48"/>
    <x v="252"/>
    <n v="22534.63"/>
    <n v="11972.92"/>
    <x v="0"/>
    <n v="80"/>
    <x v="1"/>
    <x v="0"/>
    <s v="Wed 06/05/2019 send DFS finance options"/>
    <m/>
    <n v="225"/>
    <m/>
    <n v="22534.63"/>
    <s v="Corporate"/>
    <s v="Karyl Lynn Burns"/>
    <s v="Ventura"/>
    <s v="CA"/>
    <n v="0"/>
    <n v="0"/>
    <n v="0"/>
    <n v="18027.704000000002"/>
    <n v="0"/>
    <x v="0"/>
    <n v="0"/>
    <n v="0"/>
    <n v="11225.2"/>
    <n v="11309.43"/>
    <n v="0"/>
    <n v="0"/>
    <s v="P1 Hardware / Software"/>
    <s v="Sales"/>
    <s v="Main"/>
    <n v="2392"/>
    <s v="Hero Tech"/>
    <b v="0"/>
    <m/>
  </r>
  <r>
    <x v="10"/>
    <x v="0"/>
    <s v="common/images/infoicons/opp-flag-clear_32x32.png"/>
    <s v="common/images/infoicons/transpix.gif"/>
    <x v="3"/>
    <x v="87"/>
    <s v="CWiggins"/>
    <x v="23"/>
    <x v="253"/>
    <n v="0"/>
    <n v="0"/>
    <x v="0"/>
    <n v="20"/>
    <x v="8"/>
    <x v="0"/>
    <s v="Fri 11/01/2019 follow up in November "/>
    <m/>
    <n v="45"/>
    <m/>
    <n v="0"/>
    <s v="Corporate"/>
    <s v="Choti Singh"/>
    <s v="North Hollywood"/>
    <s v="CA"/>
    <n v="0"/>
    <n v="0"/>
    <n v="0"/>
    <n v="0"/>
    <n v="0"/>
    <x v="0"/>
    <n v="0"/>
    <n v="0"/>
    <n v="0"/>
    <n v="0"/>
    <n v="0"/>
    <n v="0"/>
    <s v="P1 Hardware / Software"/>
    <s v="Sales"/>
    <s v="Main"/>
    <n v="2967"/>
    <s v="Ventura"/>
    <b v="0"/>
    <m/>
  </r>
  <r>
    <x v="11"/>
    <x v="0"/>
    <s v="common/images/infoicons/opp-flag-clear_32x32.png"/>
    <s v="common/images/infoicons/Status_CredsVaild.svg"/>
    <x v="4"/>
    <x v="88"/>
    <s v="CWiggins"/>
    <x v="2"/>
    <x v="254"/>
    <n v="22176.32"/>
    <n v="12239.52"/>
    <x v="0"/>
    <n v="80"/>
    <x v="1"/>
    <x v="0"/>
    <m/>
    <m/>
    <n v="188"/>
    <m/>
    <n v="0"/>
    <s v="Corporate"/>
    <s v="Chad Lande"/>
    <s v="Santa Monica"/>
    <s v="CA"/>
    <n v="0"/>
    <n v="0"/>
    <n v="0"/>
    <n v="17741.056"/>
    <n v="0"/>
    <x v="0"/>
    <n v="0"/>
    <n v="0"/>
    <n v="13651.32"/>
    <n v="8525"/>
    <n v="0"/>
    <n v="0"/>
    <s v="P1 Hardware / Software"/>
    <s v="Admin"/>
    <s v="Main"/>
    <n v="2544"/>
    <s v="Ventura"/>
    <b v="0"/>
    <m/>
  </r>
  <r>
    <x v="11"/>
    <x v="0"/>
    <s v="common/images/infoicons/opp-flag-clear_32x32.png"/>
    <s v="common/images/infoicons/transpix.gif"/>
    <x v="3"/>
    <x v="88"/>
    <s v="CWiggins"/>
    <x v="19"/>
    <x v="101"/>
    <n v="250"/>
    <n v="22.8"/>
    <x v="1"/>
    <n v="20"/>
    <x v="8"/>
    <x v="0"/>
    <s v="Add new activity"/>
    <m/>
    <n v="162"/>
    <m/>
    <n v="250"/>
    <s v="Corporate"/>
    <s v="Gene Donald"/>
    <s v="Ventura"/>
    <s v="CA"/>
    <n v="0"/>
    <n v="0"/>
    <n v="0"/>
    <n v="50"/>
    <n v="0"/>
    <x v="0"/>
    <n v="0"/>
    <n v="0"/>
    <n v="250"/>
    <n v="0"/>
    <n v="0"/>
    <n v="0"/>
    <s v="P1 Technology MS"/>
    <s v="Admin"/>
    <s v="Main"/>
    <n v="2604"/>
    <s v="Ventura"/>
    <b v="0"/>
    <m/>
  </r>
  <r>
    <x v="11"/>
    <x v="0"/>
    <s v="common/images/infoicons/opp-flag-clear_32x32.png"/>
    <s v="common/images/infoicons/transpix.gif"/>
    <x v="3"/>
    <x v="88"/>
    <s v="CWiggins"/>
    <x v="19"/>
    <x v="255"/>
    <n v="7000"/>
    <n v="6690"/>
    <x v="1"/>
    <n v="20"/>
    <x v="8"/>
    <x v="0"/>
    <s v="Add new activity"/>
    <m/>
    <n v="162"/>
    <m/>
    <n v="7000"/>
    <s v="Corporate"/>
    <s v="Gene Donald"/>
    <s v="Ventura"/>
    <s v="CA"/>
    <n v="0"/>
    <n v="0"/>
    <n v="0"/>
    <n v="1400"/>
    <n v="0"/>
    <x v="0"/>
    <n v="0"/>
    <n v="0"/>
    <n v="0"/>
    <n v="7000"/>
    <n v="0"/>
    <n v="0"/>
    <s v="P1 Hardware / Software"/>
    <s v="Admin"/>
    <s v="Main"/>
    <n v="2603"/>
    <s v="Ventura"/>
    <b v="0"/>
    <m/>
  </r>
  <r>
    <x v="11"/>
    <x v="0"/>
    <s v="common/images/infoicons/opp-flag-clear_32x32.png"/>
    <s v="common/images/infoicons/transpix.gif"/>
    <x v="3"/>
    <x v="88"/>
    <s v="CWiggins"/>
    <x v="60"/>
    <x v="256"/>
    <n v="15000"/>
    <n v="11420.51"/>
    <x v="6"/>
    <n v="20"/>
    <x v="8"/>
    <x v="0"/>
    <s v="Add new activity"/>
    <m/>
    <n v="162"/>
    <m/>
    <n v="15000"/>
    <s v="Corporate"/>
    <s v="Cesar Garcia"/>
    <s v="Miami"/>
    <s v="FL"/>
    <n v="0"/>
    <n v="0"/>
    <n v="0"/>
    <n v="3000"/>
    <n v="0"/>
    <x v="0"/>
    <n v="0"/>
    <n v="0"/>
    <n v="15000"/>
    <n v="0"/>
    <n v="0"/>
    <n v="0"/>
    <s v="P1 Hardware / Software"/>
    <s v="Admin"/>
    <s v="Main"/>
    <n v="2609"/>
    <s v="Ventura"/>
    <b v="0"/>
    <m/>
  </r>
  <r>
    <x v="11"/>
    <x v="0"/>
    <s v="common/images/infoicons/opp-flag-clear_32x32.png"/>
    <s v="common/images/infoicons/Flag_Overridden.svg"/>
    <x v="0"/>
    <x v="88"/>
    <s v="CWiggins"/>
    <x v="34"/>
    <x v="149"/>
    <n v="4650"/>
    <n v="2325"/>
    <x v="4"/>
    <n v="0"/>
    <x v="0"/>
    <x v="1"/>
    <m/>
    <m/>
    <n v="162"/>
    <m/>
    <n v="0"/>
    <s v="Corporate"/>
    <s v="Lennea Morris"/>
    <s v="Carpinteria"/>
    <s v="CA"/>
    <n v="0"/>
    <n v="4650"/>
    <n v="0"/>
    <n v="0"/>
    <n v="0"/>
    <x v="0"/>
    <n v="0"/>
    <n v="0"/>
    <n v="0"/>
    <n v="4650"/>
    <n v="0"/>
    <n v="0"/>
    <s v="P1 Hardware / Software"/>
    <s v="Admin"/>
    <s v="Main"/>
    <n v="2607"/>
    <s v="Ventura"/>
    <b v="1"/>
    <m/>
  </r>
  <r>
    <x v="11"/>
    <x v="0"/>
    <s v="common/images/infoicons/opp-flag-clear_32x32.png"/>
    <s v="common/images/infoicons/transpix.gif"/>
    <x v="3"/>
    <x v="88"/>
    <s v="CWiggins"/>
    <x v="34"/>
    <x v="212"/>
    <n v="200"/>
    <n v="50"/>
    <x v="4"/>
    <n v="20"/>
    <x v="8"/>
    <x v="0"/>
    <s v="Add new activity"/>
    <m/>
    <n v="162"/>
    <m/>
    <n v="200"/>
    <s v="Corporate"/>
    <s v="Lennea Morris"/>
    <s v="Carpinteria"/>
    <s v="CA"/>
    <n v="0"/>
    <n v="0"/>
    <n v="0"/>
    <n v="40"/>
    <n v="0"/>
    <x v="0"/>
    <n v="0"/>
    <n v="0"/>
    <n v="200"/>
    <n v="0"/>
    <n v="0"/>
    <n v="0"/>
    <s v="P1 Technology MS"/>
    <s v="Admin"/>
    <s v="Main"/>
    <n v="2608"/>
    <s v="Ventura"/>
    <b v="0"/>
    <m/>
  </r>
  <r>
    <x v="11"/>
    <x v="0"/>
    <s v="common/images/infoicons/opp-flag-clear_32x32.png"/>
    <s v="common/images/infoicons/transpix.gif"/>
    <x v="3"/>
    <x v="88"/>
    <s v="CWiggins"/>
    <x v="37"/>
    <x v="257"/>
    <n v="10000"/>
    <n v="9250"/>
    <x v="0"/>
    <n v="40"/>
    <x v="3"/>
    <x v="0"/>
    <s v="Add new activity"/>
    <m/>
    <n v="224"/>
    <m/>
    <n v="10000"/>
    <s v="Corporate"/>
    <s v="Tricia Kremer"/>
    <s v="Camarillo"/>
    <s v="CA"/>
    <n v="0"/>
    <n v="0"/>
    <n v="0"/>
    <n v="4000"/>
    <n v="0"/>
    <x v="0"/>
    <n v="0"/>
    <n v="0"/>
    <n v="0"/>
    <n v="10000"/>
    <n v="0"/>
    <n v="0"/>
    <s v="P1 Hardware / Software"/>
    <s v="Admin"/>
    <s v="Main"/>
    <n v="2410"/>
    <s v="Hero Tech"/>
    <b v="0"/>
    <m/>
  </r>
  <r>
    <x v="11"/>
    <x v="0"/>
    <s v="common/images/infoicons/opp-flag-clear_32x32.png"/>
    <s v="common/images/infoicons/transpix.gif"/>
    <x v="3"/>
    <x v="88"/>
    <s v="CWiggins"/>
    <x v="21"/>
    <x v="256"/>
    <n v="10000"/>
    <n v="6420.51"/>
    <x v="6"/>
    <n v="20"/>
    <x v="8"/>
    <x v="0"/>
    <s v="Add new activity"/>
    <m/>
    <n v="162"/>
    <m/>
    <n v="10000"/>
    <s v="Corporate"/>
    <s v="Robert  Hughes "/>
    <s v="Commerce"/>
    <s v="CA"/>
    <n v="0"/>
    <n v="0"/>
    <n v="0"/>
    <n v="2000"/>
    <n v="0"/>
    <x v="0"/>
    <n v="0"/>
    <n v="0"/>
    <n v="10000"/>
    <n v="0"/>
    <n v="0"/>
    <n v="0"/>
    <s v="P1 Hardware / Software"/>
    <s v="Admin"/>
    <s v="Main"/>
    <n v="2611"/>
    <s v="Ventura"/>
    <b v="0"/>
    <m/>
  </r>
  <r>
    <x v="11"/>
    <x v="0"/>
    <s v="common/images/infoicons/opp-flag-clear_32x32.png"/>
    <s v="common/images/infoicons/Status_CredsNotVaild.svg"/>
    <x v="5"/>
    <x v="88"/>
    <s v="CWiggins"/>
    <x v="49"/>
    <x v="258"/>
    <n v="0"/>
    <n v="0"/>
    <x v="4"/>
    <n v="20"/>
    <x v="8"/>
    <x v="0"/>
    <m/>
    <m/>
    <n v="162"/>
    <m/>
    <n v="0"/>
    <s v="Corporate"/>
    <s v="Jennifer Willis"/>
    <s v="Ventura"/>
    <s v="CA"/>
    <n v="0"/>
    <n v="0"/>
    <n v="300"/>
    <n v="0"/>
    <n v="0"/>
    <x v="0"/>
    <n v="0"/>
    <n v="0"/>
    <n v="0"/>
    <n v="0"/>
    <n v="0"/>
    <n v="0"/>
    <s v="P1 Technology MS"/>
    <s v="Admin"/>
    <s v="Main"/>
    <n v="2613"/>
    <s v="Ventura"/>
    <b v="0"/>
    <m/>
  </r>
  <r>
    <x v="1"/>
    <x v="0"/>
    <s v="common/images/infoicons/opp-flag-clear_32x32.png"/>
    <s v="common/images/infoicons/Flag_Overridden.svg"/>
    <x v="0"/>
    <x v="2"/>
    <s v="CWiggins"/>
    <x v="23"/>
    <x v="259"/>
    <n v="8000"/>
    <n v="4000"/>
    <x v="4"/>
    <n v="0"/>
    <x v="0"/>
    <x v="1"/>
    <s v="Thu 03/14/2019 Email - Follow Up"/>
    <m/>
    <n v="539"/>
    <m/>
    <n v="0"/>
    <s v="Corporate"/>
    <s v="Choti Singh"/>
    <s v="North Hollywood"/>
    <s v="CA"/>
    <n v="0"/>
    <n v="8000"/>
    <n v="0"/>
    <n v="0"/>
    <s v="This week"/>
    <x v="0"/>
    <n v="0"/>
    <n v="0"/>
    <n v="0"/>
    <n v="8000"/>
    <n v="0"/>
    <n v="0"/>
    <s v="P1 Hardware / Software"/>
    <s v="Sales"/>
    <s v="Main"/>
    <n v="1474"/>
    <s v="Ventura"/>
    <b v="1"/>
    <m/>
  </r>
  <r>
    <x v="0"/>
    <x v="0"/>
    <s v="common/images/infoicons/opp-flag-clear_32x32.png"/>
    <s v="common/images/infoicons/Flag_Overridden.svg"/>
    <x v="0"/>
    <x v="39"/>
    <s v="CWiggins"/>
    <x v="49"/>
    <x v="17"/>
    <n v="1048.56"/>
    <n v="541.41999999999996"/>
    <x v="2"/>
    <n v="0"/>
    <x v="0"/>
    <x v="0"/>
    <m/>
    <m/>
    <n v="113"/>
    <m/>
    <n v="0"/>
    <s v="Corporate"/>
    <s v="Jennifer Willis"/>
    <s v="Ventura"/>
    <s v="CA"/>
    <n v="0"/>
    <n v="1048.56"/>
    <n v="0"/>
    <n v="0"/>
    <s v="Unknown"/>
    <x v="1"/>
    <n v="0"/>
    <n v="0"/>
    <n v="428.56"/>
    <n v="620"/>
    <n v="0"/>
    <n v="0"/>
    <s v="P1 Hardware / Software"/>
    <s v="Admin"/>
    <s v="Main"/>
    <n v="2726"/>
    <s v="Ventura"/>
    <b v="1"/>
    <m/>
  </r>
  <r>
    <x v="1"/>
    <x v="0"/>
    <s v="common/images/infoicons/opp-flag-clear_32x32.png"/>
    <s v="common/images/infoicons/Flag_Overridden.svg"/>
    <x v="0"/>
    <x v="2"/>
    <s v="jelbek"/>
    <x v="9"/>
    <x v="17"/>
    <n v="2077.8000000000002"/>
    <n v="740.09"/>
    <x v="2"/>
    <n v="0"/>
    <x v="0"/>
    <x v="1"/>
    <m/>
    <m/>
    <n v="113"/>
    <m/>
    <n v="0"/>
    <s v="Corporate"/>
    <s v="Lauren Pioli"/>
    <s v="Camarillo"/>
    <s v="CA"/>
    <n v="0"/>
    <n v="2077.8000000000002"/>
    <n v="0"/>
    <n v="0"/>
    <s v="Unknown"/>
    <x v="2"/>
    <n v="0"/>
    <n v="0"/>
    <n v="1767.8"/>
    <n v="310"/>
    <n v="0"/>
    <n v="0"/>
    <s v="P1 Hardware / Software"/>
    <s v="Sales"/>
    <s v="Main"/>
    <n v="2722"/>
    <s v="Ventura"/>
    <b v="1"/>
    <m/>
  </r>
  <r>
    <x v="5"/>
    <x v="0"/>
    <s v="common/images/infoicons/opp-flag-clear_32x32.png"/>
    <s v="common/images/infoicons/Flag_Overridden.svg"/>
    <x v="0"/>
    <x v="8"/>
    <s v="CWiggins"/>
    <x v="8"/>
    <x v="260"/>
    <n v="8520"/>
    <n v="8520"/>
    <x v="0"/>
    <n v="0"/>
    <x v="0"/>
    <x v="1"/>
    <s v="Thu 04/18/2019 f/u w/Isu - approved?"/>
    <m/>
    <n v="357"/>
    <m/>
    <n v="0"/>
    <s v="Corporate"/>
    <s v="Isu Sahai"/>
    <s v="El Segundo"/>
    <s v="CA"/>
    <n v="0"/>
    <n v="8520"/>
    <n v="0"/>
    <n v="0"/>
    <s v="Unknown"/>
    <x v="1"/>
    <n v="0"/>
    <n v="0"/>
    <n v="0"/>
    <n v="8520"/>
    <n v="0"/>
    <n v="0"/>
    <s v="P1 Hardware / Software"/>
    <s v="Admin"/>
    <s v="Maple Ave - Current Locatin"/>
    <n v="2098"/>
    <s v="Ventura"/>
    <b v="1"/>
    <m/>
  </r>
  <r>
    <x v="2"/>
    <x v="0"/>
    <s v="common/images/infoicons/opp-flag-clear_32x32.png"/>
    <s v="common/images/infoicons/transpix.gif"/>
    <x v="3"/>
    <x v="10"/>
    <s v="CWiggins"/>
    <x v="39"/>
    <x v="261"/>
    <n v="4765.22"/>
    <n v="1185.73"/>
    <x v="0"/>
    <n v="80"/>
    <x v="1"/>
    <x v="1"/>
    <s v="Wed 04/17/2019 follow up "/>
    <m/>
    <n v="22"/>
    <m/>
    <n v="4765.22"/>
    <s v="Corporate"/>
    <s v="Don Cooper"/>
    <s v="Carpinteria"/>
    <s v="CA"/>
    <n v="0"/>
    <n v="0"/>
    <n v="0"/>
    <n v="3812.1759999999999"/>
    <s v="Unknown"/>
    <x v="0"/>
    <n v="0"/>
    <n v="0"/>
    <n v="4765.22"/>
    <n v="0"/>
    <n v="0"/>
    <n v="0"/>
    <s v="P1 Other"/>
    <s v="Managed Services"/>
    <s v="Main"/>
    <n v="3038"/>
    <s v="Ventura"/>
    <b v="0"/>
    <m/>
  </r>
  <r>
    <x v="3"/>
    <x v="0"/>
    <s v="common/images/infoicons/opp-flag-clear_32x32.png"/>
    <s v="common/images/infoicons/Status_CredsVaild.svg"/>
    <x v="4"/>
    <x v="4"/>
    <s v="CWiggins"/>
    <x v="4"/>
    <x v="262"/>
    <n v="2800"/>
    <n v="2800"/>
    <x v="0"/>
    <n v="20"/>
    <x v="8"/>
    <x v="1"/>
    <s v="Tue 04/16/2019 Follow up on timing "/>
    <m/>
    <n v="380"/>
    <m/>
    <n v="0"/>
    <s v="Corporate"/>
    <s v="Mike Leblanc"/>
    <s v="Ventura"/>
    <s v="CA"/>
    <n v="0"/>
    <n v="0"/>
    <n v="0"/>
    <n v="560"/>
    <s v="Unknown"/>
    <x v="0"/>
    <n v="0"/>
    <n v="0"/>
    <n v="0"/>
    <n v="2800"/>
    <n v="0"/>
    <n v="0"/>
    <s v="P1 Hardware / Software"/>
    <s v="Admin"/>
    <s v="Main"/>
    <n v="2019"/>
    <s v="Ventura"/>
    <b v="0"/>
    <m/>
  </r>
  <r>
    <x v="3"/>
    <x v="0"/>
    <s v="common/images/infoicons/opp-flag-clear_32x32.png"/>
    <s v="common/images/infoicons/transpix.gif"/>
    <x v="3"/>
    <x v="19"/>
    <s v="CWiggins"/>
    <x v="14"/>
    <x v="263"/>
    <n v="23055.09"/>
    <n v="17440.740000000002"/>
    <x v="0"/>
    <n v="40"/>
    <x v="3"/>
    <x v="1"/>
    <s v="Tue 06/18/2019 follow up to proposal sent "/>
    <m/>
    <n v="517"/>
    <m/>
    <n v="23055.09"/>
    <s v="Corporate"/>
    <s v="Michelle Cardona"/>
    <s v="Oxnard"/>
    <s v="CA"/>
    <n v="0"/>
    <n v="0"/>
    <n v="0"/>
    <n v="9222.0360000000001"/>
    <s v="Unknown"/>
    <x v="0"/>
    <n v="0"/>
    <n v="0"/>
    <n v="7910.09"/>
    <n v="15145"/>
    <n v="0"/>
    <n v="0"/>
    <s v="P1 Technology MS"/>
    <s v="Sales"/>
    <s v="Main"/>
    <n v="1521"/>
    <s v="Ventura"/>
    <b v="0"/>
    <m/>
  </r>
  <r>
    <x v="11"/>
    <x v="0"/>
    <s v="common/images/infoicons/opp-flag-clear_32x32.png"/>
    <s v="common/images/infoicons/transpix.gif"/>
    <x v="3"/>
    <x v="88"/>
    <s v="CWiggins"/>
    <x v="34"/>
    <x v="264"/>
    <n v="5000"/>
    <n v="2500"/>
    <x v="0"/>
    <n v="20"/>
    <x v="10"/>
    <x v="0"/>
    <s v="Add new activity"/>
    <m/>
    <n v="479"/>
    <m/>
    <n v="5000"/>
    <s v="Corporate"/>
    <s v="Lennea Morris"/>
    <s v="Carpinteria"/>
    <s v="CA"/>
    <n v="0"/>
    <n v="0"/>
    <n v="0"/>
    <n v="1000"/>
    <s v="Unknown"/>
    <x v="0"/>
    <n v="0"/>
    <n v="0"/>
    <n v="5000"/>
    <n v="0"/>
    <n v="0"/>
    <n v="0"/>
    <s v="P1 Hardware / Software"/>
    <s v="Admin"/>
    <s v="Main"/>
    <n v="1625"/>
    <s v="Ventura"/>
    <b v="0"/>
    <m/>
  </r>
  <r>
    <x v="11"/>
    <x v="0"/>
    <s v="common/images/infoicons/opp-flag-clear_32x32.png"/>
    <s v="common/images/infoicons/transpix.gif"/>
    <x v="3"/>
    <x v="88"/>
    <s v="CWiggins"/>
    <x v="34"/>
    <x v="265"/>
    <n v="10000"/>
    <n v="10000"/>
    <x v="0"/>
    <n v="20"/>
    <x v="10"/>
    <x v="0"/>
    <s v="Add new activity"/>
    <m/>
    <n v="517"/>
    <m/>
    <n v="10000"/>
    <s v="Corporate"/>
    <s v="Lennea Morris"/>
    <s v="Carpinteria"/>
    <s v="CA"/>
    <n v="0"/>
    <n v="0"/>
    <n v="0"/>
    <n v="2000"/>
    <s v="Unknown"/>
    <x v="0"/>
    <n v="0"/>
    <n v="0"/>
    <n v="0"/>
    <n v="10000"/>
    <n v="0"/>
    <n v="0"/>
    <s v="P1 Hardware / Software"/>
    <s v="Sales"/>
    <s v="Main"/>
    <n v="1518"/>
    <s v="Ventura"/>
    <b v="0"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  <r>
    <x v="12"/>
    <x v="1"/>
    <m/>
    <m/>
    <x v="8"/>
    <x v="89"/>
    <m/>
    <x v="61"/>
    <x v="266"/>
    <m/>
    <m/>
    <x v="0"/>
    <m/>
    <x v="12"/>
    <x v="0"/>
    <m/>
    <m/>
    <m/>
    <m/>
    <m/>
    <m/>
    <m/>
    <m/>
    <m/>
    <m/>
    <m/>
    <m/>
    <m/>
    <m/>
    <x v="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F966" firstHeaderRow="0" firstDataRow="1" firstDataCol="4"/>
  <pivotFields count="45">
    <pivotField subtotalTop="0" showAll="0"/>
    <pivotField showAll="0"/>
    <pivotField subtotalTop="0" showAll="0"/>
    <pivotField subtotalTop="0" showAll="0"/>
    <pivotField subtotalTop="0" showAll="0"/>
    <pivotField axis="axisRow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/>
    <pivotField axis="axisRow" dataField="1" compact="0" outline="0" subtotalTop="0" showAll="0" defaultSubtotal="0">
      <items count="299">
        <item x="7"/>
        <item x="26"/>
        <item x="31"/>
        <item m="1" x="159"/>
        <item x="33"/>
        <item x="40"/>
        <item x="24"/>
        <item m="1" x="277"/>
        <item m="1" x="290"/>
        <item m="1" x="176"/>
        <item x="29"/>
        <item x="2"/>
        <item x="32"/>
        <item x="14"/>
        <item x="39"/>
        <item x="19"/>
        <item x="47"/>
        <item m="1" x="70"/>
        <item m="1" x="279"/>
        <item m="1" x="103"/>
        <item m="1" x="253"/>
        <item x="4"/>
        <item m="1" x="220"/>
        <item m="1" x="174"/>
        <item x="8"/>
        <item x="28"/>
        <item x="36"/>
        <item m="1" x="185"/>
        <item x="1"/>
        <item x="20"/>
        <item m="1" x="181"/>
        <item x="34"/>
        <item x="17"/>
        <item x="27"/>
        <item m="1" x="97"/>
        <item m="1" x="146"/>
        <item m="1" x="201"/>
        <item x="16"/>
        <item x="51"/>
        <item m="1" x="152"/>
        <item m="1" x="262"/>
        <item m="1" x="194"/>
        <item x="23"/>
        <item x="43"/>
        <item x="21"/>
        <item x="30"/>
        <item x="49"/>
        <item m="1" x="207"/>
        <item x="15"/>
        <item m="1" x="293"/>
        <item m="1" x="240"/>
        <item m="1" x="287"/>
        <item x="61"/>
        <item x="46"/>
        <item x="3"/>
        <item x="38"/>
        <item m="1" x="71"/>
        <item x="22"/>
        <item m="1" x="132"/>
        <item x="48"/>
        <item x="56"/>
        <item x="10"/>
        <item x="25"/>
        <item x="37"/>
        <item x="6"/>
        <item x="42"/>
        <item x="35"/>
        <item x="45"/>
        <item m="1" x="217"/>
        <item x="11"/>
        <item m="1" x="205"/>
        <item x="13"/>
        <item x="12"/>
        <item x="9"/>
        <item x="0"/>
        <item m="1" x="222"/>
        <item x="18"/>
        <item m="1" x="66"/>
        <item m="1" x="208"/>
        <item m="1" x="100"/>
        <item m="1" x="64"/>
        <item m="1" x="113"/>
        <item m="1" x="161"/>
        <item m="1" x="131"/>
        <item m="1" x="94"/>
        <item m="1" x="263"/>
        <item m="1" x="88"/>
        <item m="1" x="183"/>
        <item m="1" x="170"/>
        <item m="1" x="294"/>
        <item m="1" x="147"/>
        <item m="1" x="67"/>
        <item m="1" x="111"/>
        <item m="1" x="255"/>
        <item m="1" x="246"/>
        <item m="1" x="284"/>
        <item m="1" x="162"/>
        <item m="1" x="227"/>
        <item m="1" x="241"/>
        <item m="1" x="202"/>
        <item m="1" x="108"/>
        <item m="1" x="281"/>
        <item m="1" x="90"/>
        <item m="1" x="296"/>
        <item m="1" x="76"/>
        <item m="1" x="204"/>
        <item m="1" x="80"/>
        <item m="1" x="182"/>
        <item m="1" x="62"/>
        <item m="1" x="180"/>
        <item m="1" x="216"/>
        <item m="1" x="193"/>
        <item m="1" x="196"/>
        <item m="1" x="254"/>
        <item m="1" x="142"/>
        <item m="1" x="214"/>
        <item m="1" x="95"/>
        <item m="1" x="186"/>
        <item m="1" x="171"/>
        <item m="1" x="184"/>
        <item m="1" x="139"/>
        <item m="1" x="257"/>
        <item m="1" x="198"/>
        <item m="1" x="286"/>
        <item m="1" x="99"/>
        <item m="1" x="145"/>
        <item m="1" x="75"/>
        <item m="1" x="252"/>
        <item m="1" x="166"/>
        <item m="1" x="109"/>
        <item m="1" x="128"/>
        <item m="1" x="117"/>
        <item m="1" x="273"/>
        <item m="1" x="63"/>
        <item m="1" x="110"/>
        <item m="1" x="225"/>
        <item m="1" x="121"/>
        <item m="1" x="271"/>
        <item m="1" x="259"/>
        <item m="1" x="168"/>
        <item m="1" x="239"/>
        <item m="1" x="86"/>
        <item m="1" x="291"/>
        <item m="1" x="206"/>
        <item m="1" x="199"/>
        <item m="1" x="231"/>
        <item m="1" x="84"/>
        <item m="1" x="256"/>
        <item m="1" x="221"/>
        <item m="1" x="119"/>
        <item m="1" x="148"/>
        <item m="1" x="93"/>
        <item m="1" x="264"/>
        <item m="1" x="238"/>
        <item m="1" x="244"/>
        <item m="1" x="77"/>
        <item m="1" x="228"/>
        <item m="1" x="79"/>
        <item m="1" x="266"/>
        <item m="1" x="261"/>
        <item m="1" x="169"/>
        <item m="1" x="153"/>
        <item m="1" x="120"/>
        <item m="1" x="223"/>
        <item m="1" x="160"/>
        <item m="1" x="164"/>
        <item m="1" x="233"/>
        <item m="1" x="249"/>
        <item m="1" x="134"/>
        <item m="1" x="232"/>
        <item m="1" x="151"/>
        <item m="1" x="105"/>
        <item m="1" x="85"/>
        <item m="1" x="215"/>
        <item m="1" x="298"/>
        <item m="1" x="265"/>
        <item m="1" x="65"/>
        <item m="1" x="297"/>
        <item m="1" x="130"/>
        <item m="1" x="190"/>
        <item m="1" x="102"/>
        <item m="1" x="236"/>
        <item m="1" x="87"/>
        <item m="1" x="91"/>
        <item m="1" x="292"/>
        <item m="1" x="260"/>
        <item m="1" x="230"/>
        <item m="1" x="177"/>
        <item m="1" x="137"/>
        <item m="1" x="218"/>
        <item m="1" x="118"/>
        <item m="1" x="122"/>
        <item m="1" x="144"/>
        <item m="1" x="141"/>
        <item m="1" x="126"/>
        <item m="1" x="295"/>
        <item m="1" x="154"/>
        <item m="1" x="81"/>
        <item m="1" x="101"/>
        <item m="1" x="242"/>
        <item m="1" x="197"/>
        <item m="1" x="127"/>
        <item m="1" x="251"/>
        <item m="1" x="172"/>
        <item m="1" x="125"/>
        <item m="1" x="98"/>
        <item m="1" x="274"/>
        <item m="1" x="237"/>
        <item m="1" x="179"/>
        <item m="1" x="200"/>
        <item m="1" x="107"/>
        <item m="1" x="123"/>
        <item m="1" x="69"/>
        <item m="1" x="209"/>
        <item m="1" x="289"/>
        <item m="1" x="278"/>
        <item m="1" x="224"/>
        <item m="1" x="96"/>
        <item m="1" x="82"/>
        <item m="1" x="247"/>
        <item m="1" x="195"/>
        <item m="1" x="124"/>
        <item m="1" x="243"/>
        <item m="1" x="245"/>
        <item m="1" x="163"/>
        <item m="1" x="258"/>
        <item m="1" x="272"/>
        <item m="1" x="116"/>
        <item m="1" x="165"/>
        <item m="1" x="280"/>
        <item m="1" x="73"/>
        <item m="1" x="250"/>
        <item m="1" x="140"/>
        <item m="1" x="210"/>
        <item m="1" x="268"/>
        <item m="1" x="189"/>
        <item m="1" x="234"/>
        <item m="1" x="155"/>
        <item m="1" x="248"/>
        <item m="1" x="150"/>
        <item m="1" x="188"/>
        <item m="1" x="203"/>
        <item m="1" x="213"/>
        <item m="1" x="276"/>
        <item m="1" x="178"/>
        <item m="1" x="72"/>
        <item m="1" x="219"/>
        <item m="1" x="226"/>
        <item m="1" x="112"/>
        <item m="1" x="283"/>
        <item m="1" x="191"/>
        <item m="1" x="135"/>
        <item m="1" x="267"/>
        <item m="1" x="74"/>
        <item m="1" x="211"/>
        <item m="1" x="78"/>
        <item m="1" x="149"/>
        <item m="1" x="106"/>
        <item m="1" x="167"/>
        <item m="1" x="282"/>
        <item m="1" x="115"/>
        <item m="1" x="129"/>
        <item m="1" x="89"/>
        <item m="1" x="269"/>
        <item m="1" x="275"/>
        <item m="1" x="158"/>
        <item m="1" x="285"/>
        <item m="1" x="156"/>
        <item m="1" x="157"/>
        <item m="1" x="143"/>
        <item m="1" x="114"/>
        <item m="1" x="212"/>
        <item m="1" x="138"/>
        <item m="1" x="92"/>
        <item m="1" x="173"/>
        <item m="1" x="187"/>
        <item m="1" x="175"/>
        <item m="1" x="104"/>
        <item m="1" x="192"/>
        <item m="1" x="68"/>
        <item m="1" x="235"/>
        <item m="1" x="270"/>
        <item m="1" x="133"/>
        <item m="1" x="136"/>
        <item m="1" x="229"/>
        <item m="1" x="83"/>
        <item m="1" x="288"/>
        <item x="57"/>
        <item x="41"/>
        <item x="44"/>
        <item x="5"/>
        <item x="50"/>
        <item x="58"/>
        <item x="59"/>
        <item x="55"/>
        <item x="60"/>
        <item x="52"/>
        <item x="53"/>
        <item x="54"/>
      </items>
    </pivotField>
    <pivotField axis="axisRow" compact="0" outline="0" subtotalTop="0" showAll="0" defaultSubtotal="0">
      <items count="1326">
        <item m="1" x="643"/>
        <item m="1" x="281"/>
        <item m="1" x="595"/>
        <item m="1" x="1204"/>
        <item m="1" x="699"/>
        <item m="1" x="795"/>
        <item m="1" x="1238"/>
        <item m="1" x="311"/>
        <item m="1" x="362"/>
        <item m="1" x="487"/>
        <item m="1" x="1201"/>
        <item m="1" x="532"/>
        <item m="1" x="1258"/>
        <item m="1" x="638"/>
        <item m="1" x="1188"/>
        <item m="1" x="701"/>
        <item m="1" x="370"/>
        <item m="1" x="323"/>
        <item m="1" x="1230"/>
        <item m="1" x="675"/>
        <item m="1" x="707"/>
        <item m="1" x="289"/>
        <item m="1" x="1265"/>
        <item m="1" x="578"/>
        <item m="1" x="888"/>
        <item m="1" x="833"/>
        <item m="1" x="594"/>
        <item m="1" x="435"/>
        <item m="1" x="612"/>
        <item m="1" x="619"/>
        <item m="1" x="626"/>
        <item m="1" x="422"/>
        <item m="1" x="895"/>
        <item m="1" x="621"/>
        <item m="1" x="599"/>
        <item m="1" x="1096"/>
        <item m="1" x="672"/>
        <item m="1" x="697"/>
        <item m="1" x="698"/>
        <item m="1" x="350"/>
        <item m="1" x="1056"/>
        <item m="1" x="499"/>
        <item m="1" x="665"/>
        <item m="1" x="549"/>
        <item m="1" x="1033"/>
        <item m="1" x="1192"/>
        <item m="1" x="1321"/>
        <item m="1" x="287"/>
        <item m="1" x="432"/>
        <item m="1" x="564"/>
        <item m="1" x="587"/>
        <item x="266"/>
        <item m="1" x="502"/>
        <item m="1" x="548"/>
        <item m="1" x="613"/>
        <item m="1" x="1015"/>
        <item m="1" x="679"/>
        <item m="1" x="948"/>
        <item m="1" x="469"/>
        <item m="1" x="1189"/>
        <item m="1" x="283"/>
        <item m="1" x="521"/>
        <item m="1" x="1030"/>
        <item m="1" x="1177"/>
        <item m="1" x="738"/>
        <item m="1" x="865"/>
        <item x="198"/>
        <item m="1" x="535"/>
        <item m="1" x="606"/>
        <item m="1" x="727"/>
        <item x="263"/>
        <item m="1" x="781"/>
        <item m="1" x="914"/>
        <item x="262"/>
        <item m="1" x="1158"/>
        <item m="1" x="872"/>
        <item m="1" x="974"/>
        <item m="1" x="778"/>
        <item m="1" x="967"/>
        <item x="16"/>
        <item x="17"/>
        <item m="1" x="1053"/>
        <item m="1" x="762"/>
        <item m="1" x="885"/>
        <item m="1" x="770"/>
        <item x="20"/>
        <item m="1" x="604"/>
        <item m="1" x="424"/>
        <item m="1" x="1229"/>
        <item m="1" x="607"/>
        <item x="264"/>
        <item m="1" x="568"/>
        <item x="265"/>
        <item x="23"/>
        <item x="259"/>
        <item m="1" x="456"/>
        <item m="1" x="368"/>
        <item m="1" x="1028"/>
        <item m="1" x="520"/>
        <item m="1" x="1314"/>
        <item m="1" x="774"/>
        <item m="1" x="577"/>
        <item m="1" x="878"/>
        <item m="1" x="655"/>
        <item x="183"/>
        <item m="1" x="748"/>
        <item x="82"/>
        <item m="1" x="474"/>
        <item m="1" x="331"/>
        <item m="1" x="500"/>
        <item m="1" x="660"/>
        <item m="1" x="1277"/>
        <item m="1" x="306"/>
        <item m="1" x="309"/>
        <item m="1" x="464"/>
        <item m="1" x="1058"/>
        <item m="1" x="718"/>
        <item m="1" x="931"/>
        <item m="1" x="1286"/>
        <item m="1" x="351"/>
        <item m="1" x="687"/>
        <item m="1" x="285"/>
        <item m="1" x="1021"/>
        <item m="1" x="1292"/>
        <item m="1" x="868"/>
        <item m="1" x="1162"/>
        <item m="1" x="1235"/>
        <item m="1" x="797"/>
        <item m="1" x="360"/>
        <item m="1" x="760"/>
        <item m="1" x="763"/>
        <item m="1" x="793"/>
        <item m="1" x="359"/>
        <item m="1" x="308"/>
        <item m="1" x="661"/>
        <item m="1" x="721"/>
        <item m="1" x="353"/>
        <item m="1" x="1260"/>
        <item m="1" x="647"/>
        <item m="1" x="953"/>
        <item m="1" x="369"/>
        <item m="1" x="455"/>
        <item m="1" x="305"/>
        <item m="1" x="912"/>
        <item m="1" x="1101"/>
        <item m="1" x="1051"/>
        <item m="1" x="1092"/>
        <item m="1" x="546"/>
        <item m="1" x="1312"/>
        <item m="1" x="999"/>
        <item m="1" x="994"/>
        <item m="1" x="942"/>
        <item m="1" x="1194"/>
        <item m="1" x="1114"/>
        <item m="1" x="559"/>
        <item m="1" x="860"/>
        <item m="1" x="504"/>
        <item m="1" x="505"/>
        <item m="1" x="1261"/>
        <item m="1" x="380"/>
        <item m="1" x="680"/>
        <item m="1" x="409"/>
        <item m="1" x="935"/>
        <item m="1" x="951"/>
        <item m="1" x="625"/>
        <item m="1" x="1244"/>
        <item m="1" x="757"/>
        <item m="1" x="1268"/>
        <item m="1" x="298"/>
        <item m="1" x="857"/>
        <item m="1" x="1197"/>
        <item m="1" x="658"/>
        <item m="1" x="407"/>
        <item m="1" x="1013"/>
        <item m="1" x="534"/>
        <item m="1" x="640"/>
        <item m="1" x="496"/>
        <item m="1" x="900"/>
        <item m="1" x="330"/>
        <item m="1" x="788"/>
        <item m="1" x="834"/>
        <item x="2"/>
        <item m="1" x="1276"/>
        <item m="1" x="649"/>
        <item m="1" x="980"/>
        <item m="1" x="328"/>
        <item m="1" x="903"/>
        <item m="1" x="1036"/>
        <item m="1" x="1218"/>
        <item m="1" x="570"/>
        <item m="1" x="533"/>
        <item m="1" x="801"/>
        <item x="252"/>
        <item x="24"/>
        <item m="1" x="998"/>
        <item m="1" x="386"/>
        <item m="1" x="1054"/>
        <item m="1" x="617"/>
        <item m="1" x="299"/>
        <item m="1" x="952"/>
        <item m="1" x="755"/>
        <item x="137"/>
        <item x="234"/>
        <item m="1" x="316"/>
        <item m="1" x="819"/>
        <item x="257"/>
        <item m="1" x="358"/>
        <item m="1" x="450"/>
        <item m="1" x="1151"/>
        <item m="1" x="494"/>
        <item m="1" x="629"/>
        <item m="1" x="1029"/>
        <item m="1" x="1187"/>
        <item m="1" x="1203"/>
        <item m="1" x="295"/>
        <item x="251"/>
        <item m="1" x="560"/>
        <item m="1" x="804"/>
        <item m="1" x="1090"/>
        <item m="1" x="517"/>
        <item m="1" x="317"/>
        <item m="1" x="582"/>
        <item m="1" x="1223"/>
        <item m="1" x="513"/>
        <item x="41"/>
        <item m="1" x="1251"/>
        <item x="53"/>
        <item m="1" x="950"/>
        <item m="1" x="382"/>
        <item m="1" x="867"/>
        <item m="1" x="688"/>
        <item m="1" x="307"/>
        <item m="1" x="376"/>
        <item m="1" x="938"/>
        <item x="37"/>
        <item m="1" x="541"/>
        <item x="157"/>
        <item m="1" x="637"/>
        <item x="61"/>
        <item m="1" x="1034"/>
        <item m="1" x="512"/>
        <item m="1" x="695"/>
        <item m="1" x="1148"/>
        <item m="1" x="779"/>
        <item m="1" x="356"/>
        <item m="1" x="773"/>
        <item m="1" x="956"/>
        <item m="1" x="523"/>
        <item m="1" x="828"/>
        <item x="117"/>
        <item x="179"/>
        <item m="1" x="1299"/>
        <item m="1" x="1274"/>
        <item m="1" x="831"/>
        <item x="254"/>
        <item m="1" x="983"/>
        <item m="1" x="892"/>
        <item m="1" x="555"/>
        <item m="1" x="632"/>
        <item m="1" x="572"/>
        <item x="115"/>
        <item m="1" x="1234"/>
        <item x="204"/>
        <item m="1" x="786"/>
        <item m="1" x="395"/>
        <item m="1" x="1240"/>
        <item m="1" x="385"/>
        <item m="1" x="787"/>
        <item m="1" x="683"/>
        <item m="1" x="794"/>
        <item m="1" x="1297"/>
        <item m="1" x="824"/>
        <item x="15"/>
        <item x="101"/>
        <item m="1" x="268"/>
        <item x="258"/>
        <item x="248"/>
        <item x="238"/>
        <item x="255"/>
        <item x="149"/>
        <item x="212"/>
        <item x="256"/>
        <item x="146"/>
        <item x="214"/>
        <item x="213"/>
        <item m="1" x="1224"/>
        <item m="1" x="1207"/>
        <item m="1" x="915"/>
        <item m="1" x="1040"/>
        <item m="1" x="965"/>
        <item m="1" x="1091"/>
        <item m="1" x="501"/>
        <item x="242"/>
        <item m="1" x="475"/>
        <item x="0"/>
        <item x="1"/>
        <item m="1" x="1176"/>
        <item m="1" x="1111"/>
        <item m="1" x="630"/>
        <item m="1" x="949"/>
        <item m="1" x="636"/>
        <item m="1" x="1310"/>
        <item m="1" x="877"/>
        <item x="7"/>
        <item x="184"/>
        <item m="1" x="498"/>
        <item x="38"/>
        <item x="106"/>
        <item m="1" x="693"/>
        <item x="93"/>
        <item m="1" x="1095"/>
        <item m="1" x="1005"/>
        <item m="1" x="1165"/>
        <item x="12"/>
        <item x="145"/>
        <item x="25"/>
        <item x="26"/>
        <item x="60"/>
        <item m="1" x="744"/>
        <item x="27"/>
        <item x="28"/>
        <item m="1" x="446"/>
        <item m="1" x="605"/>
        <item m="1" x="1026"/>
        <item m="1" x="889"/>
        <item m="1" x="300"/>
        <item m="1" x="1282"/>
        <item m="1" x="472"/>
        <item m="1" x="312"/>
        <item m="1" x="413"/>
        <item m="1" x="282"/>
        <item m="1" x="486"/>
        <item m="1" x="700"/>
        <item m="1" x="558"/>
        <item m="1" x="471"/>
        <item m="1" x="724"/>
        <item m="1" x="1128"/>
        <item m="1" x="1239"/>
        <item m="1" x="551"/>
        <item m="1" x="1025"/>
        <item m="1" x="401"/>
        <item m="1" x="393"/>
        <item m="1" x="916"/>
        <item m="1" x="406"/>
        <item m="1" x="439"/>
        <item m="1" x="1012"/>
        <item m="1" x="1271"/>
        <item m="1" x="1087"/>
        <item m="1" x="985"/>
        <item m="1" x="529"/>
        <item m="1" x="1241"/>
        <item m="1" x="1129"/>
        <item m="1" x="837"/>
        <item m="1" x="1106"/>
        <item m="1" x="1152"/>
        <item m="1" x="754"/>
        <item m="1" x="1001"/>
        <item m="1" x="737"/>
        <item m="1" x="576"/>
        <item m="1" x="1243"/>
        <item m="1" x="547"/>
        <item m="1" x="692"/>
        <item m="1" x="1167"/>
        <item m="1" x="1084"/>
        <item m="1" x="414"/>
        <item m="1" x="1154"/>
        <item m="1" x="1252"/>
        <item m="1" x="808"/>
        <item m="1" x="1308"/>
        <item m="1" x="1269"/>
        <item m="1" x="934"/>
        <item m="1" x="1085"/>
        <item m="1" x="1023"/>
        <item m="1" x="686"/>
        <item m="1" x="495"/>
        <item m="1" x="434"/>
        <item m="1" x="273"/>
        <item m="1" x="476"/>
        <item m="1" x="926"/>
        <item m="1" x="644"/>
        <item m="1" x="1262"/>
        <item m="1" x="367"/>
        <item m="1" x="869"/>
        <item m="1" x="392"/>
        <item m="1" x="623"/>
        <item m="1" x="491"/>
        <item m="1" x="633"/>
        <item m="1" x="1116"/>
        <item m="1" x="691"/>
        <item m="1" x="862"/>
        <item m="1" x="725"/>
        <item m="1" x="310"/>
        <item m="1" x="1180"/>
        <item m="1" x="371"/>
        <item m="1" x="274"/>
        <item m="1" x="1044"/>
        <item m="1" x="812"/>
        <item m="1" x="853"/>
        <item m="1" x="944"/>
        <item m="1" x="1103"/>
        <item m="1" x="1317"/>
        <item m="1" x="1170"/>
        <item m="1" x="278"/>
        <item m="1" x="465"/>
        <item m="1" x="1130"/>
        <item m="1" x="515"/>
        <item m="1" x="1290"/>
        <item m="1" x="1055"/>
        <item m="1" x="1155"/>
        <item m="1" x="290"/>
        <item m="1" x="510"/>
        <item m="1" x="473"/>
        <item m="1" x="1208"/>
        <item m="1" x="989"/>
        <item m="1" x="849"/>
        <item m="1" x="598"/>
        <item m="1" x="830"/>
        <item m="1" x="859"/>
        <item m="1" x="280"/>
        <item m="1" x="780"/>
        <item m="1" x="525"/>
        <item m="1" x="522"/>
        <item m="1" x="454"/>
        <item m="1" x="303"/>
        <item m="1" x="1156"/>
        <item m="1" x="1017"/>
        <item m="1" x="436"/>
        <item m="1" x="341"/>
        <item m="1" x="657"/>
        <item m="1" x="387"/>
        <item m="1" x="388"/>
        <item m="1" x="508"/>
        <item m="1" x="791"/>
        <item m="1" x="1202"/>
        <item m="1" x="373"/>
        <item m="1" x="650"/>
        <item m="1" x="628"/>
        <item m="1" x="799"/>
        <item m="1" x="349"/>
        <item m="1" x="674"/>
        <item m="1" x="745"/>
        <item m="1" x="671"/>
        <item x="29"/>
        <item m="1" x="405"/>
        <item m="1" x="1245"/>
        <item m="1" x="1057"/>
        <item m="1" x="1149"/>
        <item m="1" x="1064"/>
        <item m="1" x="978"/>
        <item m="1" x="503"/>
        <item m="1" x="783"/>
        <item m="1" x="1213"/>
        <item m="1" x="1304"/>
        <item m="1" x="292"/>
        <item m="1" x="815"/>
        <item m="1" x="1193"/>
        <item m="1" x="410"/>
        <item m="1" x="518"/>
        <item m="1" x="1014"/>
        <item m="1" x="343"/>
        <item m="1" x="1081"/>
        <item m="1" x="539"/>
        <item m="1" x="1185"/>
        <item m="1" x="366"/>
        <item m="1" x="313"/>
        <item m="1" x="333"/>
        <item m="1" x="876"/>
        <item m="1" x="443"/>
        <item m="1" x="805"/>
        <item m="1" x="524"/>
        <item m="1" x="557"/>
        <item m="1" x="425"/>
        <item m="1" x="1037"/>
        <item m="1" x="337"/>
        <item m="1" x="1102"/>
        <item m="1" x="684"/>
        <item m="1" x="293"/>
        <item m="1" x="1035"/>
        <item x="116"/>
        <item m="1" x="668"/>
        <item m="1" x="1119"/>
        <item m="1" x="345"/>
        <item m="1" x="681"/>
        <item m="1" x="461"/>
        <item m="1" x="527"/>
        <item m="1" x="1273"/>
        <item m="1" x="653"/>
        <item m="1" x="740"/>
        <item m="1" x="408"/>
        <item m="1" x="635"/>
        <item m="1" x="1291"/>
        <item m="1" x="286"/>
        <item m="1" x="1267"/>
        <item x="92"/>
        <item m="1" x="825"/>
        <item m="1" x="1281"/>
        <item m="1" x="1319"/>
        <item m="1" x="961"/>
        <item m="1" x="670"/>
        <item m="1" x="676"/>
        <item m="1" x="1160"/>
        <item m="1" x="1163"/>
        <item m="1" x="470"/>
        <item m="1" x="348"/>
        <item m="1" x="803"/>
        <item m="1" x="736"/>
        <item m="1" x="969"/>
        <item x="84"/>
        <item m="1" x="886"/>
        <item m="1" x="492"/>
        <item m="1" x="772"/>
        <item m="1" x="696"/>
        <item m="1" x="1000"/>
        <item m="1" x="590"/>
        <item m="1" x="591"/>
        <item m="1" x="347"/>
        <item m="1" x="1283"/>
        <item m="1" x="1296"/>
        <item m="1" x="1249"/>
        <item m="1" x="1004"/>
        <item m="1" x="269"/>
        <item m="1" x="710"/>
        <item m="1" x="374"/>
        <item m="1" x="620"/>
        <item m="1" x="920"/>
        <item m="1" x="1022"/>
        <item m="1" x="1174"/>
        <item x="125"/>
        <item m="1" x="855"/>
        <item m="1" x="457"/>
        <item m="1" x="479"/>
        <item m="1" x="764"/>
        <item x="30"/>
        <item x="31"/>
        <item x="33"/>
        <item x="34"/>
        <item m="1" x="711"/>
        <item m="1" x="714"/>
        <item m="1" x="751"/>
        <item m="1" x="431"/>
        <item m="1" x="1298"/>
        <item m="1" x="1219"/>
        <item m="1" x="1150"/>
        <item m="1" x="416"/>
        <item m="1" x="1078"/>
        <item m="1" x="963"/>
        <item m="1" x="1257"/>
        <item m="1" x="1209"/>
        <item m="1" x="879"/>
        <item m="1" x="1135"/>
        <item m="1" x="304"/>
        <item m="1" x="908"/>
        <item m="1" x="631"/>
        <item m="1" x="941"/>
        <item m="1" x="1061"/>
        <item m="1" x="1264"/>
        <item m="1" x="509"/>
        <item m="1" x="1072"/>
        <item m="1" x="437"/>
        <item m="1" x="1272"/>
        <item m="1" x="1143"/>
        <item m="1" x="1178"/>
        <item m="1" x="991"/>
        <item m="1" x="646"/>
        <item m="1" x="506"/>
        <item m="1" x="384"/>
        <item m="1" x="1138"/>
        <item m="1" x="796"/>
        <item m="1" x="1169"/>
        <item m="1" x="394"/>
        <item m="1" x="1210"/>
        <item m="1" x="1043"/>
        <item m="1" x="1123"/>
        <item m="1" x="1048"/>
        <item m="1" x="1303"/>
        <item m="1" x="1045"/>
        <item m="1" x="642"/>
        <item m="1" x="678"/>
        <item m="1" x="851"/>
        <item m="1" x="1237"/>
        <item m="1" x="902"/>
        <item m="1" x="1315"/>
        <item m="1" x="585"/>
        <item m="1" x="1284"/>
        <item m="1" x="753"/>
        <item m="1" x="896"/>
        <item m="1" x="756"/>
        <item m="1" x="1133"/>
        <item m="1" x="1134"/>
        <item m="1" x="968"/>
        <item m="1" x="396"/>
        <item m="1" x="1309"/>
        <item m="1" x="1206"/>
        <item m="1" x="1127"/>
        <item m="1" x="497"/>
        <item m="1" x="363"/>
        <item m="1" x="673"/>
        <item m="1" x="426"/>
        <item m="1" x="516"/>
        <item m="1" x="761"/>
        <item m="1" x="1089"/>
        <item m="1" x="1293"/>
        <item m="1" x="923"/>
        <item m="1" x="866"/>
        <item m="1" x="706"/>
        <item m="1" x="297"/>
        <item m="1" x="810"/>
        <item m="1" x="690"/>
        <item m="1" x="777"/>
        <item m="1" x="1227"/>
        <item m="1" x="1082"/>
        <item m="1" x="545"/>
        <item m="1" x="990"/>
        <item m="1" x="1042"/>
        <item m="1" x="340"/>
        <item m="1" x="354"/>
        <item m="1" x="1306"/>
        <item m="1" x="1016"/>
        <item m="1" x="602"/>
        <item m="1" x="882"/>
        <item m="1" x="784"/>
        <item m="1" x="1171"/>
        <item m="1" x="897"/>
        <item m="1" x="732"/>
        <item m="1" x="728"/>
        <item m="1" x="1067"/>
        <item m="1" x="1068"/>
        <item m="1" x="1046"/>
        <item m="1" x="820"/>
        <item m="1" x="713"/>
        <item m="1" x="601"/>
        <item m="1" x="863"/>
        <item m="1" x="430"/>
        <item m="1" x="973"/>
        <item m="1" x="543"/>
        <item m="1" x="832"/>
        <item m="1" x="881"/>
        <item m="1" x="429"/>
        <item m="1" x="1222"/>
        <item m="1" x="987"/>
        <item m="1" x="821"/>
        <item m="1" x="1077"/>
        <item m="1" x="1181"/>
        <item m="1" x="1287"/>
        <item m="1" x="1302"/>
        <item m="1" x="746"/>
        <item m="1" x="1195"/>
        <item m="1" x="669"/>
        <item m="1" x="917"/>
        <item m="1" x="627"/>
        <item m="1" x="1038"/>
        <item m="1" x="1190"/>
        <item m="1" x="417"/>
        <item m="1" x="540"/>
        <item m="1" x="519"/>
        <item m="1" x="1250"/>
        <item m="1" x="992"/>
        <item m="1" x="615"/>
        <item m="1" x="873"/>
        <item m="1" x="792"/>
        <item m="1" x="478"/>
        <item m="1" x="1099"/>
        <item m="1" x="1247"/>
        <item m="1" x="1278"/>
        <item m="1" x="449"/>
        <item m="1" x="702"/>
        <item m="1" x="1115"/>
        <item m="1" x="767"/>
        <item m="1" x="919"/>
        <item m="1" x="1246"/>
        <item m="1" x="800"/>
        <item m="1" x="933"/>
        <item m="1" x="664"/>
        <item m="1" x="809"/>
        <item m="1" x="1320"/>
        <item m="1" x="1039"/>
        <item m="1" x="440"/>
        <item m="1" x="1254"/>
        <item m="1" x="1216"/>
        <item m="1" x="1007"/>
        <item m="1" x="326"/>
        <item m="1" x="1232"/>
        <item m="1" x="654"/>
        <item m="1" x="925"/>
        <item m="1" x="378"/>
        <item m="1" x="704"/>
        <item m="1" x="729"/>
        <item m="1" x="928"/>
        <item m="1" x="270"/>
        <item m="1" x="1066"/>
        <item m="1" x="611"/>
        <item m="1" x="856"/>
        <item m="1" x="447"/>
        <item m="1" x="301"/>
        <item m="1" x="361"/>
        <item m="1" x="947"/>
        <item m="1" x="921"/>
        <item m="1" x="891"/>
        <item m="1" x="1220"/>
        <item m="1" x="703"/>
        <item m="1" x="742"/>
        <item m="1" x="375"/>
        <item m="1" x="566"/>
        <item m="1" x="1137"/>
        <item m="1" x="663"/>
        <item m="1" x="444"/>
        <item m="1" x="379"/>
        <item m="1" x="279"/>
        <item m="1" x="883"/>
        <item m="1" x="322"/>
        <item m="1" x="964"/>
        <item m="1" x="946"/>
        <item m="1" x="798"/>
        <item m="1" x="477"/>
        <item m="1" x="624"/>
        <item m="1" x="383"/>
        <item m="1" x="272"/>
        <item m="1" x="1076"/>
        <item m="1" x="959"/>
        <item m="1" x="451"/>
        <item m="1" x="616"/>
        <item m="1" x="1289"/>
        <item m="1" x="1110"/>
        <item m="1" x="1065"/>
        <item m="1" x="567"/>
        <item m="1" x="927"/>
        <item m="1" x="614"/>
        <item m="1" x="939"/>
        <item m="1" x="1285"/>
        <item m="1" x="1139"/>
        <item m="1" x="648"/>
        <item m="1" x="1010"/>
        <item m="1" x="1002"/>
        <item m="1" x="593"/>
        <item m="1" x="1027"/>
        <item m="1" x="565"/>
        <item m="1" x="1069"/>
        <item m="1" x="334"/>
        <item m="1" x="609"/>
        <item m="1" x="899"/>
        <item m="1" x="1242"/>
        <item m="1" x="954"/>
        <item m="1" x="735"/>
        <item m="1" x="1126"/>
        <item m="1" x="554"/>
        <item m="1" x="1079"/>
        <item m="1" x="1175"/>
        <item m="1" x="981"/>
        <item m="1" x="722"/>
        <item m="1" x="1214"/>
        <item m="1" x="267"/>
        <item m="1" x="827"/>
        <item m="1" x="537"/>
        <item m="1" x="1120"/>
        <item m="1" x="335"/>
        <item m="1" x="677"/>
        <item m="1" x="482"/>
        <item m="1" x="466"/>
        <item m="1" x="932"/>
        <item m="1" x="1211"/>
        <item m="1" x="743"/>
        <item m="1" x="1228"/>
        <item m="1" x="419"/>
        <item m="1" x="1118"/>
        <item m="1" x="976"/>
        <item m="1" x="542"/>
        <item m="1" x="589"/>
        <item m="1" x="490"/>
        <item m="1" x="1225"/>
        <item m="1" x="843"/>
        <item m="1" x="1107"/>
        <item m="1" x="1093"/>
        <item m="1" x="639"/>
        <item m="1" x="1182"/>
        <item m="1" x="460"/>
        <item m="1" x="979"/>
        <item m="1" x="972"/>
        <item m="1" x="418"/>
        <item m="1" x="1086"/>
        <item m="1" x="1020"/>
        <item m="1" x="776"/>
        <item m="1" x="845"/>
        <item m="1" x="574"/>
        <item m="1" x="694"/>
        <item m="1" x="1248"/>
        <item m="1" x="563"/>
        <item m="1" x="480"/>
        <item m="1" x="847"/>
        <item m="1" x="782"/>
        <item m="1" x="1259"/>
        <item m="1" x="1270"/>
        <item m="1" x="807"/>
        <item m="1" x="1147"/>
        <item m="1" x="398"/>
        <item m="1" x="765"/>
        <item m="1" x="1307"/>
        <item m="1" x="320"/>
        <item m="1" x="1144"/>
        <item m="1" x="1212"/>
        <item m="1" x="645"/>
        <item m="1" x="922"/>
        <item m="1" x="1191"/>
        <item m="1" x="276"/>
        <item m="1" x="1113"/>
        <item m="1" x="1112"/>
        <item m="1" x="1059"/>
        <item m="1" x="544"/>
        <item m="1" x="586"/>
        <item m="1" x="733"/>
        <item m="1" x="271"/>
        <item m="1" x="823"/>
        <item m="1" x="651"/>
        <item m="1" x="734"/>
        <item m="1" x="1183"/>
        <item m="1" x="411"/>
        <item m="1" x="528"/>
        <item m="1" x="826"/>
        <item m="1" x="811"/>
        <item m="1" x="816"/>
        <item m="1" x="1117"/>
        <item m="1" x="538"/>
        <item m="1" x="420"/>
        <item m="1" x="423"/>
        <item m="1" x="569"/>
        <item m="1" x="433"/>
        <item m="1" x="716"/>
        <item m="1" x="445"/>
        <item m="1" x="468"/>
        <item m="1" x="288"/>
        <item m="1" x="1024"/>
        <item m="1" x="1316"/>
        <item m="1" x="1159"/>
        <item m="1" x="802"/>
        <item m="1" x="709"/>
        <item m="1" x="462"/>
        <item m="1" x="364"/>
        <item m="1" x="1173"/>
        <item m="1" x="818"/>
        <item m="1" x="850"/>
        <item m="1" x="1052"/>
        <item m="1" x="975"/>
        <item m="1" x="822"/>
        <item m="1" x="705"/>
        <item m="1" x="1008"/>
        <item m="1" x="402"/>
        <item m="1" x="1157"/>
        <item m="1" x="1083"/>
        <item m="1" x="656"/>
        <item m="1" x="685"/>
        <item m="1" x="1253"/>
        <item m="1" x="937"/>
        <item m="1" x="789"/>
        <item m="1" x="1184"/>
        <item m="1" x="641"/>
        <item m="1" x="1161"/>
        <item m="1" x="552"/>
        <item m="1" x="929"/>
        <item m="1" x="1050"/>
        <item m="1" x="720"/>
        <item m="1" x="1198"/>
        <item m="1" x="1186"/>
        <item m="1" x="1164"/>
        <item m="1" x="579"/>
        <item m="1" x="1105"/>
        <item m="1" x="314"/>
        <item m="1" x="1104"/>
        <item m="1" x="467"/>
        <item m="1" x="493"/>
        <item m="1" x="1108"/>
        <item m="1" x="848"/>
        <item m="1" x="321"/>
        <item m="1" x="945"/>
        <item m="1" x="556"/>
        <item m="1" x="339"/>
        <item m="1" x="412"/>
        <item m="1" x="864"/>
        <item m="1" x="428"/>
        <item m="1" x="1063"/>
        <item m="1" x="971"/>
        <item m="1" x="988"/>
        <item m="1" x="1153"/>
        <item m="1" x="854"/>
        <item m="1" x="553"/>
        <item m="1" x="712"/>
        <item m="1" x="875"/>
        <item m="1" x="1075"/>
        <item m="1" x="514"/>
        <item m="1" x="930"/>
        <item m="1" x="1166"/>
        <item m="1" x="1236"/>
        <item m="1" x="1140"/>
        <item m="1" x="489"/>
        <item m="1" x="562"/>
        <item m="1" x="1275"/>
        <item m="1" x="324"/>
        <item m="1" x="1100"/>
        <item m="1" x="581"/>
        <item m="1" x="399"/>
        <item m="1" x="1325"/>
        <item m="1" x="870"/>
        <item x="178"/>
        <item m="1" x="1324"/>
        <item m="1" x="993"/>
        <item m="1" x="1073"/>
        <item m="1" x="901"/>
        <item m="1" x="381"/>
        <item m="1" x="448"/>
        <item m="1" x="1047"/>
        <item m="1" x="1311"/>
        <item m="1" x="352"/>
        <item m="1" x="1280"/>
        <item m="1" x="608"/>
        <item m="1" x="726"/>
        <item m="1" x="1122"/>
        <item m="1" x="846"/>
        <item m="1" x="536"/>
        <item m="1" x="284"/>
        <item m="1" x="355"/>
        <item m="1" x="484"/>
        <item m="1" x="483"/>
        <item m="1" x="829"/>
        <item m="1" x="1313"/>
        <item m="1" x="1226"/>
        <item m="1" x="940"/>
        <item m="1" x="758"/>
        <item m="1" x="898"/>
        <item m="1" x="575"/>
        <item m="1" x="731"/>
        <item m="1" x="294"/>
        <item m="1" x="277"/>
        <item m="1" x="1125"/>
        <item m="1" x="1094"/>
        <item m="1" x="838"/>
        <item m="1" x="723"/>
        <item m="1" x="404"/>
        <item m="1" x="752"/>
        <item m="1" x="739"/>
        <item m="1" x="531"/>
        <item m="1" x="790"/>
        <item m="1" x="458"/>
        <item m="1" x="1318"/>
        <item m="1" x="1279"/>
        <item m="1" x="618"/>
        <item m="1" x="1132"/>
        <item m="1" x="1097"/>
        <item m="1" x="391"/>
        <item m="1" x="452"/>
        <item m="1" x="958"/>
        <item m="1" x="319"/>
        <item m="1" x="296"/>
        <item m="1" x="357"/>
        <item m="1" x="741"/>
        <item m="1" x="275"/>
        <item m="1" x="511"/>
        <item m="1" x="861"/>
        <item m="1" x="453"/>
        <item m="1" x="1071"/>
        <item m="1" x="583"/>
        <item m="1" x="874"/>
        <item m="1" x="839"/>
        <item m="1" x="924"/>
        <item m="1" x="1200"/>
        <item m="1" x="1288"/>
        <item m="1" x="769"/>
        <item m="1" x="1124"/>
        <item m="1" x="1018"/>
        <item m="1" x="910"/>
        <item m="1" x="365"/>
        <item m="1" x="749"/>
        <item m="1" x="1074"/>
        <item m="1" x="842"/>
        <item m="1" x="652"/>
        <item m="1" x="708"/>
        <item m="1" x="1011"/>
        <item m="1" x="909"/>
        <item m="1" x="403"/>
        <item m="1" x="488"/>
        <item m="1" x="984"/>
        <item m="1" x="960"/>
        <item m="1" x="1146"/>
        <item m="1" x="550"/>
        <item m="1" x="719"/>
        <item m="1" x="666"/>
        <item m="1" x="1131"/>
        <item m="1" x="750"/>
        <item m="1" x="913"/>
        <item m="1" x="1145"/>
        <item m="1" x="871"/>
        <item m="1" x="943"/>
        <item m="1" x="884"/>
        <item m="1" x="397"/>
        <item m="1" x="880"/>
        <item m="1" x="573"/>
        <item m="1" x="377"/>
        <item m="1" x="887"/>
        <item m="1" x="390"/>
        <item m="1" x="603"/>
        <item m="1" x="561"/>
        <item m="1" x="997"/>
        <item m="1" x="315"/>
        <item m="1" x="1088"/>
        <item m="1" x="1266"/>
        <item m="1" x="571"/>
        <item m="1" x="459"/>
        <item m="1" x="588"/>
        <item m="1" x="977"/>
        <item m="1" x="1305"/>
        <item m="1" x="1301"/>
        <item m="1" x="600"/>
        <item m="1" x="302"/>
        <item m="1" x="530"/>
        <item m="1" x="1217"/>
        <item m="1" x="955"/>
        <item m="1" x="715"/>
        <item m="1" x="747"/>
        <item m="1" x="893"/>
        <item m="1" x="1031"/>
        <item m="1" x="682"/>
        <item m="1" x="325"/>
        <item m="1" x="775"/>
        <item m="1" x="911"/>
        <item m="1" x="907"/>
        <item m="1" x="1098"/>
        <item m="1" x="936"/>
        <item m="1" x="996"/>
        <item m="1" x="768"/>
        <item m="1" x="634"/>
        <item m="1" x="1136"/>
        <item m="1" x="1060"/>
        <item m="1" x="918"/>
        <item m="1" x="346"/>
        <item m="1" x="438"/>
        <item m="1" x="1062"/>
        <item m="1" x="814"/>
        <item m="1" x="1233"/>
        <item m="1" x="858"/>
        <item m="1" x="1300"/>
        <item m="1" x="904"/>
        <item m="1" x="580"/>
        <item m="1" x="1196"/>
        <item m="1" x="1179"/>
        <item m="1" x="1049"/>
        <item m="1" x="966"/>
        <item m="1" x="1003"/>
        <item m="1" x="905"/>
        <item m="1" x="332"/>
        <item m="1" x="336"/>
        <item m="1" x="318"/>
        <item m="1" x="327"/>
        <item m="1" x="596"/>
        <item m="1" x="1172"/>
        <item m="1" x="1070"/>
        <item m="1" x="441"/>
        <item m="1" x="1215"/>
        <item m="1" x="962"/>
        <item m="1" x="1009"/>
        <item m="1" x="890"/>
        <item m="1" x="982"/>
        <item m="1" x="1231"/>
        <item m="1" x="1323"/>
        <item m="1" x="592"/>
        <item m="1" x="1295"/>
        <item m="1" x="485"/>
        <item m="1" x="852"/>
        <item m="1" x="806"/>
        <item m="1" x="389"/>
        <item m="1" x="771"/>
        <item m="1" x="894"/>
        <item m="1" x="1256"/>
        <item m="1" x="481"/>
        <item m="1" x="1294"/>
        <item m="1" x="342"/>
        <item m="1" x="689"/>
        <item m="1" x="1032"/>
        <item m="1" x="421"/>
        <item m="1" x="667"/>
        <item m="1" x="329"/>
        <item m="1" x="1121"/>
        <item m="1" x="1263"/>
        <item m="1" x="1221"/>
        <item m="1" x="1080"/>
        <item m="1" x="1109"/>
        <item m="1" x="970"/>
        <item m="1" x="1019"/>
        <item m="1" x="785"/>
        <item m="1" x="427"/>
        <item m="1" x="1006"/>
        <item m="1" x="957"/>
        <item m="1" x="1142"/>
        <item m="1" x="840"/>
        <item m="1" x="817"/>
        <item m="1" x="507"/>
        <item m="1" x="463"/>
        <item m="1" x="662"/>
        <item m="1" x="344"/>
        <item m="1" x="730"/>
        <item m="1" x="442"/>
        <item m="1" x="836"/>
        <item m="1" x="1141"/>
        <item x="32"/>
        <item x="35"/>
        <item x="36"/>
        <item x="59"/>
        <item m="1" x="995"/>
        <item m="1" x="841"/>
        <item m="1" x="1041"/>
        <item m="1" x="835"/>
        <item x="55"/>
        <item x="18"/>
        <item x="19"/>
        <item x="40"/>
        <item x="39"/>
        <item x="42"/>
        <item x="43"/>
        <item m="1" x="597"/>
        <item x="56"/>
        <item m="1" x="1199"/>
        <item x="44"/>
        <item x="45"/>
        <item x="46"/>
        <item m="1" x="986"/>
        <item x="139"/>
        <item x="47"/>
        <item x="57"/>
        <item m="1" x="622"/>
        <item x="48"/>
        <item x="50"/>
        <item x="51"/>
        <item x="52"/>
        <item x="72"/>
        <item x="102"/>
        <item m="1" x="526"/>
        <item x="6"/>
        <item x="194"/>
        <item x="260"/>
        <item x="49"/>
        <item x="54"/>
        <item x="58"/>
        <item x="62"/>
        <item x="63"/>
        <item x="64"/>
        <item x="65"/>
        <item x="66"/>
        <item x="67"/>
        <item x="68"/>
        <item x="203"/>
        <item x="99"/>
        <item x="69"/>
        <item m="1" x="717"/>
        <item x="95"/>
        <item x="147"/>
        <item m="1" x="1168"/>
        <item x="22"/>
        <item x="70"/>
        <item x="71"/>
        <item x="73"/>
        <item x="74"/>
        <item x="75"/>
        <item x="132"/>
        <item x="76"/>
        <item x="77"/>
        <item x="78"/>
        <item x="79"/>
        <item x="80"/>
        <item x="81"/>
        <item x="8"/>
        <item x="246"/>
        <item x="96"/>
        <item m="1" x="1205"/>
        <item m="1" x="813"/>
        <item x="98"/>
        <item x="14"/>
        <item m="1" x="1255"/>
        <item x="148"/>
        <item x="83"/>
        <item m="1" x="400"/>
        <item x="224"/>
        <item x="86"/>
        <item x="87"/>
        <item x="88"/>
        <item x="3"/>
        <item m="1" x="759"/>
        <item x="97"/>
        <item x="85"/>
        <item x="89"/>
        <item x="90"/>
        <item x="104"/>
        <item x="94"/>
        <item x="107"/>
        <item x="100"/>
        <item x="105"/>
        <item x="91"/>
        <item x="103"/>
        <item x="108"/>
        <item x="109"/>
        <item x="110"/>
        <item x="112"/>
        <item x="111"/>
        <item m="1" x="415"/>
        <item x="144"/>
        <item x="5"/>
        <item m="1" x="906"/>
        <item x="228"/>
        <item m="1" x="766"/>
        <item x="136"/>
        <item x="134"/>
        <item x="133"/>
        <item x="135"/>
        <item x="235"/>
        <item m="1" x="610"/>
        <item m="1" x="584"/>
        <item m="1" x="291"/>
        <item x="226"/>
        <item x="193"/>
        <item x="143"/>
        <item x="113"/>
        <item x="114"/>
        <item x="119"/>
        <item x="121"/>
        <item x="123"/>
        <item x="10"/>
        <item m="1" x="338"/>
        <item x="4"/>
        <item m="1" x="1322"/>
        <item x="11"/>
        <item x="118"/>
        <item x="120"/>
        <item x="122"/>
        <item x="124"/>
        <item x="128"/>
        <item x="243"/>
        <item x="209"/>
        <item x="140"/>
        <item x="9"/>
        <item x="190"/>
        <item x="253"/>
        <item x="127"/>
        <item x="244"/>
        <item x="141"/>
        <item x="142"/>
        <item x="222"/>
        <item x="126"/>
        <item x="129"/>
        <item x="138"/>
        <item x="219"/>
        <item x="220"/>
        <item x="221"/>
        <item m="1" x="844"/>
        <item x="130"/>
        <item x="131"/>
        <item x="150"/>
        <item x="151"/>
        <item x="152"/>
        <item x="153"/>
        <item x="154"/>
        <item x="155"/>
        <item x="156"/>
        <item x="165"/>
        <item x="231"/>
        <item x="191"/>
        <item x="233"/>
        <item x="185"/>
        <item x="158"/>
        <item x="159"/>
        <item x="162"/>
        <item x="207"/>
        <item m="1" x="659"/>
        <item x="218"/>
        <item m="1" x="372"/>
        <item x="225"/>
        <item x="232"/>
        <item x="192"/>
        <item x="161"/>
        <item x="245"/>
        <item x="261"/>
        <item x="210"/>
        <item x="205"/>
        <item x="163"/>
        <item x="160"/>
        <item x="170"/>
        <item x="249"/>
        <item x="164"/>
        <item x="217"/>
        <item x="166"/>
        <item x="250"/>
        <item x="230"/>
        <item x="187"/>
        <item x="237"/>
        <item x="167"/>
        <item x="168"/>
        <item x="169"/>
        <item x="171"/>
        <item x="223"/>
        <item x="172"/>
        <item x="173"/>
        <item x="174"/>
        <item x="176"/>
        <item x="196"/>
        <item x="215"/>
        <item x="188"/>
        <item x="201"/>
        <item x="216"/>
        <item x="13"/>
        <item x="21"/>
        <item x="175"/>
        <item x="177"/>
        <item x="180"/>
        <item x="181"/>
        <item x="182"/>
        <item x="186"/>
        <item x="189"/>
        <item x="195"/>
        <item x="197"/>
        <item x="199"/>
        <item x="200"/>
        <item x="202"/>
        <item x="206"/>
        <item x="208"/>
        <item x="211"/>
        <item x="227"/>
        <item x="229"/>
        <item x="236"/>
        <item x="239"/>
        <item x="240"/>
        <item x="241"/>
        <item x="247"/>
      </items>
    </pivotField>
    <pivotField dataField="1" subtotalTop="0" showAll="0"/>
    <pivotField subtotalTop="0" showAll="0"/>
    <pivotField subtotalTop="0" showAll="0"/>
    <pivotField subtotalTop="0" showAll="0"/>
    <pivotField axis="axisRow" subtotalTop="0" showAll="0">
      <items count="26">
        <item m="1" x="15"/>
        <item m="1" x="18"/>
        <item m="1" x="13"/>
        <item m="1" x="20"/>
        <item m="1" x="14"/>
        <item m="1" x="24"/>
        <item m="1" x="17"/>
        <item x="12"/>
        <item x="8"/>
        <item x="11"/>
        <item x="0"/>
        <item x="5"/>
        <item x="3"/>
        <item x="1"/>
        <item x="10"/>
        <item x="9"/>
        <item x="4"/>
        <item m="1" x="22"/>
        <item m="1" x="19"/>
        <item m="1" x="23"/>
        <item m="1" x="16"/>
        <item m="1" x="21"/>
        <item x="2"/>
        <item x="7"/>
        <item x="6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6">
    <field x="7"/>
    <field x="8"/>
    <field x="44"/>
    <field x="43"/>
    <field x="5"/>
    <field x="13"/>
  </rowFields>
  <rowItems count="962">
    <i>
      <x/>
      <x v="79"/>
      <x/>
    </i>
    <i r="3">
      <x v="8"/>
    </i>
    <i r="4">
      <x v="244"/>
      <x v="16"/>
    </i>
    <i r="1">
      <x v="193"/>
      <x/>
    </i>
    <i r="3">
      <x v="2"/>
    </i>
    <i r="4">
      <x v="51"/>
      <x v="10"/>
    </i>
    <i r="3">
      <x v="3"/>
    </i>
    <i r="4">
      <x v="73"/>
      <x v="10"/>
    </i>
    <i r="1">
      <x v="493"/>
      <x/>
    </i>
    <i r="3">
      <x v="2"/>
    </i>
    <i r="4">
      <x v="59"/>
      <x v="22"/>
    </i>
    <i r="1">
      <x v="507"/>
      <x/>
    </i>
    <i r="3">
      <x v="2"/>
    </i>
    <i r="4">
      <x v="49"/>
      <x v="10"/>
    </i>
    <i r="1">
      <x v="1112"/>
      <x/>
    </i>
    <i r="3">
      <x v="1"/>
    </i>
    <i r="4">
      <x v="21"/>
      <x v="10"/>
    </i>
    <i r="1">
      <x v="1158"/>
      <x/>
    </i>
    <i r="3">
      <x v="3"/>
    </i>
    <i r="4">
      <x v="91"/>
      <x v="10"/>
    </i>
    <i r="1">
      <x v="1165"/>
      <x/>
    </i>
    <i r="3">
      <x v="3"/>
    </i>
    <i r="4">
      <x v="73"/>
      <x v="10"/>
    </i>
    <i r="1">
      <x v="1205"/>
      <x/>
    </i>
    <i r="3">
      <x v="3"/>
    </i>
    <i r="4">
      <x v="91"/>
      <x v="10"/>
    </i>
    <i r="1">
      <x v="1206"/>
      <x/>
    </i>
    <i r="3">
      <x v="3"/>
    </i>
    <i r="4">
      <x v="91"/>
      <x v="10"/>
    </i>
    <i r="1">
      <x v="1207"/>
      <x/>
    </i>
    <i r="3">
      <x v="3"/>
    </i>
    <i r="4">
      <x v="91"/>
      <x v="10"/>
    </i>
    <i r="1">
      <x v="1265"/>
      <x/>
    </i>
    <i r="3">
      <x v="5"/>
    </i>
    <i r="4">
      <x v="152"/>
      <x v="16"/>
    </i>
    <i r="1">
      <x v="1276"/>
      <x/>
    </i>
    <i r="3">
      <x v="5"/>
    </i>
    <i r="4">
      <x v="152"/>
      <x v="8"/>
    </i>
    <i r="1">
      <x v="1311"/>
      <x/>
    </i>
    <i r="3">
      <x v="5"/>
    </i>
    <i r="4">
      <x v="122"/>
      <x v="10"/>
    </i>
    <i r="1">
      <x v="1316"/>
      <x/>
    </i>
    <i r="3">
      <x v="5"/>
    </i>
    <i r="4">
      <x v="152"/>
      <x v="16"/>
    </i>
    <i r="1">
      <x v="1317"/>
      <x/>
    </i>
    <i r="3">
      <x v="5"/>
    </i>
    <i r="4">
      <x v="152"/>
      <x v="16"/>
    </i>
    <i>
      <x v="1"/>
      <x v="80"/>
      <x/>
    </i>
    <i r="3">
      <x v="9"/>
    </i>
    <i r="4">
      <x v="264"/>
      <x v="16"/>
    </i>
    <i r="1">
      <x v="193"/>
      <x/>
    </i>
    <i r="3">
      <x v="4"/>
    </i>
    <i r="4">
      <x v="120"/>
      <x v="10"/>
    </i>
    <i r="1">
      <x v="1107"/>
      <x/>
    </i>
    <i r="3">
      <x v="1"/>
    </i>
    <i r="4">
      <x v="31"/>
      <x v="22"/>
    </i>
    <i r="1">
      <x v="1297"/>
      <x/>
    </i>
    <i r="3">
      <x v="5"/>
    </i>
    <i r="4">
      <x v="122"/>
      <x v="16"/>
    </i>
    <i>
      <x v="2"/>
      <x v="442"/>
      <x/>
    </i>
    <i r="3">
      <x v="1"/>
    </i>
    <i r="4">
      <x v="7"/>
      <x v="10"/>
    </i>
    <i r="1">
      <x v="1099"/>
      <x/>
    </i>
    <i r="3">
      <x v="1"/>
    </i>
    <i r="4">
      <x v="9"/>
      <x v="10"/>
    </i>
    <i r="1">
      <x v="1118"/>
      <x/>
    </i>
    <i r="3">
      <x v="1"/>
    </i>
    <i r="4">
      <x v="24"/>
      <x v="10"/>
    </i>
    <i>
      <x v="4"/>
      <x v="193"/>
      <x/>
    </i>
    <i r="3">
      <x v="3"/>
    </i>
    <i r="4">
      <x v="73"/>
      <x v="10"/>
    </i>
    <i r="1">
      <x v="234"/>
      <x/>
    </i>
    <i r="3">
      <x v="1"/>
    </i>
    <i r="4">
      <x v="12"/>
      <x v="10"/>
    </i>
    <i>
      <x v="5"/>
      <x v="104"/>
      <x/>
    </i>
    <i r="3">
      <x v="4"/>
    </i>
    <i r="4">
      <x v="121"/>
      <x v="10"/>
    </i>
    <i r="1">
      <x v="193"/>
      <x/>
    </i>
    <i r="3">
      <x v="5"/>
    </i>
    <i r="4">
      <x v="122"/>
      <x v="10"/>
    </i>
    <i r="1">
      <x v="507"/>
      <x/>
    </i>
    <i r="3">
      <x v="2"/>
    </i>
    <i r="4">
      <x v="49"/>
      <x v="10"/>
    </i>
    <i>
      <x v="6"/>
      <x v="79"/>
      <x/>
    </i>
    <i r="3">
      <x v="8"/>
    </i>
    <i r="4">
      <x v="244"/>
      <x v="16"/>
    </i>
    <i r="1">
      <x v="193"/>
      <x/>
    </i>
    <i r="3">
      <x v="3"/>
    </i>
    <i r="4">
      <x v="73"/>
      <x v="10"/>
    </i>
    <i r="1">
      <x v="236"/>
      <x/>
    </i>
    <i r="3">
      <x v="4"/>
    </i>
    <i r="4">
      <x v="99"/>
      <x v="10"/>
    </i>
    <i r="1">
      <x v="309"/>
      <x/>
    </i>
    <i r="3">
      <x v="2"/>
    </i>
    <i r="4">
      <x v="59"/>
      <x v="10"/>
    </i>
    <i>
      <x v="10"/>
      <x v="193"/>
      <x/>
    </i>
    <i r="3">
      <x v="1"/>
    </i>
    <i r="4">
      <x v="2"/>
      <x v="10"/>
    </i>
    <i>
      <x v="11"/>
      <x v="85"/>
      <x/>
    </i>
    <i r="3">
      <x v="5"/>
    </i>
    <i r="4">
      <x v="152"/>
      <x v="13"/>
    </i>
    <i r="1">
      <x v="181"/>
      <x/>
    </i>
    <i r="3">
      <x v="3"/>
    </i>
    <i r="4">
      <x v="91"/>
      <x v="10"/>
    </i>
    <i r="1">
      <x v="254"/>
      <x/>
    </i>
    <i r="3">
      <x v="12"/>
    </i>
    <i r="4">
      <x v="366"/>
      <x v="13"/>
    </i>
    <i r="1">
      <x v="276"/>
      <x/>
    </i>
    <i r="3">
      <x v="8"/>
    </i>
    <i r="4">
      <x v="243"/>
      <x v="15"/>
    </i>
    <i r="1">
      <x v="1113"/>
      <x/>
    </i>
    <i r="3">
      <x v="1"/>
    </i>
    <i r="4">
      <x v="21"/>
      <x v="10"/>
    </i>
    <i r="1">
      <x v="1280"/>
      <x/>
    </i>
    <i r="3">
      <x v="8"/>
    </i>
    <i r="4">
      <x v="244"/>
      <x v="8"/>
    </i>
    <i r="1">
      <x v="1284"/>
      <x/>
    </i>
    <i r="3">
      <x v="8"/>
    </i>
    <i r="4">
      <x v="244"/>
      <x v="8"/>
    </i>
    <i>
      <x v="12"/>
      <x v="533"/>
      <x/>
    </i>
    <i r="3">
      <x v="1"/>
    </i>
    <i r="4">
      <x v="8"/>
      <x v="10"/>
    </i>
    <i r="1">
      <x v="1300"/>
      <x/>
    </i>
    <i r="3">
      <x v="5"/>
    </i>
    <i r="4">
      <x v="138"/>
      <x v="8"/>
    </i>
    <i r="1">
      <x v="1309"/>
      <x/>
    </i>
    <i r="3">
      <x v="4"/>
    </i>
    <i r="4">
      <x v="121"/>
      <x v="10"/>
    </i>
    <i>
      <x v="13"/>
      <x v="70"/>
      <x/>
    </i>
    <i r="3">
      <x v="7"/>
    </i>
    <i r="4">
      <x v="213"/>
      <x v="12"/>
    </i>
    <i r="1">
      <x v="79"/>
      <x/>
    </i>
    <i r="3">
      <x v="6"/>
    </i>
    <i r="4">
      <x v="182"/>
      <x v="12"/>
    </i>
    <i r="1">
      <x v="215"/>
      <x/>
    </i>
    <i r="3">
      <x v="8"/>
    </i>
    <i r="4">
      <x v="244"/>
      <x v="12"/>
    </i>
    <i r="1">
      <x v="507"/>
      <x/>
    </i>
    <i r="3">
      <x v="2"/>
    </i>
    <i r="4">
      <x v="49"/>
      <x v="10"/>
    </i>
    <i r="1">
      <x v="1160"/>
      <x/>
    </i>
    <i r="3">
      <x v="2"/>
    </i>
    <i r="4">
      <x v="44"/>
      <x v="10"/>
    </i>
    <i r="1">
      <x v="1185"/>
      <x/>
    </i>
    <i r="3">
      <x v="2"/>
    </i>
    <i r="4">
      <x v="57"/>
      <x v="10"/>
    </i>
    <i r="1">
      <x v="1243"/>
      <x/>
    </i>
    <i r="3">
      <x v="3"/>
    </i>
    <i r="4">
      <x v="91"/>
      <x v="10"/>
    </i>
    <i r="1">
      <x v="1263"/>
      <x/>
    </i>
    <i r="3">
      <x v="4"/>
    </i>
    <i r="4">
      <x v="101"/>
      <x v="10"/>
    </i>
    <i r="1">
      <x v="1305"/>
      <x/>
    </i>
    <i r="3">
      <x v="4"/>
    </i>
    <i r="4">
      <x v="117"/>
      <x v="10"/>
    </i>
    <i>
      <x v="14"/>
      <x v="478"/>
      <x/>
    </i>
    <i r="3">
      <x v="3"/>
    </i>
    <i r="4">
      <x v="74"/>
      <x v="10"/>
    </i>
    <i r="4">
      <x v="87"/>
      <x v="10"/>
    </i>
    <i r="1">
      <x v="1117"/>
      <x/>
    </i>
    <i r="3">
      <x v="2"/>
    </i>
    <i r="4">
      <x v="44"/>
      <x v="10"/>
    </i>
    <i r="1">
      <x v="1183"/>
      <x/>
    </i>
    <i r="3">
      <x v="2"/>
    </i>
    <i r="4">
      <x v="49"/>
      <x v="13"/>
    </i>
    <i r="1">
      <x v="1274"/>
      <x/>
    </i>
    <i r="3">
      <x v="5"/>
    </i>
    <i r="4">
      <x v="152"/>
      <x v="13"/>
    </i>
    <i>
      <x v="15"/>
      <x v="85"/>
      <x/>
    </i>
    <i r="3">
      <x v="4"/>
    </i>
    <i r="4">
      <x v="121"/>
      <x v="13"/>
    </i>
    <i r="3">
      <x v="7"/>
    </i>
    <i r="4">
      <x v="213"/>
      <x v="13"/>
    </i>
    <i r="1">
      <x v="273"/>
      <x/>
    </i>
    <i r="3">
      <x v="12"/>
    </i>
    <i r="4">
      <x v="366"/>
      <x v="8"/>
    </i>
    <i r="1">
      <x v="278"/>
      <x/>
    </i>
    <i r="3">
      <x v="12"/>
    </i>
    <i r="4">
      <x v="366"/>
      <x v="8"/>
    </i>
    <i>
      <x v="16"/>
      <x v="249"/>
      <x/>
    </i>
    <i r="3">
      <x v="3"/>
    </i>
    <i r="4">
      <x v="74"/>
      <x v="10"/>
    </i>
    <i>
      <x v="21"/>
      <x v="73"/>
      <x/>
    </i>
    <i r="3">
      <x v="7"/>
    </i>
    <i r="4">
      <x v="190"/>
      <x v="8"/>
    </i>
    <i r="1">
      <x v="1132"/>
      <x/>
    </i>
    <i r="3">
      <x v="7"/>
    </i>
    <i r="4">
      <x v="190"/>
      <x v="13"/>
    </i>
    <i r="1">
      <x v="1152"/>
      <x/>
    </i>
    <i r="3">
      <x v="5"/>
    </i>
    <i r="4">
      <x v="152"/>
      <x v="22"/>
    </i>
    <i r="1">
      <x v="1222"/>
      <x/>
    </i>
    <i r="3">
      <x v="3"/>
    </i>
    <i r="4">
      <x v="91"/>
      <x v="10"/>
    </i>
    <i r="1">
      <x v="1244"/>
      <x/>
    </i>
    <i r="3">
      <x v="5"/>
    </i>
    <i r="4">
      <x v="152"/>
      <x v="10"/>
    </i>
    <i r="1">
      <x v="1245"/>
      <x/>
    </i>
    <i r="3">
      <x v="5"/>
    </i>
    <i r="4">
      <x v="152"/>
      <x v="8"/>
    </i>
    <i r="1">
      <x v="1246"/>
      <x/>
    </i>
    <i r="3">
      <x v="5"/>
    </i>
    <i r="4">
      <x v="152"/>
      <x v="8"/>
    </i>
    <i r="1">
      <x v="1267"/>
      <x/>
    </i>
    <i r="3">
      <x v="5"/>
    </i>
    <i r="4">
      <x v="152"/>
      <x v="8"/>
    </i>
    <i r="1">
      <x v="1273"/>
      <x/>
    </i>
    <i r="3">
      <x v="6"/>
    </i>
    <i r="4">
      <x v="182"/>
      <x v="16"/>
    </i>
    <i r="1">
      <x v="1303"/>
      <x/>
    </i>
    <i r="3">
      <x v="5"/>
    </i>
    <i r="4">
      <x v="152"/>
      <x v="13"/>
    </i>
    <i r="1">
      <x v="1306"/>
      <x/>
    </i>
    <i r="3">
      <x v="4"/>
    </i>
    <i r="4">
      <x v="120"/>
      <x v="10"/>
    </i>
    <i>
      <x v="24"/>
      <x v="80"/>
      <x/>
    </i>
    <i r="3">
      <x v="6"/>
    </i>
    <i r="4">
      <x v="174"/>
      <x v="12"/>
    </i>
    <i r="1">
      <x v="249"/>
      <x/>
    </i>
    <i r="3">
      <x v="6"/>
    </i>
    <i r="4">
      <x v="180"/>
      <x v="16"/>
    </i>
    <i r="1">
      <x v="306"/>
      <x/>
    </i>
    <i r="3">
      <x v="1"/>
    </i>
    <i r="4">
      <x v="16"/>
      <x v="10"/>
    </i>
    <i r="1">
      <x v="319"/>
      <x/>
    </i>
    <i r="3">
      <x v="1"/>
    </i>
    <i r="4">
      <x v="3"/>
      <x v="10"/>
    </i>
    <i r="1">
      <x v="534"/>
      <x/>
    </i>
    <i r="3">
      <x v="1"/>
    </i>
    <i r="4">
      <x v="9"/>
      <x v="10"/>
    </i>
    <i r="1">
      <x v="535"/>
      <x/>
    </i>
    <i r="3">
      <x v="1"/>
    </i>
    <i r="4">
      <x v="9"/>
      <x v="10"/>
    </i>
    <i r="1">
      <x v="1100"/>
      <x/>
    </i>
    <i r="3">
      <x v="1"/>
    </i>
    <i r="4">
      <x v="11"/>
      <x v="10"/>
    </i>
    <i r="1">
      <x v="1101"/>
      <x/>
    </i>
    <i r="3">
      <x v="1"/>
    </i>
    <i r="4">
      <x v="11"/>
      <x v="10"/>
    </i>
    <i r="1">
      <x v="1117"/>
      <x/>
    </i>
    <i r="3">
      <x v="1"/>
    </i>
    <i r="4">
      <x v="23"/>
      <x v="10"/>
    </i>
    <i r="1">
      <x v="1119"/>
      <x/>
    </i>
    <i r="3">
      <x v="1"/>
    </i>
    <i r="4">
      <x v="25"/>
      <x v="10"/>
    </i>
    <i r="3">
      <x v="2"/>
    </i>
    <i r="4">
      <x v="32"/>
      <x v="10"/>
    </i>
    <i r="1">
      <x v="1123"/>
      <x/>
    </i>
    <i r="3">
      <x v="1"/>
    </i>
    <i r="4">
      <x v="31"/>
      <x v="10"/>
    </i>
    <i r="1">
      <x v="1125"/>
      <x/>
    </i>
    <i r="3">
      <x v="1"/>
    </i>
    <i r="4">
      <x v="30"/>
      <x v="10"/>
    </i>
    <i r="1">
      <x v="1126"/>
      <x/>
    </i>
    <i r="3">
      <x v="1"/>
    </i>
    <i r="4">
      <x v="30"/>
      <x v="10"/>
    </i>
    <i r="1">
      <x v="1127"/>
      <x/>
    </i>
    <i r="3">
      <x v="1"/>
    </i>
    <i r="4">
      <x v="30"/>
      <x v="10"/>
    </i>
    <i r="1">
      <x v="1128"/>
      <x/>
    </i>
    <i r="3">
      <x v="1"/>
    </i>
    <i r="4">
      <x v="30"/>
      <x v="10"/>
    </i>
    <i r="1">
      <x v="1134"/>
      <x/>
    </i>
    <i r="3">
      <x v="4"/>
    </i>
    <i r="4">
      <x v="121"/>
      <x v="10"/>
    </i>
    <i r="1">
      <x v="1135"/>
      <x/>
    </i>
    <i r="3">
      <x v="1"/>
    </i>
    <i r="4">
      <x v="30"/>
      <x v="10"/>
    </i>
    <i r="1">
      <x v="1137"/>
      <x/>
    </i>
    <i r="3">
      <x v="1"/>
    </i>
    <i r="4">
      <x v="31"/>
      <x v="10"/>
    </i>
    <i r="1">
      <x v="1139"/>
      <x/>
    </i>
    <i r="3">
      <x v="2"/>
    </i>
    <i r="4">
      <x v="32"/>
      <x v="13"/>
    </i>
    <i r="1">
      <x v="1141"/>
      <x/>
    </i>
    <i r="3">
      <x v="2"/>
    </i>
    <i r="4">
      <x v="35"/>
      <x v="10"/>
    </i>
    <i r="1">
      <x v="1142"/>
      <x/>
    </i>
    <i r="3">
      <x v="2"/>
    </i>
    <i r="4">
      <x v="35"/>
      <x v="10"/>
    </i>
    <i r="1">
      <x v="1143"/>
      <x/>
    </i>
    <i r="3">
      <x v="2"/>
    </i>
    <i r="4">
      <x v="35"/>
      <x v="10"/>
    </i>
    <i r="1">
      <x v="1144"/>
      <x/>
    </i>
    <i r="3">
      <x v="2"/>
    </i>
    <i r="4">
      <x v="36"/>
      <x v="10"/>
    </i>
    <i r="1">
      <x v="1145"/>
      <x/>
    </i>
    <i r="3">
      <x v="5"/>
    </i>
    <i r="4">
      <x v="148"/>
      <x v="22"/>
    </i>
    <i r="1">
      <x v="1146"/>
      <x/>
    </i>
    <i r="3">
      <x v="2"/>
    </i>
    <i r="4">
      <x v="59"/>
      <x v="13"/>
    </i>
    <i r="1">
      <x v="1147"/>
      <x/>
    </i>
    <i r="3">
      <x v="2"/>
    </i>
    <i r="4">
      <x v="37"/>
      <x v="10"/>
    </i>
    <i r="1">
      <x v="1153"/>
      <x/>
    </i>
    <i r="3">
      <x v="2"/>
    </i>
    <i r="4">
      <x v="37"/>
      <x v="10"/>
    </i>
    <i r="1">
      <x v="1155"/>
      <x/>
    </i>
    <i r="3">
      <x v="2"/>
    </i>
    <i r="4">
      <x v="42"/>
      <x v="10"/>
    </i>
    <i r="1">
      <x v="1156"/>
      <x/>
    </i>
    <i r="3">
      <x v="2"/>
    </i>
    <i r="4">
      <x v="42"/>
      <x v="10"/>
    </i>
    <i r="1">
      <x v="1161"/>
      <x/>
    </i>
    <i r="3">
      <x v="2"/>
    </i>
    <i r="4">
      <x v="44"/>
      <x v="10"/>
    </i>
    <i r="1">
      <x v="1162"/>
      <x/>
    </i>
    <i r="3">
      <x v="2"/>
    </i>
    <i r="4">
      <x v="44"/>
      <x v="13"/>
    </i>
    <i r="1">
      <x v="1163"/>
      <x/>
    </i>
    <i r="3">
      <x v="2"/>
    </i>
    <i r="4">
      <x v="44"/>
      <x v="10"/>
    </i>
    <i r="1">
      <x v="1166"/>
      <x/>
    </i>
    <i r="3">
      <x v="6"/>
    </i>
    <i r="4">
      <x v="182"/>
      <x v="12"/>
    </i>
    <i r="1">
      <x v="1167"/>
      <x/>
    </i>
    <i r="3">
      <x v="2"/>
    </i>
    <i r="4">
      <x v="59"/>
      <x v="10"/>
    </i>
    <i r="1">
      <x v="1170"/>
      <x/>
    </i>
    <i r="3">
      <x v="2"/>
    </i>
    <i r="4">
      <x v="59"/>
      <x v="22"/>
    </i>
    <i r="1">
      <x v="1171"/>
      <x/>
    </i>
    <i r="3">
      <x v="5"/>
    </i>
    <i r="4">
      <x v="151"/>
      <x v="22"/>
    </i>
    <i r="1">
      <x v="1174"/>
      <x/>
    </i>
    <i r="3">
      <x v="2"/>
    </i>
    <i r="4">
      <x v="46"/>
      <x v="10"/>
    </i>
    <i r="1">
      <x v="1176"/>
      <x/>
    </i>
    <i r="3">
      <x v="5"/>
    </i>
    <i r="4">
      <x v="152"/>
      <x v="16"/>
    </i>
    <i r="1">
      <x v="1177"/>
      <x/>
    </i>
    <i r="3">
      <x v="2"/>
    </i>
    <i r="4">
      <x v="51"/>
      <x v="10"/>
    </i>
    <i r="1">
      <x v="1178"/>
      <x/>
    </i>
    <i r="3">
      <x v="2"/>
    </i>
    <i r="4">
      <x v="51"/>
      <x v="10"/>
    </i>
    <i r="1">
      <x v="1179"/>
      <x/>
    </i>
    <i r="3">
      <x v="2"/>
    </i>
    <i r="4">
      <x v="51"/>
      <x v="10"/>
    </i>
    <i r="1">
      <x v="1182"/>
      <x/>
    </i>
    <i r="3">
      <x v="2"/>
    </i>
    <i r="4">
      <x v="59"/>
      <x v="10"/>
    </i>
    <i r="1">
      <x v="1184"/>
      <x/>
    </i>
    <i r="3">
      <x v="2"/>
    </i>
    <i r="4">
      <x v="56"/>
      <x v="10"/>
    </i>
    <i r="1">
      <x v="1188"/>
      <x/>
    </i>
    <i r="3">
      <x v="3"/>
    </i>
    <i r="4">
      <x v="61"/>
      <x v="8"/>
    </i>
    <i r="1">
      <x v="1189"/>
      <x/>
    </i>
    <i r="3">
      <x v="2"/>
    </i>
    <i r="4">
      <x v="59"/>
      <x v="13"/>
    </i>
    <i r="1">
      <x v="1191"/>
      <x/>
    </i>
    <i r="3">
      <x v="2"/>
    </i>
    <i r="4">
      <x v="58"/>
      <x v="10"/>
    </i>
    <i r="1">
      <x v="1195"/>
      <x/>
    </i>
    <i r="3">
      <x v="3"/>
    </i>
    <i r="4">
      <x v="65"/>
      <x v="10"/>
    </i>
    <i r="1">
      <x v="1197"/>
      <x/>
    </i>
    <i r="3">
      <x v="3"/>
    </i>
    <i r="4">
      <x v="66"/>
      <x v="10"/>
    </i>
    <i r="1">
      <x v="1202"/>
      <x/>
    </i>
    <i r="3">
      <x v="5"/>
    </i>
    <i r="4">
      <x v="152"/>
      <x v="16"/>
    </i>
    <i r="1">
      <x v="1212"/>
      <x/>
    </i>
    <i r="3">
      <x v="5"/>
    </i>
    <i r="4">
      <x v="152"/>
      <x v="10"/>
    </i>
    <i r="1">
      <x v="1228"/>
      <x/>
    </i>
    <i r="3">
      <x v="3"/>
    </i>
    <i r="4">
      <x v="80"/>
      <x v="10"/>
    </i>
    <i r="1">
      <x v="1232"/>
      <x/>
    </i>
    <i r="3">
      <x v="3"/>
    </i>
    <i r="4">
      <x v="91"/>
      <x v="10"/>
    </i>
    <i r="3">
      <x v="4"/>
    </i>
    <i r="4">
      <x v="101"/>
      <x v="10"/>
    </i>
    <i r="1">
      <x v="1233"/>
      <x/>
    </i>
    <i r="3">
      <x v="3"/>
    </i>
    <i r="4">
      <x v="91"/>
      <x v="10"/>
    </i>
    <i r="1">
      <x v="1234"/>
      <x/>
    </i>
    <i r="3">
      <x v="4"/>
    </i>
    <i r="4">
      <x v="121"/>
      <x v="10"/>
    </i>
    <i r="1">
      <x v="1238"/>
      <x/>
    </i>
    <i r="3">
      <x v="3"/>
    </i>
    <i r="4">
      <x v="91"/>
      <x v="13"/>
    </i>
    <i r="1">
      <x v="1239"/>
      <x/>
    </i>
    <i r="3">
      <x v="3"/>
    </i>
    <i r="4">
      <x v="91"/>
      <x v="10"/>
    </i>
    <i r="1">
      <x v="1240"/>
      <x/>
    </i>
    <i r="3">
      <x v="5"/>
    </i>
    <i r="4">
      <x v="152"/>
      <x v="8"/>
    </i>
    <i r="1">
      <x v="1241"/>
      <x/>
    </i>
    <i r="3">
      <x v="3"/>
    </i>
    <i r="4">
      <x v="87"/>
      <x v="10"/>
    </i>
    <i r="1">
      <x v="1242"/>
      <x/>
    </i>
    <i r="3">
      <x v="3"/>
    </i>
    <i r="4">
      <x v="89"/>
      <x v="13"/>
    </i>
    <i r="1">
      <x v="1248"/>
      <x/>
    </i>
    <i r="3">
      <x v="3"/>
    </i>
    <i r="4">
      <x v="89"/>
      <x v="10"/>
    </i>
    <i r="1">
      <x v="1249"/>
      <x/>
    </i>
    <i r="3">
      <x v="3"/>
    </i>
    <i r="4">
      <x v="89"/>
      <x v="10"/>
    </i>
    <i r="1">
      <x v="1251"/>
      <x/>
    </i>
    <i r="3">
      <x v="4"/>
    </i>
    <i r="4">
      <x v="92"/>
      <x v="10"/>
    </i>
    <i r="1">
      <x v="1254"/>
      <x/>
    </i>
    <i r="3">
      <x v="4"/>
    </i>
    <i r="4">
      <x v="95"/>
      <x v="10"/>
    </i>
    <i r="1">
      <x v="1255"/>
      <x/>
    </i>
    <i r="3">
      <x v="4"/>
    </i>
    <i r="4">
      <x v="96"/>
      <x v="10"/>
    </i>
    <i r="1">
      <x v="1258"/>
      <x/>
    </i>
    <i r="3">
      <x v="5"/>
    </i>
    <i r="4">
      <x v="152"/>
      <x v="11"/>
    </i>
    <i r="1">
      <x v="1259"/>
      <x/>
    </i>
    <i r="3">
      <x v="4"/>
    </i>
    <i r="4">
      <x v="121"/>
      <x v="8"/>
    </i>
    <i r="1">
      <x v="1264"/>
      <x/>
    </i>
    <i r="3">
      <x v="4"/>
    </i>
    <i r="4">
      <x v="103"/>
      <x v="10"/>
    </i>
    <i r="1">
      <x v="1269"/>
      <x/>
    </i>
    <i r="3">
      <x v="5"/>
    </i>
    <i r="4">
      <x v="152"/>
      <x v="11"/>
    </i>
    <i r="1">
      <x v="1270"/>
      <x/>
    </i>
    <i r="3">
      <x v="5"/>
    </i>
    <i r="4">
      <x v="152"/>
      <x v="16"/>
    </i>
    <i r="1">
      <x v="1277"/>
      <x/>
    </i>
    <i r="3">
      <x v="4"/>
    </i>
    <i r="4">
      <x v="103"/>
      <x v="10"/>
    </i>
    <i r="1">
      <x v="1278"/>
      <x/>
    </i>
    <i r="3">
      <x v="4"/>
    </i>
    <i r="4">
      <x v="101"/>
      <x v="10"/>
    </i>
    <i r="1">
      <x v="1281"/>
      <x/>
    </i>
    <i r="3">
      <x v="4"/>
    </i>
    <i r="4">
      <x v="103"/>
      <x v="10"/>
    </i>
    <i r="1">
      <x v="1283"/>
      <x/>
    </i>
    <i r="3">
      <x v="4"/>
    </i>
    <i r="4">
      <x v="107"/>
      <x v="10"/>
    </i>
    <i r="1">
      <x v="1285"/>
      <x/>
    </i>
    <i r="3">
      <x v="5"/>
    </i>
    <i r="4">
      <x v="152"/>
      <x v="8"/>
    </i>
    <i r="1">
      <x v="1290"/>
      <x/>
    </i>
    <i r="3">
      <x v="4"/>
    </i>
    <i r="4">
      <x v="109"/>
      <x v="10"/>
    </i>
    <i r="1">
      <x v="1292"/>
      <x/>
    </i>
    <i r="3">
      <x v="5"/>
    </i>
    <i r="4">
      <x v="152"/>
      <x v="8"/>
    </i>
    <i r="1">
      <x v="1293"/>
      <x/>
    </i>
    <i r="3">
      <x v="4"/>
    </i>
    <i r="4">
      <x v="114"/>
      <x v="10"/>
    </i>
    <i r="1">
      <x v="1304"/>
      <x/>
    </i>
    <i r="3">
      <x v="4"/>
    </i>
    <i r="4">
      <x v="116"/>
      <x v="22"/>
    </i>
    <i r="1">
      <x v="1319"/>
      <x/>
    </i>
    <i r="3">
      <x v="5"/>
    </i>
    <i r="4">
      <x v="152"/>
      <x v="10"/>
    </i>
    <i r="1">
      <x v="1320"/>
      <x/>
    </i>
    <i r="3">
      <x v="5"/>
    </i>
    <i r="4">
      <x v="152"/>
      <x v="13"/>
    </i>
    <i>
      <x v="25"/>
      <x v="80"/>
      <x/>
    </i>
    <i r="3">
      <x v="10"/>
    </i>
    <i r="4">
      <x v="305"/>
      <x v="11"/>
    </i>
    <i r="1">
      <x v="262"/>
      <x/>
    </i>
    <i r="3">
      <x v="5"/>
    </i>
    <i r="4">
      <x v="148"/>
      <x v="8"/>
    </i>
    <i r="1">
      <x v="273"/>
      <x/>
    </i>
    <i r="3">
      <x v="6"/>
    </i>
    <i r="4">
      <x v="182"/>
      <x v="8"/>
    </i>
    <i r="1">
      <x v="1139"/>
      <x/>
    </i>
    <i r="3">
      <x v="2"/>
    </i>
    <i r="4">
      <x v="46"/>
      <x v="22"/>
    </i>
    <i>
      <x v="26"/>
      <x v="1102"/>
      <x/>
    </i>
    <i r="3">
      <x v="1"/>
    </i>
    <i r="4">
      <x v="31"/>
      <x v="10"/>
    </i>
    <i>
      <x v="28"/>
      <x v="193"/>
      <x/>
    </i>
    <i r="3">
      <x v="1"/>
    </i>
    <i r="4">
      <x v="2"/>
      <x v="10"/>
    </i>
    <i r="1">
      <x v="202"/>
      <x/>
    </i>
    <i r="3">
      <x v="5"/>
    </i>
    <i r="4">
      <x v="152"/>
      <x v="13"/>
    </i>
    <i r="1">
      <x v="295"/>
      <x/>
    </i>
    <i r="3">
      <x v="1"/>
    </i>
    <i r="4">
      <x v="31"/>
      <x v="13"/>
    </i>
    <i>
      <x v="29"/>
      <x v="80"/>
      <x/>
    </i>
    <i r="3">
      <x v="6"/>
    </i>
    <i r="4">
      <x v="162"/>
      <x v="16"/>
    </i>
    <i r="1">
      <x v="309"/>
      <x/>
    </i>
    <i r="3">
      <x v="3"/>
    </i>
    <i r="4">
      <x v="91"/>
      <x v="22"/>
    </i>
    <i r="1">
      <x v="1157"/>
      <x/>
    </i>
    <i r="3">
      <x v="2"/>
    </i>
    <i r="4">
      <x v="42"/>
      <x v="10"/>
    </i>
    <i r="1">
      <x v="1271"/>
      <x/>
    </i>
    <i r="3">
      <x v="4"/>
    </i>
    <i r="4">
      <x v="121"/>
      <x v="22"/>
    </i>
    <i>
      <x v="31"/>
      <x v="90"/>
      <x/>
    </i>
    <i r="3">
      <x v="12"/>
    </i>
    <i r="4">
      <x v="366"/>
      <x v="14"/>
    </i>
    <i r="1">
      <x v="92"/>
      <x/>
    </i>
    <i r="3">
      <x v="12"/>
    </i>
    <i r="4">
      <x v="366"/>
      <x v="14"/>
    </i>
    <i r="1">
      <x v="106"/>
      <x/>
    </i>
    <i r="3">
      <x v="2"/>
    </i>
    <i r="4">
      <x v="44"/>
      <x v="10"/>
    </i>
    <i r="1">
      <x v="226"/>
      <x/>
    </i>
    <i r="3">
      <x v="1"/>
    </i>
    <i r="4">
      <x v="30"/>
      <x v="10"/>
    </i>
    <i r="1">
      <x v="279"/>
      <x/>
    </i>
    <i r="3">
      <x v="12"/>
    </i>
    <i r="4">
      <x v="366"/>
      <x v="10"/>
    </i>
    <i r="1">
      <x v="280"/>
      <x/>
    </i>
    <i r="3">
      <x v="12"/>
    </i>
    <i r="4">
      <x v="366"/>
      <x v="8"/>
    </i>
    <i r="1">
      <x v="527"/>
      <x/>
    </i>
    <i r="3">
      <x v="3"/>
    </i>
    <i r="4">
      <x v="80"/>
      <x v="10"/>
    </i>
    <i r="1">
      <x v="1111"/>
      <x/>
    </i>
    <i r="3">
      <x v="1"/>
    </i>
    <i r="4">
      <x v="16"/>
      <x v="10"/>
    </i>
    <i r="1">
      <x v="1122"/>
      <x/>
    </i>
    <i r="3">
      <x v="1"/>
    </i>
    <i r="4">
      <x v="28"/>
      <x v="10"/>
    </i>
    <i r="1">
      <x v="1130"/>
      <x/>
    </i>
    <i r="3">
      <x v="2"/>
    </i>
    <i r="4">
      <x v="59"/>
      <x v="10"/>
    </i>
    <i r="1">
      <x v="1154"/>
      <x/>
    </i>
    <i r="3">
      <x v="2"/>
    </i>
    <i r="4">
      <x v="39"/>
      <x v="10"/>
    </i>
    <i r="1">
      <x v="1164"/>
      <x/>
    </i>
    <i r="3">
      <x v="2"/>
    </i>
    <i r="4">
      <x v="44"/>
      <x v="10"/>
    </i>
    <i r="1">
      <x v="1192"/>
      <x/>
    </i>
    <i r="3">
      <x v="2"/>
    </i>
    <i r="4">
      <x v="59"/>
      <x v="10"/>
    </i>
    <i r="1">
      <x v="1236"/>
      <x/>
    </i>
    <i r="3">
      <x v="3"/>
    </i>
    <i r="4">
      <x v="87"/>
      <x v="10"/>
    </i>
    <i r="1">
      <x v="1252"/>
      <x/>
    </i>
    <i r="3">
      <x v="4"/>
    </i>
    <i r="4">
      <x v="92"/>
      <x v="13"/>
    </i>
    <i r="1">
      <x v="1256"/>
      <x/>
    </i>
    <i r="3">
      <x v="4"/>
    </i>
    <i r="4">
      <x v="96"/>
      <x v="10"/>
    </i>
    <i r="1">
      <x v="1288"/>
      <x/>
    </i>
    <i r="3">
      <x v="4"/>
    </i>
    <i r="4">
      <x v="108"/>
      <x v="10"/>
    </i>
    <i r="1">
      <x v="1307"/>
      <x/>
    </i>
    <i r="3">
      <x v="4"/>
    </i>
    <i r="4">
      <x v="120"/>
      <x v="10"/>
    </i>
    <i>
      <x v="32"/>
      <x v="80"/>
      <x/>
    </i>
    <i r="3">
      <x v="3"/>
    </i>
    <i r="4">
      <x v="89"/>
      <x v="13"/>
    </i>
    <i r="1">
      <x v="193"/>
      <x/>
    </i>
    <i r="3">
      <x v="2"/>
    </i>
    <i r="4">
      <x v="39"/>
      <x v="10"/>
    </i>
    <i r="1">
      <x v="1225"/>
      <x/>
    </i>
    <i r="3">
      <x v="3"/>
    </i>
    <i r="4">
      <x v="74"/>
      <x v="10"/>
    </i>
    <i>
      <x v="33"/>
      <x v="80"/>
      <x/>
    </i>
    <i r="3">
      <x v="9"/>
    </i>
    <i r="4">
      <x v="274"/>
      <x v="12"/>
    </i>
    <i r="1">
      <x v="1208"/>
      <x/>
    </i>
    <i r="3">
      <x v="5"/>
    </i>
    <i r="4">
      <x v="152"/>
      <x v="13"/>
    </i>
    <i>
      <x v="37"/>
      <x v="80"/>
      <x/>
    </i>
    <i r="3">
      <x v="3"/>
    </i>
    <i r="4">
      <x v="82"/>
      <x v="24"/>
    </i>
    <i r="1">
      <x v="224"/>
      <x/>
    </i>
    <i r="3">
      <x v="5"/>
    </i>
    <i r="4">
      <x v="122"/>
      <x v="13"/>
    </i>
    <i r="1">
      <x v="249"/>
      <x/>
    </i>
    <i r="3">
      <x v="4"/>
    </i>
    <i r="4">
      <x v="98"/>
      <x v="10"/>
    </i>
    <i r="1">
      <x v="527"/>
      <x/>
    </i>
    <i r="3">
      <x v="4"/>
    </i>
    <i r="4">
      <x v="120"/>
      <x v="10"/>
    </i>
    <i r="1">
      <x v="1140"/>
      <x/>
    </i>
    <i r="3">
      <x v="2"/>
    </i>
    <i r="4">
      <x v="32"/>
      <x v="10"/>
    </i>
    <i r="1">
      <x v="1186"/>
      <x/>
    </i>
    <i r="3">
      <x v="2"/>
    </i>
    <i r="4">
      <x v="59"/>
      <x v="13"/>
    </i>
    <i r="1">
      <x v="1313"/>
      <x/>
    </i>
    <i r="3">
      <x v="5"/>
    </i>
    <i r="4">
      <x v="122"/>
      <x v="8"/>
    </i>
    <i>
      <x v="38"/>
      <x v="236"/>
      <x/>
    </i>
    <i r="3">
      <x v="4"/>
    </i>
    <i r="4">
      <x v="98"/>
      <x v="10"/>
    </i>
    <i>
      <x v="42"/>
      <x v="80"/>
      <x/>
    </i>
    <i r="3">
      <x v="8"/>
    </i>
    <i r="4">
      <x v="243"/>
      <x v="12"/>
    </i>
    <i r="1">
      <x v="94"/>
      <x/>
    </i>
    <i r="3">
      <x v="3"/>
    </i>
    <i r="4">
      <x v="91"/>
      <x v="10"/>
    </i>
    <i r="1">
      <x v="277"/>
      <x/>
    </i>
    <i r="3">
      <x v="5"/>
    </i>
    <i r="4">
      <x v="152"/>
      <x v="15"/>
    </i>
    <i r="1">
      <x v="532"/>
      <x/>
    </i>
    <i r="3">
      <x v="1"/>
    </i>
    <i r="4">
      <x v="7"/>
      <x v="10"/>
    </i>
    <i r="1">
      <x v="1196"/>
      <x/>
    </i>
    <i r="3">
      <x v="3"/>
    </i>
    <i r="4">
      <x v="66"/>
      <x v="10"/>
    </i>
    <i r="1">
      <x v="1199"/>
      <x/>
    </i>
    <i r="3">
      <x v="3"/>
    </i>
    <i r="4">
      <x v="91"/>
      <x v="10"/>
    </i>
    <i r="1">
      <x v="1213"/>
      <x/>
    </i>
    <i r="3">
      <x v="4"/>
    </i>
    <i r="4">
      <x v="121"/>
      <x v="13"/>
    </i>
    <i r="1">
      <x v="1219"/>
      <x/>
    </i>
    <i r="3">
      <x v="3"/>
    </i>
    <i r="4">
      <x v="78"/>
      <x v="10"/>
    </i>
    <i r="1">
      <x v="1229"/>
      <x/>
    </i>
    <i r="3">
      <x v="3"/>
    </i>
    <i r="4">
      <x v="87"/>
      <x v="15"/>
    </i>
    <i r="1">
      <x v="1235"/>
      <x/>
    </i>
    <i r="3">
      <x v="11"/>
    </i>
    <i r="4">
      <x v="335"/>
      <x v="8"/>
    </i>
    <i r="1">
      <x v="1272"/>
      <x/>
    </i>
    <i r="3">
      <x v="4"/>
    </i>
    <i r="4">
      <x v="102"/>
      <x v="10"/>
    </i>
    <i>
      <x v="43"/>
      <x v="272"/>
      <x/>
    </i>
    <i r="3">
      <x v="5"/>
    </i>
    <i r="4">
      <x v="152"/>
      <x v="16"/>
    </i>
    <i r="1">
      <x v="282"/>
      <x/>
    </i>
    <i r="3">
      <x v="3"/>
    </i>
    <i r="4">
      <x v="91"/>
      <x v="14"/>
    </i>
    <i r="1">
      <x v="307"/>
      <x/>
    </i>
    <i r="3">
      <x v="2"/>
    </i>
    <i r="4">
      <x v="59"/>
      <x v="22"/>
    </i>
    <i r="1">
      <x v="314"/>
      <x/>
    </i>
    <i r="3">
      <x v="3"/>
    </i>
    <i r="4">
      <x v="91"/>
      <x v="13"/>
    </i>
    <i r="1">
      <x v="1322"/>
      <x/>
    </i>
    <i r="3">
      <x v="5"/>
    </i>
    <i r="4">
      <x v="152"/>
      <x v="8"/>
    </i>
    <i>
      <x v="44"/>
      <x v="93"/>
      <x/>
    </i>
    <i r="3">
      <x v="6"/>
    </i>
    <i r="4">
      <x v="174"/>
      <x v="23"/>
    </i>
    <i r="1">
      <x v="281"/>
      <x/>
    </i>
    <i r="3">
      <x v="12"/>
    </i>
    <i r="4">
      <x v="366"/>
      <x v="8"/>
    </i>
    <i r="1">
      <x v="1110"/>
      <x/>
    </i>
    <i r="3">
      <x v="1"/>
    </i>
    <i r="4">
      <x v="16"/>
      <x v="10"/>
    </i>
    <i r="1">
      <x v="1136"/>
      <x/>
    </i>
    <i r="3">
      <x v="1"/>
    </i>
    <i r="4">
      <x v="30"/>
      <x v="10"/>
    </i>
    <i r="1">
      <x v="1217"/>
      <x/>
    </i>
    <i r="3">
      <x v="3"/>
    </i>
    <i r="4">
      <x v="74"/>
      <x v="10"/>
    </i>
    <i>
      <x v="45"/>
      <x v="193"/>
      <x/>
    </i>
    <i r="3">
      <x v="5"/>
    </i>
    <i r="4">
      <x v="152"/>
      <x v="10"/>
    </i>
    <i r="1">
      <x v="234"/>
      <x/>
    </i>
    <i r="3">
      <x v="4"/>
    </i>
    <i r="4">
      <x v="92"/>
      <x v="10"/>
    </i>
    <i r="1">
      <x v="260"/>
      <x/>
    </i>
    <i r="3">
      <x v="3"/>
    </i>
    <i r="4">
      <x v="73"/>
      <x v="10"/>
    </i>
    <i r="1">
      <x v="316"/>
      <x/>
    </i>
    <i r="3">
      <x v="1"/>
    </i>
    <i r="4">
      <x v="2"/>
      <x v="10"/>
    </i>
    <i r="1">
      <x v="1150"/>
      <x/>
    </i>
    <i r="3">
      <x v="3"/>
    </i>
    <i r="4">
      <x v="91"/>
      <x v="22"/>
    </i>
    <i r="1">
      <x v="1173"/>
      <x/>
    </i>
    <i r="3">
      <x v="3"/>
    </i>
    <i r="4">
      <x v="91"/>
      <x v="22"/>
    </i>
    <i r="1">
      <x v="1218"/>
      <x/>
    </i>
    <i r="3">
      <x v="3"/>
    </i>
    <i r="4">
      <x v="75"/>
      <x v="10"/>
    </i>
    <i r="3">
      <x v="5"/>
    </i>
    <i r="4">
      <x v="152"/>
      <x v="12"/>
    </i>
    <i r="1">
      <x v="1325"/>
      <x/>
    </i>
    <i r="3">
      <x v="6"/>
    </i>
    <i r="4">
      <x v="182"/>
      <x v="8"/>
    </i>
    <i>
      <x v="46"/>
      <x v="80"/>
      <x/>
    </i>
    <i r="3">
      <x v="1"/>
    </i>
    <i r="4">
      <x v="28"/>
      <x v="10"/>
    </i>
    <i r="1">
      <x v="275"/>
      <x/>
    </i>
    <i r="3">
      <x v="12"/>
    </i>
    <i r="4">
      <x v="366"/>
      <x v="8"/>
    </i>
    <i r="1">
      <x v="279"/>
      <x/>
    </i>
    <i r="3">
      <x v="3"/>
    </i>
    <i r="4">
      <x v="91"/>
      <x v="13"/>
    </i>
    <i>
      <x v="48"/>
      <x v="1108"/>
      <x/>
    </i>
    <i r="3">
      <x v="6"/>
    </i>
    <i r="4">
      <x v="167"/>
      <x v="11"/>
    </i>
    <i r="1">
      <x v="1109"/>
      <x/>
    </i>
    <i r="3">
      <x v="8"/>
    </i>
    <i r="4">
      <x v="228"/>
      <x v="11"/>
    </i>
    <i r="1">
      <x v="1132"/>
      <x/>
    </i>
    <i r="3">
      <x v="4"/>
    </i>
    <i r="4">
      <x v="121"/>
      <x v="10"/>
    </i>
    <i r="1">
      <x v="1133"/>
      <x/>
    </i>
    <i r="3">
      <x v="4"/>
    </i>
    <i r="4">
      <x v="121"/>
      <x v="10"/>
    </i>
    <i r="1">
      <x v="1308"/>
      <x/>
    </i>
    <i r="3">
      <x v="4"/>
    </i>
    <i r="4">
      <x v="120"/>
      <x v="10"/>
    </i>
    <i>
      <x v="52"/>
      <x v="51"/>
      <x v="3"/>
    </i>
    <i r="3">
      <x/>
    </i>
    <i r="4">
      <x/>
      <x v="7"/>
    </i>
    <i>
      <x v="53"/>
      <x v="1216"/>
      <x/>
    </i>
    <i r="3">
      <x v="3"/>
    </i>
    <i r="4">
      <x v="71"/>
      <x v="13"/>
    </i>
    <i r="1">
      <x v="1315"/>
      <x/>
    </i>
    <i r="3">
      <x v="5"/>
    </i>
    <i r="4">
      <x v="138"/>
      <x v="8"/>
    </i>
    <i r="1">
      <x v="1321"/>
      <x/>
    </i>
    <i r="3">
      <x v="5"/>
    </i>
    <i r="4">
      <x v="152"/>
      <x v="8"/>
    </i>
    <i>
      <x v="54"/>
      <x v="85"/>
      <x/>
    </i>
    <i r="3">
      <x v="7"/>
    </i>
    <i r="4">
      <x v="213"/>
      <x v="12"/>
    </i>
    <i r="1">
      <x v="193"/>
      <x/>
    </i>
    <i r="3">
      <x v="1"/>
    </i>
    <i r="4">
      <x v="14"/>
      <x v="10"/>
    </i>
    <i r="1">
      <x v="1121"/>
      <x/>
    </i>
    <i r="3">
      <x v="3"/>
    </i>
    <i r="4">
      <x v="91"/>
      <x v="22"/>
    </i>
    <i r="1">
      <x v="1180"/>
      <x/>
    </i>
    <i r="3">
      <x v="3"/>
    </i>
    <i r="4">
      <x v="91"/>
      <x v="10"/>
    </i>
    <i>
      <x v="55"/>
      <x v="238"/>
      <x/>
    </i>
    <i r="3">
      <x v="1"/>
    </i>
    <i r="4">
      <x v="31"/>
      <x v="22"/>
    </i>
    <i>
      <x v="57"/>
      <x v="80"/>
      <x/>
    </i>
    <i r="3">
      <x v="7"/>
    </i>
    <i r="4">
      <x v="190"/>
      <x v="16"/>
    </i>
    <i r="1">
      <x v="1159"/>
      <x/>
    </i>
    <i r="3">
      <x v="2"/>
    </i>
    <i r="4">
      <x v="44"/>
      <x v="10"/>
    </i>
    <i r="1">
      <x v="1187"/>
      <x/>
    </i>
    <i r="3">
      <x v="2"/>
    </i>
    <i r="4">
      <x v="59"/>
      <x v="10"/>
    </i>
    <i>
      <x v="59"/>
      <x v="192"/>
      <x/>
    </i>
    <i r="3">
      <x v="9"/>
    </i>
    <i r="4">
      <x v="274"/>
      <x v="13"/>
    </i>
    <i r="1">
      <x v="309"/>
      <x/>
    </i>
    <i r="3">
      <x v="3"/>
    </i>
    <i r="4">
      <x v="89"/>
      <x v="10"/>
    </i>
    <i r="1">
      <x v="1253"/>
      <x/>
    </i>
    <i r="3">
      <x v="4"/>
    </i>
    <i r="4">
      <x v="92"/>
      <x v="10"/>
    </i>
    <i r="1">
      <x v="1295"/>
      <x/>
    </i>
    <i r="3">
      <x v="4"/>
    </i>
    <i r="4">
      <x v="115"/>
      <x v="10"/>
    </i>
    <i>
      <x v="60"/>
      <x v="1298"/>
      <x/>
    </i>
    <i r="3">
      <x v="5"/>
    </i>
    <i r="4">
      <x v="152"/>
      <x v="8"/>
    </i>
    <i r="1">
      <x v="1301"/>
      <x/>
    </i>
    <i r="3">
      <x v="5"/>
    </i>
    <i r="4">
      <x v="152"/>
      <x v="13"/>
    </i>
    <i>
      <x v="61"/>
      <x v="1138"/>
      <x/>
    </i>
    <i r="3">
      <x v="2"/>
    </i>
    <i r="4">
      <x v="32"/>
      <x v="22"/>
    </i>
    <i r="1">
      <x v="1224"/>
      <x/>
    </i>
    <i r="3">
      <x v="4"/>
    </i>
    <i r="4">
      <x v="108"/>
      <x v="10"/>
    </i>
    <i r="1">
      <x v="1275"/>
      <x/>
    </i>
    <i r="3">
      <x v="5"/>
    </i>
    <i r="4">
      <x v="152"/>
      <x v="8"/>
    </i>
    <i r="1">
      <x v="1296"/>
      <x/>
    </i>
    <i r="3">
      <x v="4"/>
    </i>
    <i r="4">
      <x v="117"/>
      <x v="10"/>
    </i>
    <i>
      <x v="62"/>
      <x v="79"/>
      <x/>
    </i>
    <i r="3">
      <x v="8"/>
    </i>
    <i r="4">
      <x v="244"/>
      <x v="11"/>
    </i>
    <i r="1">
      <x v="201"/>
      <x/>
    </i>
    <i r="3">
      <x v="3"/>
    </i>
    <i r="4">
      <x v="91"/>
      <x v="10"/>
    </i>
    <i r="1">
      <x v="280"/>
      <x/>
    </i>
    <i r="3">
      <x v="5"/>
    </i>
    <i r="4">
      <x v="152"/>
      <x v="8"/>
    </i>
    <i r="1">
      <x v="315"/>
      <x/>
    </i>
    <i r="3">
      <x v="1"/>
    </i>
    <i r="4">
      <x v="2"/>
      <x v="22"/>
    </i>
    <i r="1">
      <x v="320"/>
      <x/>
    </i>
    <i r="3">
      <x v="1"/>
    </i>
    <i r="4">
      <x v="4"/>
      <x v="10"/>
    </i>
    <i r="1">
      <x v="1129"/>
      <x/>
    </i>
    <i r="3">
      <x v="2"/>
    </i>
    <i r="4">
      <x v="40"/>
      <x v="10"/>
    </i>
    <i r="1">
      <x v="1189"/>
      <x/>
    </i>
    <i r="3">
      <x v="3"/>
    </i>
    <i r="4">
      <x v="75"/>
      <x v="10"/>
    </i>
    <i r="1">
      <x v="1227"/>
      <x/>
    </i>
    <i r="3">
      <x v="3"/>
    </i>
    <i r="4">
      <x v="78"/>
      <x v="10"/>
    </i>
    <i r="1">
      <x v="1261"/>
      <x/>
    </i>
    <i r="3">
      <x v="4"/>
    </i>
    <i r="4">
      <x v="121"/>
      <x v="22"/>
    </i>
    <i r="1">
      <x v="1262"/>
      <x/>
    </i>
    <i r="3">
      <x v="4"/>
    </i>
    <i r="4">
      <x v="99"/>
      <x v="10"/>
    </i>
    <i>
      <x v="63"/>
      <x v="205"/>
      <x/>
    </i>
    <i r="3">
      <x v="12"/>
    </i>
    <i r="4">
      <x v="366"/>
      <x v="12"/>
    </i>
    <i r="1">
      <x v="317"/>
      <x/>
    </i>
    <i r="3">
      <x v="1"/>
    </i>
    <i r="4">
      <x v="31"/>
      <x v="10"/>
    </i>
    <i>
      <x v="64"/>
      <x v="80"/>
      <x/>
    </i>
    <i r="3">
      <x v="5"/>
    </i>
    <i r="4">
      <x v="143"/>
      <x v="16"/>
    </i>
    <i r="1">
      <x v="273"/>
      <x/>
    </i>
    <i r="3">
      <x v="5"/>
    </i>
    <i r="4">
      <x v="152"/>
      <x v="15"/>
    </i>
    <i r="1">
      <x v="303"/>
      <x/>
    </i>
    <i r="3">
      <x v="2"/>
    </i>
    <i r="4">
      <x v="59"/>
      <x v="22"/>
    </i>
    <i r="1">
      <x v="304"/>
      <x/>
    </i>
    <i r="3">
      <x v="4"/>
    </i>
    <i r="4">
      <x v="121"/>
      <x v="10"/>
    </i>
    <i>
      <x v="65"/>
      <x v="273"/>
      <x/>
    </i>
    <i r="3">
      <x v="2"/>
    </i>
    <i r="4">
      <x v="59"/>
      <x v="8"/>
    </i>
    <i r="1">
      <x v="1194"/>
      <x/>
    </i>
    <i r="3">
      <x v="3"/>
    </i>
    <i r="4">
      <x v="64"/>
      <x v="10"/>
    </i>
    <i>
      <x v="66"/>
      <x v="224"/>
      <x/>
    </i>
    <i r="3">
      <x v="1"/>
    </i>
    <i r="4">
      <x v="16"/>
      <x v="10"/>
    </i>
    <i>
      <x v="67"/>
      <x v="1214"/>
      <x/>
    </i>
    <i r="3">
      <x v="3"/>
    </i>
    <i r="4">
      <x v="91"/>
      <x v="10"/>
    </i>
    <i r="1">
      <x v="1215"/>
      <x/>
    </i>
    <i r="3">
      <x v="3"/>
    </i>
    <i r="4">
      <x v="71"/>
      <x v="10"/>
    </i>
    <i r="1">
      <x v="1226"/>
      <x/>
    </i>
    <i r="3">
      <x v="3"/>
    </i>
    <i r="4">
      <x v="75"/>
      <x v="10"/>
    </i>
    <i>
      <x v="69"/>
      <x v="313"/>
      <x/>
    </i>
    <i r="3">
      <x v="4"/>
    </i>
    <i r="4">
      <x v="121"/>
      <x v="12"/>
    </i>
    <i>
      <x v="71"/>
      <x v="272"/>
      <x/>
    </i>
    <i r="3">
      <x v="5"/>
    </i>
    <i r="4">
      <x v="152"/>
      <x v="13"/>
    </i>
    <i r="1">
      <x v="283"/>
      <x/>
    </i>
    <i r="3">
      <x v="5"/>
    </i>
    <i r="4">
      <x v="152"/>
      <x v="13"/>
    </i>
    <i r="1">
      <x v="284"/>
      <x/>
    </i>
    <i r="3">
      <x v="5"/>
    </i>
    <i r="4">
      <x v="152"/>
      <x v="13"/>
    </i>
    <i r="1">
      <x v="1115"/>
      <x/>
    </i>
    <i r="3">
      <x v="1"/>
    </i>
    <i r="4">
      <x v="31"/>
      <x v="22"/>
    </i>
    <i r="1">
      <x v="1312"/>
      <x/>
    </i>
    <i r="3">
      <x v="5"/>
    </i>
    <i r="4">
      <x v="122"/>
      <x v="8"/>
    </i>
    <i>
      <x v="72"/>
      <x v="66"/>
      <x/>
    </i>
    <i r="3">
      <x v="5"/>
    </i>
    <i r="4">
      <x v="122"/>
      <x v="8"/>
    </i>
    <i r="1">
      <x v="80"/>
      <x/>
    </i>
    <i r="3">
      <x v="6"/>
    </i>
    <i r="4">
      <x v="182"/>
      <x v="8"/>
    </i>
    <i r="1">
      <x v="1302"/>
      <x/>
    </i>
    <i r="3">
      <x v="4"/>
    </i>
    <i r="4">
      <x v="121"/>
      <x v="10"/>
    </i>
    <i r="1">
      <x v="1310"/>
      <x/>
    </i>
    <i r="3">
      <x v="4"/>
    </i>
    <i r="4">
      <x v="121"/>
      <x v="10"/>
    </i>
    <i>
      <x v="73"/>
      <x v="80"/>
      <x/>
    </i>
    <i r="3">
      <x v="3"/>
    </i>
    <i r="4">
      <x v="91"/>
      <x v="10"/>
    </i>
    <i r="1">
      <x v="292"/>
      <x/>
    </i>
    <i r="3">
      <x v="6"/>
    </i>
    <i r="4">
      <x v="160"/>
      <x v="14"/>
    </i>
    <i r="1">
      <x v="527"/>
      <x/>
    </i>
    <i r="3">
      <x v="4"/>
    </i>
    <i r="4">
      <x v="121"/>
      <x v="10"/>
    </i>
    <i r="1">
      <x v="1190"/>
      <x/>
    </i>
    <i r="3">
      <x v="2"/>
    </i>
    <i r="4">
      <x v="59"/>
      <x v="13"/>
    </i>
    <i r="1">
      <x v="1220"/>
      <x/>
    </i>
    <i r="3">
      <x v="3"/>
    </i>
    <i r="4">
      <x v="91"/>
      <x v="10"/>
    </i>
    <i r="1">
      <x v="1257"/>
      <x/>
    </i>
    <i r="3">
      <x v="4"/>
    </i>
    <i r="4">
      <x v="103"/>
      <x v="10"/>
    </i>
    <i r="1">
      <x v="1279"/>
      <x/>
    </i>
    <i r="3">
      <x v="4"/>
    </i>
    <i r="4">
      <x v="110"/>
      <x v="10"/>
    </i>
    <i r="1">
      <x v="1287"/>
      <x/>
    </i>
    <i r="3">
      <x v="5"/>
    </i>
    <i r="4">
      <x v="152"/>
      <x v="13"/>
    </i>
    <i>
      <x v="74"/>
      <x v="294"/>
      <x/>
    </i>
    <i r="3">
      <x v="1"/>
    </i>
    <i r="4">
      <x v="1"/>
      <x v="10"/>
    </i>
    <i>
      <x v="76"/>
      <x v="80"/>
      <x/>
    </i>
    <i r="3">
      <x v="3"/>
    </i>
    <i r="4">
      <x v="91"/>
      <x v="22"/>
    </i>
    <i>
      <x v="287"/>
      <x v="1282"/>
      <x/>
    </i>
    <i r="3">
      <x v="5"/>
    </i>
    <i r="4">
      <x v="152"/>
      <x v="16"/>
    </i>
    <i>
      <x v="288"/>
      <x v="1149"/>
      <x/>
    </i>
    <i r="3">
      <x v="2"/>
    </i>
    <i r="4">
      <x v="59"/>
      <x v="8"/>
    </i>
    <i r="1">
      <x v="1318"/>
      <x/>
    </i>
    <i r="3">
      <x v="5"/>
    </i>
    <i r="4">
      <x v="152"/>
      <x v="16"/>
    </i>
    <i>
      <x v="289"/>
      <x v="1193"/>
      <x/>
    </i>
    <i r="3">
      <x v="3"/>
    </i>
    <i r="4">
      <x v="64"/>
      <x v="10"/>
    </i>
    <i r="1">
      <x v="1204"/>
      <x/>
    </i>
    <i r="3">
      <x v="3"/>
    </i>
    <i r="4">
      <x v="91"/>
      <x v="22"/>
    </i>
    <i>
      <x v="290"/>
      <x v="1200"/>
      <x/>
    </i>
    <i r="3">
      <x v="3"/>
    </i>
    <i r="4">
      <x v="91"/>
      <x v="13"/>
    </i>
    <i r="3">
      <x v="5"/>
    </i>
    <i r="4">
      <x v="148"/>
      <x v="13"/>
    </i>
    <i>
      <x v="291"/>
      <x v="900"/>
      <x/>
    </i>
    <i r="3">
      <x v="4"/>
    </i>
    <i r="4">
      <x v="118"/>
      <x v="8"/>
    </i>
    <i r="1">
      <x v="1230"/>
      <x/>
    </i>
    <i r="3">
      <x v="6"/>
    </i>
    <i r="4">
      <x v="182"/>
      <x v="8"/>
    </i>
    <i r="1">
      <x v="1231"/>
      <x/>
    </i>
    <i r="3">
      <x v="5"/>
    </i>
    <i r="4">
      <x v="152"/>
      <x v="8"/>
    </i>
    <i r="1">
      <x v="1237"/>
      <x/>
    </i>
    <i r="3">
      <x v="6"/>
    </i>
    <i r="4">
      <x v="182"/>
      <x v="8"/>
    </i>
    <i r="1">
      <x v="1250"/>
      <x/>
    </i>
    <i r="3">
      <x v="4"/>
    </i>
    <i r="4">
      <x v="92"/>
      <x v="10"/>
    </i>
    <i>
      <x v="292"/>
      <x v="1260"/>
      <x/>
    </i>
    <i r="3">
      <x v="5"/>
    </i>
    <i r="4">
      <x v="152"/>
      <x v="9"/>
    </i>
    <i>
      <x v="293"/>
      <x v="1324"/>
      <x/>
    </i>
    <i r="3">
      <x v="5"/>
    </i>
    <i r="4">
      <x v="152"/>
      <x v="8"/>
    </i>
    <i>
      <x v="294"/>
      <x v="1286"/>
      <x/>
    </i>
    <i r="3">
      <x v="4"/>
    </i>
    <i r="4">
      <x v="121"/>
      <x v="8"/>
    </i>
    <i>
      <x v="295"/>
      <x v="281"/>
      <x/>
    </i>
    <i r="3">
      <x v="12"/>
    </i>
    <i r="4">
      <x v="366"/>
      <x v="8"/>
    </i>
    <i>
      <x v="296"/>
      <x v="250"/>
      <x/>
    </i>
    <i r="3">
      <x v="4"/>
    </i>
    <i r="4">
      <x v="120"/>
      <x v="10"/>
    </i>
    <i r="1">
      <x v="1289"/>
      <x/>
    </i>
    <i r="3">
      <x v="4"/>
    </i>
    <i r="4">
      <x v="109"/>
      <x v="10"/>
    </i>
    <i r="1">
      <x v="1299"/>
      <x/>
    </i>
    <i r="3">
      <x v="4"/>
    </i>
    <i r="4">
      <x v="121"/>
      <x v="10"/>
    </i>
    <i>
      <x v="297"/>
      <x v="1291"/>
      <x/>
    </i>
    <i r="3">
      <x v="4"/>
    </i>
    <i r="4">
      <x v="113"/>
      <x v="10"/>
    </i>
    <i>
      <x v="298"/>
      <x v="1294"/>
      <x/>
    </i>
    <i r="3">
      <x v="4"/>
    </i>
    <i r="4">
      <x v="114"/>
      <x v="8"/>
    </i>
    <i r="1">
      <x v="1314"/>
      <x/>
    </i>
    <i r="3">
      <x v="5"/>
    </i>
    <i r="4">
      <x v="122"/>
      <x v="10"/>
    </i>
    <i r="1">
      <x v="1323"/>
      <x/>
    </i>
    <i r="3">
      <x v="5"/>
    </i>
    <i r="4">
      <x v="152"/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mpany" fld="7" subtotal="count" baseField="0" baseItem="0"/>
    <dataField name="Sum of Revenue" fld="9" baseField="0" baseItem="0" numFmtId="165"/>
  </dataFields>
  <formats count="6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65" firstHeaderRow="1" firstDataRow="1" firstDataCol="4"/>
  <pivotFields count="45">
    <pivotField subtotalTop="0" showAll="0"/>
    <pivotField showAll="0"/>
    <pivotField subtotalTop="0" showAll="0"/>
    <pivotField subtotalTop="0" showAll="0"/>
    <pivotField subtotalTop="0" showAll="0"/>
    <pivotField axis="axisRow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/>
    <pivotField axis="axisRow" outline="0" subtotalTop="0" showAll="0" defaultSubtotal="0">
      <items count="299">
        <item x="7"/>
        <item x="26"/>
        <item x="31"/>
        <item m="1" x="159"/>
        <item x="33"/>
        <item x="40"/>
        <item x="24"/>
        <item m="1" x="277"/>
        <item m="1" x="290"/>
        <item m="1" x="176"/>
        <item x="29"/>
        <item x="2"/>
        <item x="32"/>
        <item x="14"/>
        <item x="39"/>
        <item x="19"/>
        <item x="47"/>
        <item m="1" x="70"/>
        <item m="1" x="279"/>
        <item m="1" x="103"/>
        <item m="1" x="253"/>
        <item x="4"/>
        <item m="1" x="220"/>
        <item m="1" x="174"/>
        <item x="8"/>
        <item x="28"/>
        <item x="36"/>
        <item m="1" x="185"/>
        <item x="1"/>
        <item x="20"/>
        <item m="1" x="181"/>
        <item x="34"/>
        <item x="17"/>
        <item x="27"/>
        <item m="1" x="97"/>
        <item m="1" x="146"/>
        <item m="1" x="201"/>
        <item x="16"/>
        <item x="51"/>
        <item m="1" x="152"/>
        <item m="1" x="262"/>
        <item m="1" x="194"/>
        <item x="23"/>
        <item x="43"/>
        <item x="21"/>
        <item x="30"/>
        <item x="49"/>
        <item m="1" x="207"/>
        <item x="15"/>
        <item m="1" x="293"/>
        <item m="1" x="240"/>
        <item m="1" x="287"/>
        <item x="61"/>
        <item x="46"/>
        <item x="3"/>
        <item x="38"/>
        <item m="1" x="71"/>
        <item x="22"/>
        <item m="1" x="132"/>
        <item x="48"/>
        <item x="56"/>
        <item x="10"/>
        <item x="25"/>
        <item x="37"/>
        <item x="6"/>
        <item x="42"/>
        <item x="35"/>
        <item x="45"/>
        <item m="1" x="217"/>
        <item x="11"/>
        <item m="1" x="205"/>
        <item x="13"/>
        <item x="12"/>
        <item x="9"/>
        <item x="0"/>
        <item m="1" x="222"/>
        <item x="18"/>
        <item m="1" x="66"/>
        <item m="1" x="208"/>
        <item m="1" x="100"/>
        <item m="1" x="64"/>
        <item m="1" x="113"/>
        <item m="1" x="161"/>
        <item m="1" x="131"/>
        <item m="1" x="94"/>
        <item m="1" x="263"/>
        <item m="1" x="88"/>
        <item m="1" x="183"/>
        <item m="1" x="170"/>
        <item m="1" x="294"/>
        <item m="1" x="147"/>
        <item m="1" x="67"/>
        <item m="1" x="111"/>
        <item m="1" x="255"/>
        <item m="1" x="246"/>
        <item m="1" x="284"/>
        <item m="1" x="162"/>
        <item m="1" x="227"/>
        <item m="1" x="241"/>
        <item m="1" x="202"/>
        <item m="1" x="108"/>
        <item m="1" x="281"/>
        <item m="1" x="90"/>
        <item m="1" x="296"/>
        <item m="1" x="76"/>
        <item m="1" x="204"/>
        <item m="1" x="80"/>
        <item m="1" x="182"/>
        <item m="1" x="62"/>
        <item m="1" x="180"/>
        <item m="1" x="216"/>
        <item m="1" x="193"/>
        <item m="1" x="196"/>
        <item m="1" x="254"/>
        <item m="1" x="142"/>
        <item m="1" x="214"/>
        <item m="1" x="95"/>
        <item m="1" x="186"/>
        <item m="1" x="171"/>
        <item m="1" x="184"/>
        <item m="1" x="139"/>
        <item m="1" x="257"/>
        <item m="1" x="198"/>
        <item m="1" x="286"/>
        <item m="1" x="99"/>
        <item m="1" x="145"/>
        <item m="1" x="75"/>
        <item m="1" x="252"/>
        <item m="1" x="166"/>
        <item m="1" x="109"/>
        <item m="1" x="128"/>
        <item m="1" x="117"/>
        <item m="1" x="273"/>
        <item m="1" x="63"/>
        <item m="1" x="110"/>
        <item m="1" x="225"/>
        <item m="1" x="121"/>
        <item m="1" x="271"/>
        <item m="1" x="259"/>
        <item m="1" x="168"/>
        <item m="1" x="239"/>
        <item m="1" x="86"/>
        <item m="1" x="291"/>
        <item m="1" x="206"/>
        <item m="1" x="199"/>
        <item m="1" x="231"/>
        <item m="1" x="84"/>
        <item m="1" x="256"/>
        <item m="1" x="221"/>
        <item m="1" x="119"/>
        <item m="1" x="148"/>
        <item m="1" x="93"/>
        <item m="1" x="264"/>
        <item m="1" x="238"/>
        <item m="1" x="244"/>
        <item m="1" x="77"/>
        <item m="1" x="228"/>
        <item m="1" x="79"/>
        <item m="1" x="266"/>
        <item m="1" x="261"/>
        <item m="1" x="169"/>
        <item m="1" x="153"/>
        <item m="1" x="120"/>
        <item m="1" x="223"/>
        <item m="1" x="160"/>
        <item m="1" x="164"/>
        <item m="1" x="233"/>
        <item m="1" x="249"/>
        <item m="1" x="134"/>
        <item m="1" x="232"/>
        <item m="1" x="151"/>
        <item m="1" x="105"/>
        <item m="1" x="85"/>
        <item m="1" x="215"/>
        <item m="1" x="298"/>
        <item m="1" x="265"/>
        <item m="1" x="65"/>
        <item m="1" x="297"/>
        <item m="1" x="130"/>
        <item m="1" x="190"/>
        <item m="1" x="102"/>
        <item m="1" x="236"/>
        <item m="1" x="87"/>
        <item m="1" x="91"/>
        <item m="1" x="292"/>
        <item m="1" x="260"/>
        <item m="1" x="230"/>
        <item m="1" x="177"/>
        <item m="1" x="137"/>
        <item m="1" x="218"/>
        <item m="1" x="118"/>
        <item m="1" x="122"/>
        <item m="1" x="144"/>
        <item m="1" x="141"/>
        <item m="1" x="126"/>
        <item m="1" x="295"/>
        <item m="1" x="154"/>
        <item m="1" x="81"/>
        <item m="1" x="101"/>
        <item m="1" x="242"/>
        <item m="1" x="197"/>
        <item m="1" x="127"/>
        <item m="1" x="251"/>
        <item m="1" x="172"/>
        <item m="1" x="125"/>
        <item m="1" x="98"/>
        <item m="1" x="274"/>
        <item m="1" x="237"/>
        <item m="1" x="179"/>
        <item m="1" x="200"/>
        <item m="1" x="107"/>
        <item m="1" x="123"/>
        <item m="1" x="69"/>
        <item m="1" x="209"/>
        <item m="1" x="289"/>
        <item m="1" x="278"/>
        <item m="1" x="224"/>
        <item m="1" x="96"/>
        <item m="1" x="82"/>
        <item m="1" x="247"/>
        <item m="1" x="195"/>
        <item m="1" x="124"/>
        <item m="1" x="243"/>
        <item m="1" x="245"/>
        <item m="1" x="163"/>
        <item m="1" x="258"/>
        <item m="1" x="272"/>
        <item m="1" x="116"/>
        <item m="1" x="165"/>
        <item m="1" x="280"/>
        <item m="1" x="73"/>
        <item m="1" x="250"/>
        <item m="1" x="140"/>
        <item m="1" x="210"/>
        <item m="1" x="268"/>
        <item m="1" x="189"/>
        <item m="1" x="234"/>
        <item m="1" x="155"/>
        <item m="1" x="248"/>
        <item m="1" x="150"/>
        <item m="1" x="188"/>
        <item m="1" x="203"/>
        <item m="1" x="213"/>
        <item m="1" x="276"/>
        <item m="1" x="178"/>
        <item m="1" x="72"/>
        <item m="1" x="219"/>
        <item m="1" x="226"/>
        <item m="1" x="112"/>
        <item m="1" x="283"/>
        <item m="1" x="191"/>
        <item m="1" x="135"/>
        <item m="1" x="267"/>
        <item m="1" x="74"/>
        <item m="1" x="211"/>
        <item m="1" x="78"/>
        <item m="1" x="149"/>
        <item m="1" x="106"/>
        <item m="1" x="167"/>
        <item m="1" x="282"/>
        <item m="1" x="115"/>
        <item m="1" x="129"/>
        <item m="1" x="89"/>
        <item m="1" x="269"/>
        <item m="1" x="275"/>
        <item m="1" x="158"/>
        <item m="1" x="285"/>
        <item m="1" x="156"/>
        <item m="1" x="157"/>
        <item m="1" x="143"/>
        <item m="1" x="114"/>
        <item m="1" x="212"/>
        <item m="1" x="138"/>
        <item m="1" x="92"/>
        <item m="1" x="173"/>
        <item m="1" x="187"/>
        <item m="1" x="175"/>
        <item m="1" x="104"/>
        <item m="1" x="192"/>
        <item m="1" x="68"/>
        <item m="1" x="235"/>
        <item m="1" x="270"/>
        <item m="1" x="133"/>
        <item m="1" x="136"/>
        <item m="1" x="229"/>
        <item m="1" x="83"/>
        <item m="1" x="288"/>
        <item x="57"/>
        <item x="41"/>
        <item x="44"/>
        <item x="5"/>
        <item x="50"/>
        <item x="58"/>
        <item x="59"/>
        <item x="55"/>
        <item x="60"/>
        <item x="52"/>
        <item x="53"/>
        <item x="54"/>
      </items>
    </pivotField>
    <pivotField axis="axisRow" outline="0" subtotalTop="0" showAll="0" defaultSubtotal="0">
      <items count="1326">
        <item m="1" x="643"/>
        <item m="1" x="281"/>
        <item m="1" x="595"/>
        <item m="1" x="1204"/>
        <item m="1" x="699"/>
        <item m="1" x="795"/>
        <item m="1" x="1238"/>
        <item m="1" x="311"/>
        <item m="1" x="362"/>
        <item m="1" x="487"/>
        <item m="1" x="1201"/>
        <item m="1" x="532"/>
        <item m="1" x="1258"/>
        <item m="1" x="638"/>
        <item m="1" x="1188"/>
        <item m="1" x="701"/>
        <item m="1" x="370"/>
        <item m="1" x="323"/>
        <item m="1" x="1230"/>
        <item m="1" x="675"/>
        <item m="1" x="707"/>
        <item m="1" x="289"/>
        <item m="1" x="1265"/>
        <item m="1" x="578"/>
        <item m="1" x="888"/>
        <item m="1" x="833"/>
        <item m="1" x="594"/>
        <item m="1" x="435"/>
        <item m="1" x="612"/>
        <item m="1" x="619"/>
        <item m="1" x="626"/>
        <item m="1" x="422"/>
        <item m="1" x="895"/>
        <item m="1" x="621"/>
        <item m="1" x="599"/>
        <item m="1" x="1096"/>
        <item m="1" x="672"/>
        <item m="1" x="697"/>
        <item m="1" x="698"/>
        <item m="1" x="350"/>
        <item m="1" x="1056"/>
        <item m="1" x="499"/>
        <item m="1" x="665"/>
        <item m="1" x="549"/>
        <item m="1" x="1033"/>
        <item m="1" x="1192"/>
        <item m="1" x="1321"/>
        <item m="1" x="287"/>
        <item m="1" x="432"/>
        <item m="1" x="564"/>
        <item m="1" x="587"/>
        <item x="266"/>
        <item m="1" x="502"/>
        <item m="1" x="548"/>
        <item m="1" x="613"/>
        <item m="1" x="1015"/>
        <item m="1" x="679"/>
        <item m="1" x="948"/>
        <item m="1" x="469"/>
        <item m="1" x="1189"/>
        <item m="1" x="283"/>
        <item m="1" x="521"/>
        <item m="1" x="1030"/>
        <item m="1" x="1177"/>
        <item m="1" x="738"/>
        <item m="1" x="865"/>
        <item x="198"/>
        <item m="1" x="535"/>
        <item m="1" x="606"/>
        <item m="1" x="727"/>
        <item x="263"/>
        <item m="1" x="781"/>
        <item m="1" x="914"/>
        <item x="262"/>
        <item m="1" x="1158"/>
        <item m="1" x="872"/>
        <item m="1" x="974"/>
        <item m="1" x="778"/>
        <item m="1" x="967"/>
        <item x="16"/>
        <item x="17"/>
        <item m="1" x="1053"/>
        <item m="1" x="762"/>
        <item m="1" x="885"/>
        <item m="1" x="770"/>
        <item x="20"/>
        <item m="1" x="604"/>
        <item m="1" x="424"/>
        <item m="1" x="1229"/>
        <item m="1" x="607"/>
        <item x="264"/>
        <item m="1" x="568"/>
        <item x="265"/>
        <item x="23"/>
        <item x="259"/>
        <item m="1" x="456"/>
        <item m="1" x="368"/>
        <item m="1" x="1028"/>
        <item m="1" x="520"/>
        <item m="1" x="1314"/>
        <item m="1" x="774"/>
        <item m="1" x="577"/>
        <item m="1" x="878"/>
        <item m="1" x="655"/>
        <item x="183"/>
        <item m="1" x="748"/>
        <item x="82"/>
        <item m="1" x="474"/>
        <item m="1" x="331"/>
        <item m="1" x="500"/>
        <item m="1" x="660"/>
        <item m="1" x="1277"/>
        <item m="1" x="306"/>
        <item m="1" x="309"/>
        <item m="1" x="464"/>
        <item m="1" x="1058"/>
        <item m="1" x="718"/>
        <item m="1" x="931"/>
        <item m="1" x="1286"/>
        <item m="1" x="351"/>
        <item m="1" x="687"/>
        <item m="1" x="285"/>
        <item m="1" x="1021"/>
        <item m="1" x="1292"/>
        <item m="1" x="868"/>
        <item m="1" x="1162"/>
        <item m="1" x="1235"/>
        <item m="1" x="797"/>
        <item m="1" x="360"/>
        <item m="1" x="760"/>
        <item m="1" x="763"/>
        <item m="1" x="793"/>
        <item m="1" x="359"/>
        <item m="1" x="308"/>
        <item m="1" x="661"/>
        <item m="1" x="721"/>
        <item m="1" x="353"/>
        <item m="1" x="1260"/>
        <item m="1" x="647"/>
        <item m="1" x="953"/>
        <item m="1" x="369"/>
        <item m="1" x="455"/>
        <item m="1" x="305"/>
        <item m="1" x="912"/>
        <item m="1" x="1101"/>
        <item m="1" x="1051"/>
        <item m="1" x="1092"/>
        <item m="1" x="546"/>
        <item m="1" x="1312"/>
        <item m="1" x="999"/>
        <item m="1" x="994"/>
        <item m="1" x="942"/>
        <item m="1" x="1194"/>
        <item m="1" x="1114"/>
        <item m="1" x="559"/>
        <item m="1" x="860"/>
        <item m="1" x="504"/>
        <item m="1" x="505"/>
        <item m="1" x="1261"/>
        <item m="1" x="380"/>
        <item m="1" x="680"/>
        <item m="1" x="409"/>
        <item m="1" x="935"/>
        <item m="1" x="951"/>
        <item m="1" x="625"/>
        <item m="1" x="1244"/>
        <item m="1" x="757"/>
        <item m="1" x="1268"/>
        <item m="1" x="298"/>
        <item m="1" x="857"/>
        <item m="1" x="1197"/>
        <item m="1" x="658"/>
        <item m="1" x="407"/>
        <item m="1" x="1013"/>
        <item m="1" x="534"/>
        <item m="1" x="640"/>
        <item m="1" x="496"/>
        <item m="1" x="900"/>
        <item m="1" x="330"/>
        <item m="1" x="788"/>
        <item m="1" x="834"/>
        <item x="2"/>
        <item m="1" x="1276"/>
        <item m="1" x="649"/>
        <item m="1" x="980"/>
        <item m="1" x="328"/>
        <item m="1" x="903"/>
        <item m="1" x="1036"/>
        <item m="1" x="1218"/>
        <item m="1" x="570"/>
        <item m="1" x="533"/>
        <item m="1" x="801"/>
        <item x="252"/>
        <item x="24"/>
        <item m="1" x="998"/>
        <item m="1" x="386"/>
        <item m="1" x="1054"/>
        <item m="1" x="617"/>
        <item m="1" x="299"/>
        <item m="1" x="952"/>
        <item m="1" x="755"/>
        <item x="137"/>
        <item x="234"/>
        <item m="1" x="316"/>
        <item m="1" x="819"/>
        <item x="257"/>
        <item m="1" x="358"/>
        <item m="1" x="450"/>
        <item m="1" x="1151"/>
        <item m="1" x="494"/>
        <item m="1" x="629"/>
        <item m="1" x="1029"/>
        <item m="1" x="1187"/>
        <item m="1" x="1203"/>
        <item m="1" x="295"/>
        <item x="251"/>
        <item m="1" x="560"/>
        <item m="1" x="804"/>
        <item m="1" x="1090"/>
        <item m="1" x="517"/>
        <item m="1" x="317"/>
        <item m="1" x="582"/>
        <item m="1" x="1223"/>
        <item m="1" x="513"/>
        <item x="41"/>
        <item m="1" x="1251"/>
        <item x="53"/>
        <item m="1" x="950"/>
        <item m="1" x="382"/>
        <item m="1" x="867"/>
        <item m="1" x="688"/>
        <item m="1" x="307"/>
        <item m="1" x="376"/>
        <item m="1" x="938"/>
        <item x="37"/>
        <item m="1" x="541"/>
        <item x="157"/>
        <item m="1" x="637"/>
        <item x="61"/>
        <item m="1" x="1034"/>
        <item m="1" x="512"/>
        <item m="1" x="695"/>
        <item m="1" x="1148"/>
        <item m="1" x="779"/>
        <item m="1" x="356"/>
        <item m="1" x="773"/>
        <item m="1" x="956"/>
        <item m="1" x="523"/>
        <item m="1" x="828"/>
        <item x="117"/>
        <item x="179"/>
        <item m="1" x="1299"/>
        <item m="1" x="1274"/>
        <item m="1" x="831"/>
        <item x="254"/>
        <item m="1" x="983"/>
        <item m="1" x="892"/>
        <item m="1" x="555"/>
        <item m="1" x="632"/>
        <item m="1" x="572"/>
        <item x="115"/>
        <item m="1" x="1234"/>
        <item x="204"/>
        <item m="1" x="786"/>
        <item m="1" x="395"/>
        <item m="1" x="1240"/>
        <item m="1" x="385"/>
        <item m="1" x="787"/>
        <item m="1" x="683"/>
        <item m="1" x="794"/>
        <item m="1" x="1297"/>
        <item m="1" x="824"/>
        <item x="15"/>
        <item x="101"/>
        <item m="1" x="268"/>
        <item x="258"/>
        <item x="248"/>
        <item x="238"/>
        <item x="255"/>
        <item x="149"/>
        <item x="212"/>
        <item x="256"/>
        <item x="146"/>
        <item x="214"/>
        <item x="213"/>
        <item m="1" x="1224"/>
        <item m="1" x="1207"/>
        <item m="1" x="915"/>
        <item m="1" x="1040"/>
        <item m="1" x="965"/>
        <item m="1" x="1091"/>
        <item m="1" x="501"/>
        <item x="242"/>
        <item m="1" x="475"/>
        <item x="0"/>
        <item x="1"/>
        <item m="1" x="1176"/>
        <item m="1" x="1111"/>
        <item m="1" x="630"/>
        <item m="1" x="949"/>
        <item m="1" x="636"/>
        <item m="1" x="1310"/>
        <item m="1" x="877"/>
        <item x="7"/>
        <item x="184"/>
        <item m="1" x="498"/>
        <item x="38"/>
        <item x="106"/>
        <item m="1" x="693"/>
        <item x="93"/>
        <item m="1" x="1095"/>
        <item m="1" x="1005"/>
        <item m="1" x="1165"/>
        <item x="12"/>
        <item x="145"/>
        <item x="25"/>
        <item x="26"/>
        <item x="60"/>
        <item m="1" x="744"/>
        <item x="27"/>
        <item x="28"/>
        <item m="1" x="446"/>
        <item m="1" x="605"/>
        <item m="1" x="1026"/>
        <item m="1" x="889"/>
        <item m="1" x="300"/>
        <item m="1" x="1282"/>
        <item m="1" x="472"/>
        <item m="1" x="312"/>
        <item m="1" x="413"/>
        <item m="1" x="282"/>
        <item m="1" x="486"/>
        <item m="1" x="700"/>
        <item m="1" x="558"/>
        <item m="1" x="471"/>
        <item m="1" x="724"/>
        <item m="1" x="1128"/>
        <item m="1" x="1239"/>
        <item m="1" x="551"/>
        <item m="1" x="1025"/>
        <item m="1" x="401"/>
        <item m="1" x="393"/>
        <item m="1" x="916"/>
        <item m="1" x="406"/>
        <item m="1" x="439"/>
        <item m="1" x="1012"/>
        <item m="1" x="1271"/>
        <item m="1" x="1087"/>
        <item m="1" x="985"/>
        <item m="1" x="529"/>
        <item m="1" x="1241"/>
        <item m="1" x="1129"/>
        <item m="1" x="837"/>
        <item m="1" x="1106"/>
        <item m="1" x="1152"/>
        <item m="1" x="754"/>
        <item m="1" x="1001"/>
        <item m="1" x="737"/>
        <item m="1" x="576"/>
        <item m="1" x="1243"/>
        <item m="1" x="547"/>
        <item m="1" x="692"/>
        <item m="1" x="1167"/>
        <item m="1" x="1084"/>
        <item m="1" x="414"/>
        <item m="1" x="1154"/>
        <item m="1" x="1252"/>
        <item m="1" x="808"/>
        <item m="1" x="1308"/>
        <item m="1" x="1269"/>
        <item m="1" x="934"/>
        <item m="1" x="1085"/>
        <item m="1" x="1023"/>
        <item m="1" x="686"/>
        <item m="1" x="495"/>
        <item m="1" x="434"/>
        <item m="1" x="273"/>
        <item m="1" x="476"/>
        <item m="1" x="926"/>
        <item m="1" x="644"/>
        <item m="1" x="1262"/>
        <item m="1" x="367"/>
        <item m="1" x="869"/>
        <item m="1" x="392"/>
        <item m="1" x="623"/>
        <item m="1" x="491"/>
        <item m="1" x="633"/>
        <item m="1" x="1116"/>
        <item m="1" x="691"/>
        <item m="1" x="862"/>
        <item m="1" x="725"/>
        <item m="1" x="310"/>
        <item m="1" x="1180"/>
        <item m="1" x="371"/>
        <item m="1" x="274"/>
        <item m="1" x="1044"/>
        <item m="1" x="812"/>
        <item m="1" x="853"/>
        <item m="1" x="944"/>
        <item m="1" x="1103"/>
        <item m="1" x="1317"/>
        <item m="1" x="1170"/>
        <item m="1" x="278"/>
        <item m="1" x="465"/>
        <item m="1" x="1130"/>
        <item m="1" x="515"/>
        <item m="1" x="1290"/>
        <item m="1" x="1055"/>
        <item m="1" x="1155"/>
        <item m="1" x="290"/>
        <item m="1" x="510"/>
        <item m="1" x="473"/>
        <item m="1" x="1208"/>
        <item m="1" x="989"/>
        <item m="1" x="849"/>
        <item m="1" x="598"/>
        <item m="1" x="830"/>
        <item m="1" x="859"/>
        <item m="1" x="280"/>
        <item m="1" x="780"/>
        <item m="1" x="525"/>
        <item m="1" x="522"/>
        <item m="1" x="454"/>
        <item m="1" x="303"/>
        <item m="1" x="1156"/>
        <item m="1" x="1017"/>
        <item m="1" x="436"/>
        <item m="1" x="341"/>
        <item m="1" x="657"/>
        <item m="1" x="387"/>
        <item m="1" x="388"/>
        <item m="1" x="508"/>
        <item m="1" x="791"/>
        <item m="1" x="1202"/>
        <item m="1" x="373"/>
        <item m="1" x="650"/>
        <item m="1" x="628"/>
        <item m="1" x="799"/>
        <item m="1" x="349"/>
        <item m="1" x="674"/>
        <item m="1" x="745"/>
        <item m="1" x="671"/>
        <item x="29"/>
        <item m="1" x="405"/>
        <item m="1" x="1245"/>
        <item m="1" x="1057"/>
        <item m="1" x="1149"/>
        <item m="1" x="1064"/>
        <item m="1" x="978"/>
        <item m="1" x="503"/>
        <item m="1" x="783"/>
        <item m="1" x="1213"/>
        <item m="1" x="1304"/>
        <item m="1" x="292"/>
        <item m="1" x="815"/>
        <item m="1" x="1193"/>
        <item m="1" x="410"/>
        <item m="1" x="518"/>
        <item m="1" x="1014"/>
        <item m="1" x="343"/>
        <item m="1" x="1081"/>
        <item m="1" x="539"/>
        <item m="1" x="1185"/>
        <item m="1" x="366"/>
        <item m="1" x="313"/>
        <item m="1" x="333"/>
        <item m="1" x="876"/>
        <item m="1" x="443"/>
        <item m="1" x="805"/>
        <item m="1" x="524"/>
        <item m="1" x="557"/>
        <item m="1" x="425"/>
        <item m="1" x="1037"/>
        <item m="1" x="337"/>
        <item m="1" x="1102"/>
        <item m="1" x="684"/>
        <item m="1" x="293"/>
        <item m="1" x="1035"/>
        <item x="116"/>
        <item m="1" x="668"/>
        <item m="1" x="1119"/>
        <item m="1" x="345"/>
        <item m="1" x="681"/>
        <item m="1" x="461"/>
        <item m="1" x="527"/>
        <item m="1" x="1273"/>
        <item m="1" x="653"/>
        <item m="1" x="740"/>
        <item m="1" x="408"/>
        <item m="1" x="635"/>
        <item m="1" x="1291"/>
        <item m="1" x="286"/>
        <item m="1" x="1267"/>
        <item x="92"/>
        <item m="1" x="825"/>
        <item m="1" x="1281"/>
        <item m="1" x="1319"/>
        <item m="1" x="961"/>
        <item m="1" x="670"/>
        <item m="1" x="676"/>
        <item m="1" x="1160"/>
        <item m="1" x="1163"/>
        <item m="1" x="470"/>
        <item m="1" x="348"/>
        <item m="1" x="803"/>
        <item m="1" x="736"/>
        <item m="1" x="969"/>
        <item x="84"/>
        <item m="1" x="886"/>
        <item m="1" x="492"/>
        <item m="1" x="772"/>
        <item m="1" x="696"/>
        <item m="1" x="1000"/>
        <item m="1" x="590"/>
        <item m="1" x="591"/>
        <item m="1" x="347"/>
        <item m="1" x="1283"/>
        <item m="1" x="1296"/>
        <item m="1" x="1249"/>
        <item m="1" x="1004"/>
        <item m="1" x="269"/>
        <item m="1" x="710"/>
        <item m="1" x="374"/>
        <item m="1" x="620"/>
        <item m="1" x="920"/>
        <item m="1" x="1022"/>
        <item m="1" x="1174"/>
        <item x="125"/>
        <item m="1" x="855"/>
        <item m="1" x="457"/>
        <item m="1" x="479"/>
        <item m="1" x="764"/>
        <item x="30"/>
        <item x="31"/>
        <item x="33"/>
        <item x="34"/>
        <item m="1" x="711"/>
        <item m="1" x="714"/>
        <item m="1" x="751"/>
        <item m="1" x="431"/>
        <item m="1" x="1298"/>
        <item m="1" x="1219"/>
        <item m="1" x="1150"/>
        <item m="1" x="416"/>
        <item m="1" x="1078"/>
        <item m="1" x="963"/>
        <item m="1" x="1257"/>
        <item m="1" x="1209"/>
        <item m="1" x="879"/>
        <item m="1" x="1135"/>
        <item m="1" x="304"/>
        <item m="1" x="908"/>
        <item m="1" x="631"/>
        <item m="1" x="941"/>
        <item m="1" x="1061"/>
        <item m="1" x="1264"/>
        <item m="1" x="509"/>
        <item m="1" x="1072"/>
        <item m="1" x="437"/>
        <item m="1" x="1272"/>
        <item m="1" x="1143"/>
        <item m="1" x="1178"/>
        <item m="1" x="991"/>
        <item m="1" x="646"/>
        <item m="1" x="506"/>
        <item m="1" x="384"/>
        <item m="1" x="1138"/>
        <item m="1" x="796"/>
        <item m="1" x="1169"/>
        <item m="1" x="394"/>
        <item m="1" x="1210"/>
        <item m="1" x="1043"/>
        <item m="1" x="1123"/>
        <item m="1" x="1048"/>
        <item m="1" x="1303"/>
        <item m="1" x="1045"/>
        <item m="1" x="642"/>
        <item m="1" x="678"/>
        <item m="1" x="851"/>
        <item m="1" x="1237"/>
        <item m="1" x="902"/>
        <item m="1" x="1315"/>
        <item m="1" x="585"/>
        <item m="1" x="1284"/>
        <item m="1" x="753"/>
        <item m="1" x="896"/>
        <item m="1" x="756"/>
        <item m="1" x="1133"/>
        <item m="1" x="1134"/>
        <item m="1" x="968"/>
        <item m="1" x="396"/>
        <item m="1" x="1309"/>
        <item m="1" x="1206"/>
        <item m="1" x="1127"/>
        <item m="1" x="497"/>
        <item m="1" x="363"/>
        <item m="1" x="673"/>
        <item m="1" x="426"/>
        <item m="1" x="516"/>
        <item m="1" x="761"/>
        <item m="1" x="1089"/>
        <item m="1" x="1293"/>
        <item m="1" x="923"/>
        <item m="1" x="866"/>
        <item m="1" x="706"/>
        <item m="1" x="297"/>
        <item m="1" x="810"/>
        <item m="1" x="690"/>
        <item m="1" x="777"/>
        <item m="1" x="1227"/>
        <item m="1" x="1082"/>
        <item m="1" x="545"/>
        <item m="1" x="990"/>
        <item m="1" x="1042"/>
        <item m="1" x="340"/>
        <item m="1" x="354"/>
        <item m="1" x="1306"/>
        <item m="1" x="1016"/>
        <item m="1" x="602"/>
        <item m="1" x="882"/>
        <item m="1" x="784"/>
        <item m="1" x="1171"/>
        <item m="1" x="897"/>
        <item m="1" x="732"/>
        <item m="1" x="728"/>
        <item m="1" x="1067"/>
        <item m="1" x="1068"/>
        <item m="1" x="1046"/>
        <item m="1" x="820"/>
        <item m="1" x="713"/>
        <item m="1" x="601"/>
        <item m="1" x="863"/>
        <item m="1" x="430"/>
        <item m="1" x="973"/>
        <item m="1" x="543"/>
        <item m="1" x="832"/>
        <item m="1" x="881"/>
        <item m="1" x="429"/>
        <item m="1" x="1222"/>
        <item m="1" x="987"/>
        <item m="1" x="821"/>
        <item m="1" x="1077"/>
        <item m="1" x="1181"/>
        <item m="1" x="1287"/>
        <item m="1" x="1302"/>
        <item m="1" x="746"/>
        <item m="1" x="1195"/>
        <item m="1" x="669"/>
        <item m="1" x="917"/>
        <item m="1" x="627"/>
        <item m="1" x="1038"/>
        <item m="1" x="1190"/>
        <item m="1" x="417"/>
        <item m="1" x="540"/>
        <item m="1" x="519"/>
        <item m="1" x="1250"/>
        <item m="1" x="992"/>
        <item m="1" x="615"/>
        <item m="1" x="873"/>
        <item m="1" x="792"/>
        <item m="1" x="478"/>
        <item m="1" x="1099"/>
        <item m="1" x="1247"/>
        <item m="1" x="1278"/>
        <item m="1" x="449"/>
        <item m="1" x="702"/>
        <item m="1" x="1115"/>
        <item m="1" x="767"/>
        <item m="1" x="919"/>
        <item m="1" x="1246"/>
        <item m="1" x="800"/>
        <item m="1" x="933"/>
        <item m="1" x="664"/>
        <item m="1" x="809"/>
        <item m="1" x="1320"/>
        <item m="1" x="1039"/>
        <item m="1" x="440"/>
        <item m="1" x="1254"/>
        <item m="1" x="1216"/>
        <item m="1" x="1007"/>
        <item m="1" x="326"/>
        <item m="1" x="1232"/>
        <item m="1" x="654"/>
        <item m="1" x="925"/>
        <item m="1" x="378"/>
        <item m="1" x="704"/>
        <item m="1" x="729"/>
        <item m="1" x="928"/>
        <item m="1" x="270"/>
        <item m="1" x="1066"/>
        <item m="1" x="611"/>
        <item m="1" x="856"/>
        <item m="1" x="447"/>
        <item m="1" x="301"/>
        <item m="1" x="361"/>
        <item m="1" x="947"/>
        <item m="1" x="921"/>
        <item m="1" x="891"/>
        <item m="1" x="1220"/>
        <item m="1" x="703"/>
        <item m="1" x="742"/>
        <item m="1" x="375"/>
        <item m="1" x="566"/>
        <item m="1" x="1137"/>
        <item m="1" x="663"/>
        <item m="1" x="444"/>
        <item m="1" x="379"/>
        <item m="1" x="279"/>
        <item m="1" x="883"/>
        <item m="1" x="322"/>
        <item m="1" x="964"/>
        <item m="1" x="946"/>
        <item m="1" x="798"/>
        <item m="1" x="477"/>
        <item m="1" x="624"/>
        <item m="1" x="383"/>
        <item m="1" x="272"/>
        <item m="1" x="1076"/>
        <item m="1" x="959"/>
        <item m="1" x="451"/>
        <item m="1" x="616"/>
        <item m="1" x="1289"/>
        <item m="1" x="1110"/>
        <item m="1" x="1065"/>
        <item m="1" x="567"/>
        <item m="1" x="927"/>
        <item m="1" x="614"/>
        <item m="1" x="939"/>
        <item m="1" x="1285"/>
        <item m="1" x="1139"/>
        <item m="1" x="648"/>
        <item m="1" x="1010"/>
        <item m="1" x="1002"/>
        <item m="1" x="593"/>
        <item m="1" x="1027"/>
        <item m="1" x="565"/>
        <item m="1" x="1069"/>
        <item m="1" x="334"/>
        <item m="1" x="609"/>
        <item m="1" x="899"/>
        <item m="1" x="1242"/>
        <item m="1" x="954"/>
        <item m="1" x="735"/>
        <item m="1" x="1126"/>
        <item m="1" x="554"/>
        <item m="1" x="1079"/>
        <item m="1" x="1175"/>
        <item m="1" x="981"/>
        <item m="1" x="722"/>
        <item m="1" x="1214"/>
        <item m="1" x="267"/>
        <item m="1" x="827"/>
        <item m="1" x="537"/>
        <item m="1" x="1120"/>
        <item m="1" x="335"/>
        <item m="1" x="677"/>
        <item m="1" x="482"/>
        <item m="1" x="466"/>
        <item m="1" x="932"/>
        <item m="1" x="1211"/>
        <item m="1" x="743"/>
        <item m="1" x="1228"/>
        <item m="1" x="419"/>
        <item m="1" x="1118"/>
        <item m="1" x="976"/>
        <item m="1" x="542"/>
        <item m="1" x="589"/>
        <item m="1" x="490"/>
        <item m="1" x="1225"/>
        <item m="1" x="843"/>
        <item m="1" x="1107"/>
        <item m="1" x="1093"/>
        <item m="1" x="639"/>
        <item m="1" x="1182"/>
        <item m="1" x="460"/>
        <item m="1" x="979"/>
        <item m="1" x="972"/>
        <item m="1" x="418"/>
        <item m="1" x="1086"/>
        <item m="1" x="1020"/>
        <item m="1" x="776"/>
        <item m="1" x="845"/>
        <item m="1" x="574"/>
        <item m="1" x="694"/>
        <item m="1" x="1248"/>
        <item m="1" x="563"/>
        <item m="1" x="480"/>
        <item m="1" x="847"/>
        <item m="1" x="782"/>
        <item m="1" x="1259"/>
        <item m="1" x="1270"/>
        <item m="1" x="807"/>
        <item m="1" x="1147"/>
        <item m="1" x="398"/>
        <item m="1" x="765"/>
        <item m="1" x="1307"/>
        <item m="1" x="320"/>
        <item m="1" x="1144"/>
        <item m="1" x="1212"/>
        <item m="1" x="645"/>
        <item m="1" x="922"/>
        <item m="1" x="1191"/>
        <item m="1" x="276"/>
        <item m="1" x="1113"/>
        <item m="1" x="1112"/>
        <item m="1" x="1059"/>
        <item m="1" x="544"/>
        <item m="1" x="586"/>
        <item m="1" x="733"/>
        <item m="1" x="271"/>
        <item m="1" x="823"/>
        <item m="1" x="651"/>
        <item m="1" x="734"/>
        <item m="1" x="1183"/>
        <item m="1" x="411"/>
        <item m="1" x="528"/>
        <item m="1" x="826"/>
        <item m="1" x="811"/>
        <item m="1" x="816"/>
        <item m="1" x="1117"/>
        <item m="1" x="538"/>
        <item m="1" x="420"/>
        <item m="1" x="423"/>
        <item m="1" x="569"/>
        <item m="1" x="433"/>
        <item m="1" x="716"/>
        <item m="1" x="445"/>
        <item m="1" x="468"/>
        <item m="1" x="288"/>
        <item m="1" x="1024"/>
        <item m="1" x="1316"/>
        <item m="1" x="1159"/>
        <item m="1" x="802"/>
        <item m="1" x="709"/>
        <item m="1" x="462"/>
        <item m="1" x="364"/>
        <item m="1" x="1173"/>
        <item m="1" x="818"/>
        <item m="1" x="850"/>
        <item m="1" x="1052"/>
        <item m="1" x="975"/>
        <item m="1" x="822"/>
        <item m="1" x="705"/>
        <item m="1" x="1008"/>
        <item m="1" x="402"/>
        <item m="1" x="1157"/>
        <item m="1" x="1083"/>
        <item m="1" x="656"/>
        <item m="1" x="685"/>
        <item m="1" x="1253"/>
        <item m="1" x="937"/>
        <item m="1" x="789"/>
        <item m="1" x="1184"/>
        <item m="1" x="641"/>
        <item m="1" x="1161"/>
        <item m="1" x="552"/>
        <item m="1" x="929"/>
        <item m="1" x="1050"/>
        <item m="1" x="720"/>
        <item m="1" x="1198"/>
        <item m="1" x="1186"/>
        <item m="1" x="1164"/>
        <item m="1" x="579"/>
        <item m="1" x="1105"/>
        <item m="1" x="314"/>
        <item m="1" x="1104"/>
        <item m="1" x="467"/>
        <item m="1" x="493"/>
        <item m="1" x="1108"/>
        <item m="1" x="848"/>
        <item m="1" x="321"/>
        <item m="1" x="945"/>
        <item m="1" x="556"/>
        <item m="1" x="339"/>
        <item m="1" x="412"/>
        <item m="1" x="864"/>
        <item m="1" x="428"/>
        <item m="1" x="1063"/>
        <item m="1" x="971"/>
        <item m="1" x="988"/>
        <item m="1" x="1153"/>
        <item m="1" x="854"/>
        <item m="1" x="553"/>
        <item m="1" x="712"/>
        <item m="1" x="875"/>
        <item m="1" x="1075"/>
        <item m="1" x="514"/>
        <item m="1" x="930"/>
        <item m="1" x="1166"/>
        <item m="1" x="1236"/>
        <item m="1" x="1140"/>
        <item m="1" x="489"/>
        <item m="1" x="562"/>
        <item m="1" x="1275"/>
        <item m="1" x="324"/>
        <item m="1" x="1100"/>
        <item m="1" x="581"/>
        <item m="1" x="399"/>
        <item m="1" x="1325"/>
        <item m="1" x="870"/>
        <item x="178"/>
        <item m="1" x="1324"/>
        <item m="1" x="993"/>
        <item m="1" x="1073"/>
        <item m="1" x="901"/>
        <item m="1" x="381"/>
        <item m="1" x="448"/>
        <item m="1" x="1047"/>
        <item m="1" x="1311"/>
        <item m="1" x="352"/>
        <item m="1" x="1280"/>
        <item m="1" x="608"/>
        <item m="1" x="726"/>
        <item m="1" x="1122"/>
        <item m="1" x="846"/>
        <item m="1" x="536"/>
        <item m="1" x="284"/>
        <item m="1" x="355"/>
        <item m="1" x="484"/>
        <item m="1" x="483"/>
        <item m="1" x="829"/>
        <item m="1" x="1313"/>
        <item m="1" x="1226"/>
        <item m="1" x="940"/>
        <item m="1" x="758"/>
        <item m="1" x="898"/>
        <item m="1" x="575"/>
        <item m="1" x="731"/>
        <item m="1" x="294"/>
        <item m="1" x="277"/>
        <item m="1" x="1125"/>
        <item m="1" x="1094"/>
        <item m="1" x="838"/>
        <item m="1" x="723"/>
        <item m="1" x="404"/>
        <item m="1" x="752"/>
        <item m="1" x="739"/>
        <item m="1" x="531"/>
        <item m="1" x="790"/>
        <item m="1" x="458"/>
        <item m="1" x="1318"/>
        <item m="1" x="1279"/>
        <item m="1" x="618"/>
        <item m="1" x="1132"/>
        <item m="1" x="1097"/>
        <item m="1" x="391"/>
        <item m="1" x="452"/>
        <item m="1" x="958"/>
        <item m="1" x="319"/>
        <item m="1" x="296"/>
        <item m="1" x="357"/>
        <item m="1" x="741"/>
        <item m="1" x="275"/>
        <item m="1" x="511"/>
        <item m="1" x="861"/>
        <item m="1" x="453"/>
        <item m="1" x="1071"/>
        <item m="1" x="583"/>
        <item m="1" x="874"/>
        <item m="1" x="839"/>
        <item m="1" x="924"/>
        <item m="1" x="1200"/>
        <item m="1" x="1288"/>
        <item m="1" x="769"/>
        <item m="1" x="1124"/>
        <item m="1" x="1018"/>
        <item m="1" x="910"/>
        <item m="1" x="365"/>
        <item m="1" x="749"/>
        <item m="1" x="1074"/>
        <item m="1" x="842"/>
        <item m="1" x="652"/>
        <item m="1" x="708"/>
        <item m="1" x="1011"/>
        <item m="1" x="909"/>
        <item m="1" x="403"/>
        <item m="1" x="488"/>
        <item m="1" x="984"/>
        <item m="1" x="960"/>
        <item m="1" x="1146"/>
        <item m="1" x="550"/>
        <item m="1" x="719"/>
        <item m="1" x="666"/>
        <item m="1" x="1131"/>
        <item m="1" x="750"/>
        <item m="1" x="913"/>
        <item m="1" x="1145"/>
        <item m="1" x="871"/>
        <item m="1" x="943"/>
        <item m="1" x="884"/>
        <item m="1" x="397"/>
        <item m="1" x="880"/>
        <item m="1" x="573"/>
        <item m="1" x="377"/>
        <item m="1" x="887"/>
        <item m="1" x="390"/>
        <item m="1" x="603"/>
        <item m="1" x="561"/>
        <item m="1" x="997"/>
        <item m="1" x="315"/>
        <item m="1" x="1088"/>
        <item m="1" x="1266"/>
        <item m="1" x="571"/>
        <item m="1" x="459"/>
        <item m="1" x="588"/>
        <item m="1" x="977"/>
        <item m="1" x="1305"/>
        <item m="1" x="1301"/>
        <item m="1" x="600"/>
        <item m="1" x="302"/>
        <item m="1" x="530"/>
        <item m="1" x="1217"/>
        <item m="1" x="955"/>
        <item m="1" x="715"/>
        <item m="1" x="747"/>
        <item m="1" x="893"/>
        <item m="1" x="1031"/>
        <item m="1" x="682"/>
        <item m="1" x="325"/>
        <item m="1" x="775"/>
        <item m="1" x="911"/>
        <item m="1" x="907"/>
        <item m="1" x="1098"/>
        <item m="1" x="936"/>
        <item m="1" x="996"/>
        <item m="1" x="768"/>
        <item m="1" x="634"/>
        <item m="1" x="1136"/>
        <item m="1" x="1060"/>
        <item m="1" x="918"/>
        <item m="1" x="346"/>
        <item m="1" x="438"/>
        <item m="1" x="1062"/>
        <item m="1" x="814"/>
        <item m="1" x="1233"/>
        <item m="1" x="858"/>
        <item m="1" x="1300"/>
        <item m="1" x="904"/>
        <item m="1" x="580"/>
        <item m="1" x="1196"/>
        <item m="1" x="1179"/>
        <item m="1" x="1049"/>
        <item m="1" x="966"/>
        <item m="1" x="1003"/>
        <item m="1" x="905"/>
        <item m="1" x="332"/>
        <item m="1" x="336"/>
        <item m="1" x="318"/>
        <item m="1" x="327"/>
        <item m="1" x="596"/>
        <item m="1" x="1172"/>
        <item m="1" x="1070"/>
        <item m="1" x="441"/>
        <item m="1" x="1215"/>
        <item m="1" x="962"/>
        <item m="1" x="1009"/>
        <item m="1" x="890"/>
        <item m="1" x="982"/>
        <item m="1" x="1231"/>
        <item m="1" x="1323"/>
        <item m="1" x="592"/>
        <item m="1" x="1295"/>
        <item m="1" x="485"/>
        <item m="1" x="852"/>
        <item m="1" x="806"/>
        <item m="1" x="389"/>
        <item m="1" x="771"/>
        <item m="1" x="894"/>
        <item m="1" x="1256"/>
        <item m="1" x="481"/>
        <item m="1" x="1294"/>
        <item m="1" x="342"/>
        <item m="1" x="689"/>
        <item m="1" x="1032"/>
        <item m="1" x="421"/>
        <item m="1" x="667"/>
        <item m="1" x="329"/>
        <item m="1" x="1121"/>
        <item m="1" x="1263"/>
        <item m="1" x="1221"/>
        <item m="1" x="1080"/>
        <item m="1" x="1109"/>
        <item m="1" x="970"/>
        <item m="1" x="1019"/>
        <item m="1" x="785"/>
        <item m="1" x="427"/>
        <item m="1" x="1006"/>
        <item m="1" x="957"/>
        <item m="1" x="1142"/>
        <item m="1" x="840"/>
        <item m="1" x="817"/>
        <item m="1" x="507"/>
        <item m="1" x="463"/>
        <item m="1" x="662"/>
        <item m="1" x="344"/>
        <item m="1" x="730"/>
        <item m="1" x="442"/>
        <item m="1" x="836"/>
        <item m="1" x="1141"/>
        <item x="32"/>
        <item x="35"/>
        <item x="36"/>
        <item x="59"/>
        <item m="1" x="995"/>
        <item m="1" x="841"/>
        <item m="1" x="1041"/>
        <item m="1" x="835"/>
        <item x="55"/>
        <item x="18"/>
        <item x="19"/>
        <item x="40"/>
        <item x="39"/>
        <item x="42"/>
        <item x="43"/>
        <item m="1" x="597"/>
        <item x="56"/>
        <item m="1" x="1199"/>
        <item x="44"/>
        <item x="45"/>
        <item x="46"/>
        <item m="1" x="986"/>
        <item x="139"/>
        <item x="47"/>
        <item x="57"/>
        <item m="1" x="622"/>
        <item x="48"/>
        <item x="50"/>
        <item x="51"/>
        <item x="52"/>
        <item x="72"/>
        <item x="102"/>
        <item m="1" x="526"/>
        <item x="6"/>
        <item x="194"/>
        <item x="260"/>
        <item x="49"/>
        <item x="54"/>
        <item x="58"/>
        <item x="62"/>
        <item x="63"/>
        <item x="64"/>
        <item x="65"/>
        <item x="66"/>
        <item x="67"/>
        <item x="68"/>
        <item x="203"/>
        <item x="99"/>
        <item x="69"/>
        <item m="1" x="717"/>
        <item x="95"/>
        <item x="147"/>
        <item m="1" x="1168"/>
        <item x="22"/>
        <item x="70"/>
        <item x="71"/>
        <item x="73"/>
        <item x="74"/>
        <item x="75"/>
        <item x="132"/>
        <item x="76"/>
        <item x="77"/>
        <item x="78"/>
        <item x="79"/>
        <item x="80"/>
        <item x="81"/>
        <item x="8"/>
        <item x="246"/>
        <item x="96"/>
        <item m="1" x="1205"/>
        <item m="1" x="813"/>
        <item x="98"/>
        <item x="14"/>
        <item m="1" x="1255"/>
        <item x="148"/>
        <item x="83"/>
        <item m="1" x="400"/>
        <item x="224"/>
        <item x="86"/>
        <item x="87"/>
        <item x="88"/>
        <item x="3"/>
        <item m="1" x="759"/>
        <item x="97"/>
        <item x="85"/>
        <item x="89"/>
        <item x="90"/>
        <item x="104"/>
        <item x="94"/>
        <item x="107"/>
        <item x="100"/>
        <item x="105"/>
        <item x="91"/>
        <item x="103"/>
        <item x="108"/>
        <item x="109"/>
        <item x="110"/>
        <item x="112"/>
        <item x="111"/>
        <item m="1" x="415"/>
        <item x="144"/>
        <item x="5"/>
        <item m="1" x="906"/>
        <item x="228"/>
        <item m="1" x="766"/>
        <item x="136"/>
        <item x="134"/>
        <item x="133"/>
        <item x="135"/>
        <item x="235"/>
        <item m="1" x="610"/>
        <item m="1" x="584"/>
        <item m="1" x="291"/>
        <item x="226"/>
        <item x="193"/>
        <item x="143"/>
        <item x="113"/>
        <item x="114"/>
        <item x="119"/>
        <item x="121"/>
        <item x="123"/>
        <item x="10"/>
        <item m="1" x="338"/>
        <item x="4"/>
        <item m="1" x="1322"/>
        <item x="11"/>
        <item x="118"/>
        <item x="120"/>
        <item x="122"/>
        <item x="124"/>
        <item x="128"/>
        <item x="243"/>
        <item x="209"/>
        <item x="140"/>
        <item x="9"/>
        <item x="190"/>
        <item x="253"/>
        <item x="127"/>
        <item x="244"/>
        <item x="141"/>
        <item x="142"/>
        <item x="222"/>
        <item x="126"/>
        <item x="129"/>
        <item x="138"/>
        <item x="219"/>
        <item x="220"/>
        <item x="221"/>
        <item m="1" x="844"/>
        <item x="130"/>
        <item x="131"/>
        <item x="150"/>
        <item x="151"/>
        <item x="152"/>
        <item x="153"/>
        <item x="154"/>
        <item x="155"/>
        <item x="156"/>
        <item x="165"/>
        <item x="231"/>
        <item x="191"/>
        <item x="233"/>
        <item x="185"/>
        <item x="158"/>
        <item x="159"/>
        <item x="162"/>
        <item x="207"/>
        <item m="1" x="659"/>
        <item x="218"/>
        <item m="1" x="372"/>
        <item x="225"/>
        <item x="232"/>
        <item x="192"/>
        <item x="161"/>
        <item x="245"/>
        <item x="261"/>
        <item x="210"/>
        <item x="205"/>
        <item x="163"/>
        <item x="160"/>
        <item x="170"/>
        <item x="249"/>
        <item x="164"/>
        <item x="217"/>
        <item x="166"/>
        <item x="250"/>
        <item x="230"/>
        <item x="187"/>
        <item x="237"/>
        <item x="167"/>
        <item x="168"/>
        <item x="169"/>
        <item x="171"/>
        <item x="223"/>
        <item x="172"/>
        <item x="173"/>
        <item x="174"/>
        <item x="176"/>
        <item x="196"/>
        <item x="215"/>
        <item x="188"/>
        <item x="201"/>
        <item x="216"/>
        <item x="13"/>
        <item x="21"/>
        <item x="175"/>
        <item x="177"/>
        <item x="180"/>
        <item x="181"/>
        <item x="182"/>
        <item x="186"/>
        <item x="189"/>
        <item x="195"/>
        <item x="197"/>
        <item x="199"/>
        <item x="200"/>
        <item x="202"/>
        <item x="206"/>
        <item x="208"/>
        <item x="211"/>
        <item x="227"/>
        <item x="229"/>
        <item x="236"/>
        <item x="239"/>
        <item x="240"/>
        <item x="241"/>
        <item x="247"/>
      </items>
    </pivotField>
    <pivotField dataField="1" subtotalTop="0" showAll="0"/>
    <pivotField subtotalTop="0" showAll="0"/>
    <pivotField subtotalTop="0" showAll="0"/>
    <pivotField subtotalTop="0" showAll="0"/>
    <pivotField axis="axisRow" outline="0" subtotalTop="0" showAll="0">
      <items count="26">
        <item m="1" x="15"/>
        <item m="1" x="18"/>
        <item m="1" x="13"/>
        <item m="1" x="20"/>
        <item m="1" x="14"/>
        <item m="1" x="24"/>
        <item m="1" x="17"/>
        <item x="12"/>
        <item x="8"/>
        <item x="11"/>
        <item x="0"/>
        <item x="5"/>
        <item x="3"/>
        <item x="1"/>
        <item x="10"/>
        <item x="9"/>
        <item x="4"/>
        <item m="1" x="22"/>
        <item m="1" x="19"/>
        <item m="1" x="23"/>
        <item m="1" x="16"/>
        <item m="1" x="21"/>
        <item x="2"/>
        <item x="7"/>
        <item x="6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6">
    <field x="7"/>
    <field x="8"/>
    <field x="44"/>
    <field x="43"/>
    <field x="5"/>
    <field x="13"/>
  </rowFields>
  <rowItems count="962">
    <i>
      <x/>
      <x v="79"/>
      <x/>
    </i>
    <i r="3">
      <x v="8"/>
    </i>
    <i r="4">
      <x v="244"/>
      <x v="16"/>
    </i>
    <i r="1">
      <x v="193"/>
      <x/>
    </i>
    <i r="3">
      <x v="2"/>
    </i>
    <i r="4">
      <x v="51"/>
      <x v="10"/>
    </i>
    <i r="3">
      <x v="3"/>
    </i>
    <i r="4">
      <x v="73"/>
      <x v="10"/>
    </i>
    <i r="1">
      <x v="493"/>
      <x/>
    </i>
    <i r="3">
      <x v="2"/>
    </i>
    <i r="4">
      <x v="59"/>
      <x v="22"/>
    </i>
    <i r="1">
      <x v="507"/>
      <x/>
    </i>
    <i r="3">
      <x v="2"/>
    </i>
    <i r="4">
      <x v="49"/>
      <x v="10"/>
    </i>
    <i r="1">
      <x v="1112"/>
      <x/>
    </i>
    <i r="3">
      <x v="1"/>
    </i>
    <i r="4">
      <x v="21"/>
      <x v="10"/>
    </i>
    <i r="1">
      <x v="1158"/>
      <x/>
    </i>
    <i r="3">
      <x v="3"/>
    </i>
    <i r="4">
      <x v="91"/>
      <x v="10"/>
    </i>
    <i r="1">
      <x v="1165"/>
      <x/>
    </i>
    <i r="3">
      <x v="3"/>
    </i>
    <i r="4">
      <x v="73"/>
      <x v="10"/>
    </i>
    <i r="1">
      <x v="1205"/>
      <x/>
    </i>
    <i r="3">
      <x v="3"/>
    </i>
    <i r="4">
      <x v="91"/>
      <x v="10"/>
    </i>
    <i r="1">
      <x v="1206"/>
      <x/>
    </i>
    <i r="3">
      <x v="3"/>
    </i>
    <i r="4">
      <x v="91"/>
      <x v="10"/>
    </i>
    <i r="1">
      <x v="1207"/>
      <x/>
    </i>
    <i r="3">
      <x v="3"/>
    </i>
    <i r="4">
      <x v="91"/>
      <x v="10"/>
    </i>
    <i r="1">
      <x v="1265"/>
      <x/>
    </i>
    <i r="3">
      <x v="5"/>
    </i>
    <i r="4">
      <x v="152"/>
      <x v="16"/>
    </i>
    <i r="1">
      <x v="1276"/>
      <x/>
    </i>
    <i r="3">
      <x v="5"/>
    </i>
    <i r="4">
      <x v="152"/>
      <x v="8"/>
    </i>
    <i r="1">
      <x v="1311"/>
      <x/>
    </i>
    <i r="3">
      <x v="5"/>
    </i>
    <i r="4">
      <x v="122"/>
      <x v="10"/>
    </i>
    <i r="1">
      <x v="1316"/>
      <x/>
    </i>
    <i r="3">
      <x v="5"/>
    </i>
    <i r="4">
      <x v="152"/>
      <x v="16"/>
    </i>
    <i r="1">
      <x v="1317"/>
      <x/>
    </i>
    <i r="3">
      <x v="5"/>
    </i>
    <i r="4">
      <x v="152"/>
      <x v="16"/>
    </i>
    <i>
      <x v="1"/>
      <x v="80"/>
      <x/>
    </i>
    <i r="3">
      <x v="9"/>
    </i>
    <i r="4">
      <x v="264"/>
      <x v="16"/>
    </i>
    <i r="1">
      <x v="193"/>
      <x/>
    </i>
    <i r="3">
      <x v="4"/>
    </i>
    <i r="4">
      <x v="120"/>
      <x v="10"/>
    </i>
    <i r="1">
      <x v="1107"/>
      <x/>
    </i>
    <i r="3">
      <x v="1"/>
    </i>
    <i r="4">
      <x v="31"/>
      <x v="22"/>
    </i>
    <i r="1">
      <x v="1297"/>
      <x/>
    </i>
    <i r="3">
      <x v="5"/>
    </i>
    <i r="4">
      <x v="122"/>
      <x v="16"/>
    </i>
    <i>
      <x v="2"/>
      <x v="442"/>
      <x/>
    </i>
    <i r="3">
      <x v="1"/>
    </i>
    <i r="4">
      <x v="7"/>
      <x v="10"/>
    </i>
    <i r="1">
      <x v="1099"/>
      <x/>
    </i>
    <i r="3">
      <x v="1"/>
    </i>
    <i r="4">
      <x v="9"/>
      <x v="10"/>
    </i>
    <i r="1">
      <x v="1118"/>
      <x/>
    </i>
    <i r="3">
      <x v="1"/>
    </i>
    <i r="4">
      <x v="24"/>
      <x v="10"/>
    </i>
    <i>
      <x v="4"/>
      <x v="193"/>
      <x/>
    </i>
    <i r="3">
      <x v="3"/>
    </i>
    <i r="4">
      <x v="73"/>
      <x v="10"/>
    </i>
    <i r="1">
      <x v="234"/>
      <x/>
    </i>
    <i r="3">
      <x v="1"/>
    </i>
    <i r="4">
      <x v="12"/>
      <x v="10"/>
    </i>
    <i>
      <x v="5"/>
      <x v="104"/>
      <x/>
    </i>
    <i r="3">
      <x v="4"/>
    </i>
    <i r="4">
      <x v="121"/>
      <x v="10"/>
    </i>
    <i r="1">
      <x v="193"/>
      <x/>
    </i>
    <i r="3">
      <x v="5"/>
    </i>
    <i r="4">
      <x v="122"/>
      <x v="10"/>
    </i>
    <i r="1">
      <x v="507"/>
      <x/>
    </i>
    <i r="3">
      <x v="2"/>
    </i>
    <i r="4">
      <x v="49"/>
      <x v="10"/>
    </i>
    <i>
      <x v="6"/>
      <x v="79"/>
      <x/>
    </i>
    <i r="3">
      <x v="8"/>
    </i>
    <i r="4">
      <x v="244"/>
      <x v="16"/>
    </i>
    <i r="1">
      <x v="193"/>
      <x/>
    </i>
    <i r="3">
      <x v="3"/>
    </i>
    <i r="4">
      <x v="73"/>
      <x v="10"/>
    </i>
    <i r="1">
      <x v="236"/>
      <x/>
    </i>
    <i r="3">
      <x v="4"/>
    </i>
    <i r="4">
      <x v="99"/>
      <x v="10"/>
    </i>
    <i r="1">
      <x v="309"/>
      <x/>
    </i>
    <i r="3">
      <x v="2"/>
    </i>
    <i r="4">
      <x v="59"/>
      <x v="10"/>
    </i>
    <i>
      <x v="10"/>
      <x v="193"/>
      <x/>
    </i>
    <i r="3">
      <x v="1"/>
    </i>
    <i r="4">
      <x v="2"/>
      <x v="10"/>
    </i>
    <i>
      <x v="11"/>
      <x v="85"/>
      <x/>
    </i>
    <i r="3">
      <x v="5"/>
    </i>
    <i r="4">
      <x v="152"/>
      <x v="13"/>
    </i>
    <i r="1">
      <x v="181"/>
      <x/>
    </i>
    <i r="3">
      <x v="3"/>
    </i>
    <i r="4">
      <x v="91"/>
      <x v="10"/>
    </i>
    <i r="1">
      <x v="254"/>
      <x/>
    </i>
    <i r="3">
      <x v="12"/>
    </i>
    <i r="4">
      <x v="366"/>
      <x v="13"/>
    </i>
    <i r="1">
      <x v="276"/>
      <x/>
    </i>
    <i r="3">
      <x v="8"/>
    </i>
    <i r="4">
      <x v="243"/>
      <x v="15"/>
    </i>
    <i r="1">
      <x v="1113"/>
      <x/>
    </i>
    <i r="3">
      <x v="1"/>
    </i>
    <i r="4">
      <x v="21"/>
      <x v="10"/>
    </i>
    <i r="1">
      <x v="1280"/>
      <x/>
    </i>
    <i r="3">
      <x v="8"/>
    </i>
    <i r="4">
      <x v="244"/>
      <x v="8"/>
    </i>
    <i r="1">
      <x v="1284"/>
      <x/>
    </i>
    <i r="3">
      <x v="8"/>
    </i>
    <i r="4">
      <x v="244"/>
      <x v="8"/>
    </i>
    <i>
      <x v="12"/>
      <x v="533"/>
      <x/>
    </i>
    <i r="3">
      <x v="1"/>
    </i>
    <i r="4">
      <x v="8"/>
      <x v="10"/>
    </i>
    <i r="1">
      <x v="1300"/>
      <x/>
    </i>
    <i r="3">
      <x v="5"/>
    </i>
    <i r="4">
      <x v="138"/>
      <x v="8"/>
    </i>
    <i r="1">
      <x v="1309"/>
      <x/>
    </i>
    <i r="3">
      <x v="4"/>
    </i>
    <i r="4">
      <x v="121"/>
      <x v="10"/>
    </i>
    <i>
      <x v="13"/>
      <x v="70"/>
      <x/>
    </i>
    <i r="3">
      <x v="7"/>
    </i>
    <i r="4">
      <x v="213"/>
      <x v="12"/>
    </i>
    <i r="1">
      <x v="79"/>
      <x/>
    </i>
    <i r="3">
      <x v="6"/>
    </i>
    <i r="4">
      <x v="182"/>
      <x v="12"/>
    </i>
    <i r="1">
      <x v="215"/>
      <x/>
    </i>
    <i r="3">
      <x v="8"/>
    </i>
    <i r="4">
      <x v="244"/>
      <x v="12"/>
    </i>
    <i r="1">
      <x v="507"/>
      <x/>
    </i>
    <i r="3">
      <x v="2"/>
    </i>
    <i r="4">
      <x v="49"/>
      <x v="10"/>
    </i>
    <i r="1">
      <x v="1160"/>
      <x/>
    </i>
    <i r="3">
      <x v="2"/>
    </i>
    <i r="4">
      <x v="44"/>
      <x v="10"/>
    </i>
    <i r="1">
      <x v="1185"/>
      <x/>
    </i>
    <i r="3">
      <x v="2"/>
    </i>
    <i r="4">
      <x v="57"/>
      <x v="10"/>
    </i>
    <i r="1">
      <x v="1243"/>
      <x/>
    </i>
    <i r="3">
      <x v="3"/>
    </i>
    <i r="4">
      <x v="91"/>
      <x v="10"/>
    </i>
    <i r="1">
      <x v="1263"/>
      <x/>
    </i>
    <i r="3">
      <x v="4"/>
    </i>
    <i r="4">
      <x v="101"/>
      <x v="10"/>
    </i>
    <i r="1">
      <x v="1305"/>
      <x/>
    </i>
    <i r="3">
      <x v="4"/>
    </i>
    <i r="4">
      <x v="117"/>
      <x v="10"/>
    </i>
    <i>
      <x v="14"/>
      <x v="478"/>
      <x/>
    </i>
    <i r="3">
      <x v="3"/>
    </i>
    <i r="4">
      <x v="74"/>
      <x v="10"/>
    </i>
    <i r="4">
      <x v="87"/>
      <x v="10"/>
    </i>
    <i r="1">
      <x v="1117"/>
      <x/>
    </i>
    <i r="3">
      <x v="2"/>
    </i>
    <i r="4">
      <x v="44"/>
      <x v="10"/>
    </i>
    <i r="1">
      <x v="1183"/>
      <x/>
    </i>
    <i r="3">
      <x v="2"/>
    </i>
    <i r="4">
      <x v="49"/>
      <x v="13"/>
    </i>
    <i r="1">
      <x v="1274"/>
      <x/>
    </i>
    <i r="3">
      <x v="5"/>
    </i>
    <i r="4">
      <x v="152"/>
      <x v="13"/>
    </i>
    <i>
      <x v="15"/>
      <x v="85"/>
      <x/>
    </i>
    <i r="3">
      <x v="4"/>
    </i>
    <i r="4">
      <x v="121"/>
      <x v="13"/>
    </i>
    <i r="3">
      <x v="7"/>
    </i>
    <i r="4">
      <x v="213"/>
      <x v="13"/>
    </i>
    <i r="1">
      <x v="273"/>
      <x/>
    </i>
    <i r="3">
      <x v="12"/>
    </i>
    <i r="4">
      <x v="366"/>
      <x v="8"/>
    </i>
    <i r="1">
      <x v="278"/>
      <x/>
    </i>
    <i r="3">
      <x v="12"/>
    </i>
    <i r="4">
      <x v="366"/>
      <x v="8"/>
    </i>
    <i>
      <x v="16"/>
      <x v="249"/>
      <x/>
    </i>
    <i r="3">
      <x v="3"/>
    </i>
    <i r="4">
      <x v="74"/>
      <x v="10"/>
    </i>
    <i>
      <x v="21"/>
      <x v="73"/>
      <x/>
    </i>
    <i r="3">
      <x v="7"/>
    </i>
    <i r="4">
      <x v="190"/>
      <x v="8"/>
    </i>
    <i r="1">
      <x v="1132"/>
      <x/>
    </i>
    <i r="3">
      <x v="7"/>
    </i>
    <i r="4">
      <x v="190"/>
      <x v="13"/>
    </i>
    <i r="1">
      <x v="1152"/>
      <x/>
    </i>
    <i r="3">
      <x v="5"/>
    </i>
    <i r="4">
      <x v="152"/>
      <x v="22"/>
    </i>
    <i r="1">
      <x v="1222"/>
      <x/>
    </i>
    <i r="3">
      <x v="3"/>
    </i>
    <i r="4">
      <x v="91"/>
      <x v="10"/>
    </i>
    <i r="1">
      <x v="1244"/>
      <x/>
    </i>
    <i r="3">
      <x v="5"/>
    </i>
    <i r="4">
      <x v="152"/>
      <x v="10"/>
    </i>
    <i r="1">
      <x v="1245"/>
      <x/>
    </i>
    <i r="3">
      <x v="5"/>
    </i>
    <i r="4">
      <x v="152"/>
      <x v="8"/>
    </i>
    <i r="1">
      <x v="1246"/>
      <x/>
    </i>
    <i r="3">
      <x v="5"/>
    </i>
    <i r="4">
      <x v="152"/>
      <x v="8"/>
    </i>
    <i r="1">
      <x v="1267"/>
      <x/>
    </i>
    <i r="3">
      <x v="5"/>
    </i>
    <i r="4">
      <x v="152"/>
      <x v="8"/>
    </i>
    <i r="1">
      <x v="1273"/>
      <x/>
    </i>
    <i r="3">
      <x v="6"/>
    </i>
    <i r="4">
      <x v="182"/>
      <x v="16"/>
    </i>
    <i r="1">
      <x v="1303"/>
      <x/>
    </i>
    <i r="3">
      <x v="5"/>
    </i>
    <i r="4">
      <x v="152"/>
      <x v="13"/>
    </i>
    <i r="1">
      <x v="1306"/>
      <x/>
    </i>
    <i r="3">
      <x v="4"/>
    </i>
    <i r="4">
      <x v="120"/>
      <x v="10"/>
    </i>
    <i>
      <x v="24"/>
      <x v="80"/>
      <x/>
    </i>
    <i r="3">
      <x v="6"/>
    </i>
    <i r="4">
      <x v="174"/>
      <x v="12"/>
    </i>
    <i r="1">
      <x v="249"/>
      <x/>
    </i>
    <i r="3">
      <x v="6"/>
    </i>
    <i r="4">
      <x v="180"/>
      <x v="16"/>
    </i>
    <i r="1">
      <x v="306"/>
      <x/>
    </i>
    <i r="3">
      <x v="1"/>
    </i>
    <i r="4">
      <x v="16"/>
      <x v="10"/>
    </i>
    <i r="1">
      <x v="319"/>
      <x/>
    </i>
    <i r="3">
      <x v="1"/>
    </i>
    <i r="4">
      <x v="3"/>
      <x v="10"/>
    </i>
    <i r="1">
      <x v="534"/>
      <x/>
    </i>
    <i r="3">
      <x v="1"/>
    </i>
    <i r="4">
      <x v="9"/>
      <x v="10"/>
    </i>
    <i r="1">
      <x v="535"/>
      <x/>
    </i>
    <i r="3">
      <x v="1"/>
    </i>
    <i r="4">
      <x v="9"/>
      <x v="10"/>
    </i>
    <i r="1">
      <x v="1100"/>
      <x/>
    </i>
    <i r="3">
      <x v="1"/>
    </i>
    <i r="4">
      <x v="11"/>
      <x v="10"/>
    </i>
    <i r="1">
      <x v="1101"/>
      <x/>
    </i>
    <i r="3">
      <x v="1"/>
    </i>
    <i r="4">
      <x v="11"/>
      <x v="10"/>
    </i>
    <i r="1">
      <x v="1117"/>
      <x/>
    </i>
    <i r="3">
      <x v="1"/>
    </i>
    <i r="4">
      <x v="23"/>
      <x v="10"/>
    </i>
    <i r="1">
      <x v="1119"/>
      <x/>
    </i>
    <i r="3">
      <x v="1"/>
    </i>
    <i r="4">
      <x v="25"/>
      <x v="10"/>
    </i>
    <i r="3">
      <x v="2"/>
    </i>
    <i r="4">
      <x v="32"/>
      <x v="10"/>
    </i>
    <i r="1">
      <x v="1123"/>
      <x/>
    </i>
    <i r="3">
      <x v="1"/>
    </i>
    <i r="4">
      <x v="31"/>
      <x v="10"/>
    </i>
    <i r="1">
      <x v="1125"/>
      <x/>
    </i>
    <i r="3">
      <x v="1"/>
    </i>
    <i r="4">
      <x v="30"/>
      <x v="10"/>
    </i>
    <i r="1">
      <x v="1126"/>
      <x/>
    </i>
    <i r="3">
      <x v="1"/>
    </i>
    <i r="4">
      <x v="30"/>
      <x v="10"/>
    </i>
    <i r="1">
      <x v="1127"/>
      <x/>
    </i>
    <i r="3">
      <x v="1"/>
    </i>
    <i r="4">
      <x v="30"/>
      <x v="10"/>
    </i>
    <i r="1">
      <x v="1128"/>
      <x/>
    </i>
    <i r="3">
      <x v="1"/>
    </i>
    <i r="4">
      <x v="30"/>
      <x v="10"/>
    </i>
    <i r="1">
      <x v="1134"/>
      <x/>
    </i>
    <i r="3">
      <x v="4"/>
    </i>
    <i r="4">
      <x v="121"/>
      <x v="10"/>
    </i>
    <i r="1">
      <x v="1135"/>
      <x/>
    </i>
    <i r="3">
      <x v="1"/>
    </i>
    <i r="4">
      <x v="30"/>
      <x v="10"/>
    </i>
    <i r="1">
      <x v="1137"/>
      <x/>
    </i>
    <i r="3">
      <x v="1"/>
    </i>
    <i r="4">
      <x v="31"/>
      <x v="10"/>
    </i>
    <i r="1">
      <x v="1139"/>
      <x/>
    </i>
    <i r="3">
      <x v="2"/>
    </i>
    <i r="4">
      <x v="32"/>
      <x v="13"/>
    </i>
    <i r="1">
      <x v="1141"/>
      <x/>
    </i>
    <i r="3">
      <x v="2"/>
    </i>
    <i r="4">
      <x v="35"/>
      <x v="10"/>
    </i>
    <i r="1">
      <x v="1142"/>
      <x/>
    </i>
    <i r="3">
      <x v="2"/>
    </i>
    <i r="4">
      <x v="35"/>
      <x v="10"/>
    </i>
    <i r="1">
      <x v="1143"/>
      <x/>
    </i>
    <i r="3">
      <x v="2"/>
    </i>
    <i r="4">
      <x v="35"/>
      <x v="10"/>
    </i>
    <i r="1">
      <x v="1144"/>
      <x/>
    </i>
    <i r="3">
      <x v="2"/>
    </i>
    <i r="4">
      <x v="36"/>
      <x v="10"/>
    </i>
    <i r="1">
      <x v="1145"/>
      <x/>
    </i>
    <i r="3">
      <x v="5"/>
    </i>
    <i r="4">
      <x v="148"/>
      <x v="22"/>
    </i>
    <i r="1">
      <x v="1146"/>
      <x/>
    </i>
    <i r="3">
      <x v="2"/>
    </i>
    <i r="4">
      <x v="59"/>
      <x v="13"/>
    </i>
    <i r="1">
      <x v="1147"/>
      <x/>
    </i>
    <i r="3">
      <x v="2"/>
    </i>
    <i r="4">
      <x v="37"/>
      <x v="10"/>
    </i>
    <i r="1">
      <x v="1153"/>
      <x/>
    </i>
    <i r="3">
      <x v="2"/>
    </i>
    <i r="4">
      <x v="37"/>
      <x v="10"/>
    </i>
    <i r="1">
      <x v="1155"/>
      <x/>
    </i>
    <i r="3">
      <x v="2"/>
    </i>
    <i r="4">
      <x v="42"/>
      <x v="10"/>
    </i>
    <i r="1">
      <x v="1156"/>
      <x/>
    </i>
    <i r="3">
      <x v="2"/>
    </i>
    <i r="4">
      <x v="42"/>
      <x v="10"/>
    </i>
    <i r="1">
      <x v="1161"/>
      <x/>
    </i>
    <i r="3">
      <x v="2"/>
    </i>
    <i r="4">
      <x v="44"/>
      <x v="10"/>
    </i>
    <i r="1">
      <x v="1162"/>
      <x/>
    </i>
    <i r="3">
      <x v="2"/>
    </i>
    <i r="4">
      <x v="44"/>
      <x v="13"/>
    </i>
    <i r="1">
      <x v="1163"/>
      <x/>
    </i>
    <i r="3">
      <x v="2"/>
    </i>
    <i r="4">
      <x v="44"/>
      <x v="10"/>
    </i>
    <i r="1">
      <x v="1166"/>
      <x/>
    </i>
    <i r="3">
      <x v="6"/>
    </i>
    <i r="4">
      <x v="182"/>
      <x v="12"/>
    </i>
    <i r="1">
      <x v="1167"/>
      <x/>
    </i>
    <i r="3">
      <x v="2"/>
    </i>
    <i r="4">
      <x v="59"/>
      <x v="10"/>
    </i>
    <i r="1">
      <x v="1170"/>
      <x/>
    </i>
    <i r="3">
      <x v="2"/>
    </i>
    <i r="4">
      <x v="59"/>
      <x v="22"/>
    </i>
    <i r="1">
      <x v="1171"/>
      <x/>
    </i>
    <i r="3">
      <x v="5"/>
    </i>
    <i r="4">
      <x v="151"/>
      <x v="22"/>
    </i>
    <i r="1">
      <x v="1174"/>
      <x/>
    </i>
    <i r="3">
      <x v="2"/>
    </i>
    <i r="4">
      <x v="46"/>
      <x v="10"/>
    </i>
    <i r="1">
      <x v="1176"/>
      <x/>
    </i>
    <i r="3">
      <x v="5"/>
    </i>
    <i r="4">
      <x v="152"/>
      <x v="16"/>
    </i>
    <i r="1">
      <x v="1177"/>
      <x/>
    </i>
    <i r="3">
      <x v="2"/>
    </i>
    <i r="4">
      <x v="51"/>
      <x v="10"/>
    </i>
    <i r="1">
      <x v="1178"/>
      <x/>
    </i>
    <i r="3">
      <x v="2"/>
    </i>
    <i r="4">
      <x v="51"/>
      <x v="10"/>
    </i>
    <i r="1">
      <x v="1179"/>
      <x/>
    </i>
    <i r="3">
      <x v="2"/>
    </i>
    <i r="4">
      <x v="51"/>
      <x v="10"/>
    </i>
    <i r="1">
      <x v="1182"/>
      <x/>
    </i>
    <i r="3">
      <x v="2"/>
    </i>
    <i r="4">
      <x v="59"/>
      <x v="10"/>
    </i>
    <i r="1">
      <x v="1184"/>
      <x/>
    </i>
    <i r="3">
      <x v="2"/>
    </i>
    <i r="4">
      <x v="56"/>
      <x v="10"/>
    </i>
    <i r="1">
      <x v="1188"/>
      <x/>
    </i>
    <i r="3">
      <x v="3"/>
    </i>
    <i r="4">
      <x v="61"/>
      <x v="8"/>
    </i>
    <i r="1">
      <x v="1189"/>
      <x/>
    </i>
    <i r="3">
      <x v="2"/>
    </i>
    <i r="4">
      <x v="59"/>
      <x v="13"/>
    </i>
    <i r="1">
      <x v="1191"/>
      <x/>
    </i>
    <i r="3">
      <x v="2"/>
    </i>
    <i r="4">
      <x v="58"/>
      <x v="10"/>
    </i>
    <i r="1">
      <x v="1195"/>
      <x/>
    </i>
    <i r="3">
      <x v="3"/>
    </i>
    <i r="4">
      <x v="65"/>
      <x v="10"/>
    </i>
    <i r="1">
      <x v="1197"/>
      <x/>
    </i>
    <i r="3">
      <x v="3"/>
    </i>
    <i r="4">
      <x v="66"/>
      <x v="10"/>
    </i>
    <i r="1">
      <x v="1202"/>
      <x/>
    </i>
    <i r="3">
      <x v="5"/>
    </i>
    <i r="4">
      <x v="152"/>
      <x v="16"/>
    </i>
    <i r="1">
      <x v="1212"/>
      <x/>
    </i>
    <i r="3">
      <x v="5"/>
    </i>
    <i r="4">
      <x v="152"/>
      <x v="10"/>
    </i>
    <i r="1">
      <x v="1228"/>
      <x/>
    </i>
    <i r="3">
      <x v="3"/>
    </i>
    <i r="4">
      <x v="80"/>
      <x v="10"/>
    </i>
    <i r="1">
      <x v="1232"/>
      <x/>
    </i>
    <i r="3">
      <x v="3"/>
    </i>
    <i r="4">
      <x v="91"/>
      <x v="10"/>
    </i>
    <i r="3">
      <x v="4"/>
    </i>
    <i r="4">
      <x v="101"/>
      <x v="10"/>
    </i>
    <i r="1">
      <x v="1233"/>
      <x/>
    </i>
    <i r="3">
      <x v="3"/>
    </i>
    <i r="4">
      <x v="91"/>
      <x v="10"/>
    </i>
    <i r="1">
      <x v="1234"/>
      <x/>
    </i>
    <i r="3">
      <x v="4"/>
    </i>
    <i r="4">
      <x v="121"/>
      <x v="10"/>
    </i>
    <i r="1">
      <x v="1238"/>
      <x/>
    </i>
    <i r="3">
      <x v="3"/>
    </i>
    <i r="4">
      <x v="91"/>
      <x v="13"/>
    </i>
    <i r="1">
      <x v="1239"/>
      <x/>
    </i>
    <i r="3">
      <x v="3"/>
    </i>
    <i r="4">
      <x v="91"/>
      <x v="10"/>
    </i>
    <i r="1">
      <x v="1240"/>
      <x/>
    </i>
    <i r="3">
      <x v="5"/>
    </i>
    <i r="4">
      <x v="152"/>
      <x v="8"/>
    </i>
    <i r="1">
      <x v="1241"/>
      <x/>
    </i>
    <i r="3">
      <x v="3"/>
    </i>
    <i r="4">
      <x v="87"/>
      <x v="10"/>
    </i>
    <i r="1">
      <x v="1242"/>
      <x/>
    </i>
    <i r="3">
      <x v="3"/>
    </i>
    <i r="4">
      <x v="89"/>
      <x v="13"/>
    </i>
    <i r="1">
      <x v="1248"/>
      <x/>
    </i>
    <i r="3">
      <x v="3"/>
    </i>
    <i r="4">
      <x v="89"/>
      <x v="10"/>
    </i>
    <i r="1">
      <x v="1249"/>
      <x/>
    </i>
    <i r="3">
      <x v="3"/>
    </i>
    <i r="4">
      <x v="89"/>
      <x v="10"/>
    </i>
    <i r="1">
      <x v="1251"/>
      <x/>
    </i>
    <i r="3">
      <x v="4"/>
    </i>
    <i r="4">
      <x v="92"/>
      <x v="10"/>
    </i>
    <i r="1">
      <x v="1254"/>
      <x/>
    </i>
    <i r="3">
      <x v="4"/>
    </i>
    <i r="4">
      <x v="95"/>
      <x v="10"/>
    </i>
    <i r="1">
      <x v="1255"/>
      <x/>
    </i>
    <i r="3">
      <x v="4"/>
    </i>
    <i r="4">
      <x v="96"/>
      <x v="10"/>
    </i>
    <i r="1">
      <x v="1258"/>
      <x/>
    </i>
    <i r="3">
      <x v="5"/>
    </i>
    <i r="4">
      <x v="152"/>
      <x v="11"/>
    </i>
    <i r="1">
      <x v="1259"/>
      <x/>
    </i>
    <i r="3">
      <x v="4"/>
    </i>
    <i r="4">
      <x v="121"/>
      <x v="8"/>
    </i>
    <i r="1">
      <x v="1264"/>
      <x/>
    </i>
    <i r="3">
      <x v="4"/>
    </i>
    <i r="4">
      <x v="103"/>
      <x v="10"/>
    </i>
    <i r="1">
      <x v="1269"/>
      <x/>
    </i>
    <i r="3">
      <x v="5"/>
    </i>
    <i r="4">
      <x v="152"/>
      <x v="11"/>
    </i>
    <i r="1">
      <x v="1270"/>
      <x/>
    </i>
    <i r="3">
      <x v="5"/>
    </i>
    <i r="4">
      <x v="152"/>
      <x v="16"/>
    </i>
    <i r="1">
      <x v="1277"/>
      <x/>
    </i>
    <i r="3">
      <x v="4"/>
    </i>
    <i r="4">
      <x v="103"/>
      <x v="10"/>
    </i>
    <i r="1">
      <x v="1278"/>
      <x/>
    </i>
    <i r="3">
      <x v="4"/>
    </i>
    <i r="4">
      <x v="101"/>
      <x v="10"/>
    </i>
    <i r="1">
      <x v="1281"/>
      <x/>
    </i>
    <i r="3">
      <x v="4"/>
    </i>
    <i r="4">
      <x v="103"/>
      <x v="10"/>
    </i>
    <i r="1">
      <x v="1283"/>
      <x/>
    </i>
    <i r="3">
      <x v="4"/>
    </i>
    <i r="4">
      <x v="107"/>
      <x v="10"/>
    </i>
    <i r="1">
      <x v="1285"/>
      <x/>
    </i>
    <i r="3">
      <x v="5"/>
    </i>
    <i r="4">
      <x v="152"/>
      <x v="8"/>
    </i>
    <i r="1">
      <x v="1290"/>
      <x/>
    </i>
    <i r="3">
      <x v="4"/>
    </i>
    <i r="4">
      <x v="109"/>
      <x v="10"/>
    </i>
    <i r="1">
      <x v="1292"/>
      <x/>
    </i>
    <i r="3">
      <x v="5"/>
    </i>
    <i r="4">
      <x v="152"/>
      <x v="8"/>
    </i>
    <i r="1">
      <x v="1293"/>
      <x/>
    </i>
    <i r="3">
      <x v="4"/>
    </i>
    <i r="4">
      <x v="114"/>
      <x v="10"/>
    </i>
    <i r="1">
      <x v="1304"/>
      <x/>
    </i>
    <i r="3">
      <x v="4"/>
    </i>
    <i r="4">
      <x v="116"/>
      <x v="22"/>
    </i>
    <i r="1">
      <x v="1319"/>
      <x/>
    </i>
    <i r="3">
      <x v="5"/>
    </i>
    <i r="4">
      <x v="152"/>
      <x v="10"/>
    </i>
    <i r="1">
      <x v="1320"/>
      <x/>
    </i>
    <i r="3">
      <x v="5"/>
    </i>
    <i r="4">
      <x v="152"/>
      <x v="13"/>
    </i>
    <i>
      <x v="25"/>
      <x v="80"/>
      <x/>
    </i>
    <i r="3">
      <x v="10"/>
    </i>
    <i r="4">
      <x v="305"/>
      <x v="11"/>
    </i>
    <i r="1">
      <x v="262"/>
      <x/>
    </i>
    <i r="3">
      <x v="5"/>
    </i>
    <i r="4">
      <x v="148"/>
      <x v="8"/>
    </i>
    <i r="1">
      <x v="273"/>
      <x/>
    </i>
    <i r="3">
      <x v="6"/>
    </i>
    <i r="4">
      <x v="182"/>
      <x v="8"/>
    </i>
    <i r="1">
      <x v="1139"/>
      <x/>
    </i>
    <i r="3">
      <x v="2"/>
    </i>
    <i r="4">
      <x v="46"/>
      <x v="22"/>
    </i>
    <i>
      <x v="26"/>
      <x v="1102"/>
      <x/>
    </i>
    <i r="3">
      <x v="1"/>
    </i>
    <i r="4">
      <x v="31"/>
      <x v="10"/>
    </i>
    <i>
      <x v="28"/>
      <x v="193"/>
      <x/>
    </i>
    <i r="3">
      <x v="1"/>
    </i>
    <i r="4">
      <x v="2"/>
      <x v="10"/>
    </i>
    <i r="1">
      <x v="202"/>
      <x/>
    </i>
    <i r="3">
      <x v="5"/>
    </i>
    <i r="4">
      <x v="152"/>
      <x v="13"/>
    </i>
    <i r="1">
      <x v="295"/>
      <x/>
    </i>
    <i r="3">
      <x v="1"/>
    </i>
    <i r="4">
      <x v="31"/>
      <x v="13"/>
    </i>
    <i>
      <x v="29"/>
      <x v="80"/>
      <x/>
    </i>
    <i r="3">
      <x v="6"/>
    </i>
    <i r="4">
      <x v="162"/>
      <x v="16"/>
    </i>
    <i r="1">
      <x v="309"/>
      <x/>
    </i>
    <i r="3">
      <x v="3"/>
    </i>
    <i r="4">
      <x v="91"/>
      <x v="22"/>
    </i>
    <i r="1">
      <x v="1157"/>
      <x/>
    </i>
    <i r="3">
      <x v="2"/>
    </i>
    <i r="4">
      <x v="42"/>
      <x v="10"/>
    </i>
    <i r="1">
      <x v="1271"/>
      <x/>
    </i>
    <i r="3">
      <x v="4"/>
    </i>
    <i r="4">
      <x v="121"/>
      <x v="22"/>
    </i>
    <i>
      <x v="31"/>
      <x v="90"/>
      <x/>
    </i>
    <i r="3">
      <x v="12"/>
    </i>
    <i r="4">
      <x v="366"/>
      <x v="14"/>
    </i>
    <i r="1">
      <x v="92"/>
      <x/>
    </i>
    <i r="3">
      <x v="12"/>
    </i>
    <i r="4">
      <x v="366"/>
      <x v="14"/>
    </i>
    <i r="1">
      <x v="106"/>
      <x/>
    </i>
    <i r="3">
      <x v="2"/>
    </i>
    <i r="4">
      <x v="44"/>
      <x v="10"/>
    </i>
    <i r="1">
      <x v="226"/>
      <x/>
    </i>
    <i r="3">
      <x v="1"/>
    </i>
    <i r="4">
      <x v="30"/>
      <x v="10"/>
    </i>
    <i r="1">
      <x v="279"/>
      <x/>
    </i>
    <i r="3">
      <x v="12"/>
    </i>
    <i r="4">
      <x v="366"/>
      <x v="10"/>
    </i>
    <i r="1">
      <x v="280"/>
      <x/>
    </i>
    <i r="3">
      <x v="12"/>
    </i>
    <i r="4">
      <x v="366"/>
      <x v="8"/>
    </i>
    <i r="1">
      <x v="527"/>
      <x/>
    </i>
    <i r="3">
      <x v="3"/>
    </i>
    <i r="4">
      <x v="80"/>
      <x v="10"/>
    </i>
    <i r="1">
      <x v="1111"/>
      <x/>
    </i>
    <i r="3">
      <x v="1"/>
    </i>
    <i r="4">
      <x v="16"/>
      <x v="10"/>
    </i>
    <i r="1">
      <x v="1122"/>
      <x/>
    </i>
    <i r="3">
      <x v="1"/>
    </i>
    <i r="4">
      <x v="28"/>
      <x v="10"/>
    </i>
    <i r="1">
      <x v="1130"/>
      <x/>
    </i>
    <i r="3">
      <x v="2"/>
    </i>
    <i r="4">
      <x v="59"/>
      <x v="10"/>
    </i>
    <i r="1">
      <x v="1154"/>
      <x/>
    </i>
    <i r="3">
      <x v="2"/>
    </i>
    <i r="4">
      <x v="39"/>
      <x v="10"/>
    </i>
    <i r="1">
      <x v="1164"/>
      <x/>
    </i>
    <i r="3">
      <x v="2"/>
    </i>
    <i r="4">
      <x v="44"/>
      <x v="10"/>
    </i>
    <i r="1">
      <x v="1192"/>
      <x/>
    </i>
    <i r="3">
      <x v="2"/>
    </i>
    <i r="4">
      <x v="59"/>
      <x v="10"/>
    </i>
    <i r="1">
      <x v="1236"/>
      <x/>
    </i>
    <i r="3">
      <x v="3"/>
    </i>
    <i r="4">
      <x v="87"/>
      <x v="10"/>
    </i>
    <i r="1">
      <x v="1252"/>
      <x/>
    </i>
    <i r="3">
      <x v="4"/>
    </i>
    <i r="4">
      <x v="92"/>
      <x v="13"/>
    </i>
    <i r="1">
      <x v="1256"/>
      <x/>
    </i>
    <i r="3">
      <x v="4"/>
    </i>
    <i r="4">
      <x v="96"/>
      <x v="10"/>
    </i>
    <i r="1">
      <x v="1288"/>
      <x/>
    </i>
    <i r="3">
      <x v="4"/>
    </i>
    <i r="4">
      <x v="108"/>
      <x v="10"/>
    </i>
    <i r="1">
      <x v="1307"/>
      <x/>
    </i>
    <i r="3">
      <x v="4"/>
    </i>
    <i r="4">
      <x v="120"/>
      <x v="10"/>
    </i>
    <i>
      <x v="32"/>
      <x v="80"/>
      <x/>
    </i>
    <i r="3">
      <x v="3"/>
    </i>
    <i r="4">
      <x v="89"/>
      <x v="13"/>
    </i>
    <i r="1">
      <x v="193"/>
      <x/>
    </i>
    <i r="3">
      <x v="2"/>
    </i>
    <i r="4">
      <x v="39"/>
      <x v="10"/>
    </i>
    <i r="1">
      <x v="1225"/>
      <x/>
    </i>
    <i r="3">
      <x v="3"/>
    </i>
    <i r="4">
      <x v="74"/>
      <x v="10"/>
    </i>
    <i>
      <x v="33"/>
      <x v="80"/>
      <x/>
    </i>
    <i r="3">
      <x v="9"/>
    </i>
    <i r="4">
      <x v="274"/>
      <x v="12"/>
    </i>
    <i r="1">
      <x v="1208"/>
      <x/>
    </i>
    <i r="3">
      <x v="5"/>
    </i>
    <i r="4">
      <x v="152"/>
      <x v="13"/>
    </i>
    <i>
      <x v="37"/>
      <x v="80"/>
      <x/>
    </i>
    <i r="3">
      <x v="3"/>
    </i>
    <i r="4">
      <x v="82"/>
      <x v="24"/>
    </i>
    <i r="1">
      <x v="224"/>
      <x/>
    </i>
    <i r="3">
      <x v="5"/>
    </i>
    <i r="4">
      <x v="122"/>
      <x v="13"/>
    </i>
    <i r="1">
      <x v="249"/>
      <x/>
    </i>
    <i r="3">
      <x v="4"/>
    </i>
    <i r="4">
      <x v="98"/>
      <x v="10"/>
    </i>
    <i r="1">
      <x v="527"/>
      <x/>
    </i>
    <i r="3">
      <x v="4"/>
    </i>
    <i r="4">
      <x v="120"/>
      <x v="10"/>
    </i>
    <i r="1">
      <x v="1140"/>
      <x/>
    </i>
    <i r="3">
      <x v="2"/>
    </i>
    <i r="4">
      <x v="32"/>
      <x v="10"/>
    </i>
    <i r="1">
      <x v="1186"/>
      <x/>
    </i>
    <i r="3">
      <x v="2"/>
    </i>
    <i r="4">
      <x v="59"/>
      <x v="13"/>
    </i>
    <i r="1">
      <x v="1313"/>
      <x/>
    </i>
    <i r="3">
      <x v="5"/>
    </i>
    <i r="4">
      <x v="122"/>
      <x v="8"/>
    </i>
    <i>
      <x v="38"/>
      <x v="236"/>
      <x/>
    </i>
    <i r="3">
      <x v="4"/>
    </i>
    <i r="4">
      <x v="98"/>
      <x v="10"/>
    </i>
    <i>
      <x v="42"/>
      <x v="80"/>
      <x/>
    </i>
    <i r="3">
      <x v="8"/>
    </i>
    <i r="4">
      <x v="243"/>
      <x v="12"/>
    </i>
    <i r="1">
      <x v="94"/>
      <x/>
    </i>
    <i r="3">
      <x v="3"/>
    </i>
    <i r="4">
      <x v="91"/>
      <x v="10"/>
    </i>
    <i r="1">
      <x v="277"/>
      <x/>
    </i>
    <i r="3">
      <x v="5"/>
    </i>
    <i r="4">
      <x v="152"/>
      <x v="15"/>
    </i>
    <i r="1">
      <x v="532"/>
      <x/>
    </i>
    <i r="3">
      <x v="1"/>
    </i>
    <i r="4">
      <x v="7"/>
      <x v="10"/>
    </i>
    <i r="1">
      <x v="1196"/>
      <x/>
    </i>
    <i r="3">
      <x v="3"/>
    </i>
    <i r="4">
      <x v="66"/>
      <x v="10"/>
    </i>
    <i r="1">
      <x v="1199"/>
      <x/>
    </i>
    <i r="3">
      <x v="3"/>
    </i>
    <i r="4">
      <x v="91"/>
      <x v="10"/>
    </i>
    <i r="1">
      <x v="1213"/>
      <x/>
    </i>
    <i r="3">
      <x v="4"/>
    </i>
    <i r="4">
      <x v="121"/>
      <x v="13"/>
    </i>
    <i r="1">
      <x v="1219"/>
      <x/>
    </i>
    <i r="3">
      <x v="3"/>
    </i>
    <i r="4">
      <x v="78"/>
      <x v="10"/>
    </i>
    <i r="1">
      <x v="1229"/>
      <x/>
    </i>
    <i r="3">
      <x v="3"/>
    </i>
    <i r="4">
      <x v="87"/>
      <x v="15"/>
    </i>
    <i r="1">
      <x v="1235"/>
      <x/>
    </i>
    <i r="3">
      <x v="11"/>
    </i>
    <i r="4">
      <x v="335"/>
      <x v="8"/>
    </i>
    <i r="1">
      <x v="1272"/>
      <x/>
    </i>
    <i r="3">
      <x v="4"/>
    </i>
    <i r="4">
      <x v="102"/>
      <x v="10"/>
    </i>
    <i>
      <x v="43"/>
      <x v="272"/>
      <x/>
    </i>
    <i r="3">
      <x v="5"/>
    </i>
    <i r="4">
      <x v="152"/>
      <x v="16"/>
    </i>
    <i r="1">
      <x v="282"/>
      <x/>
    </i>
    <i r="3">
      <x v="3"/>
    </i>
    <i r="4">
      <x v="91"/>
      <x v="14"/>
    </i>
    <i r="1">
      <x v="307"/>
      <x/>
    </i>
    <i r="3">
      <x v="2"/>
    </i>
    <i r="4">
      <x v="59"/>
      <x v="22"/>
    </i>
    <i r="1">
      <x v="314"/>
      <x/>
    </i>
    <i r="3">
      <x v="3"/>
    </i>
    <i r="4">
      <x v="91"/>
      <x v="13"/>
    </i>
    <i r="1">
      <x v="1322"/>
      <x/>
    </i>
    <i r="3">
      <x v="5"/>
    </i>
    <i r="4">
      <x v="152"/>
      <x v="8"/>
    </i>
    <i>
      <x v="44"/>
      <x v="93"/>
      <x/>
    </i>
    <i r="3">
      <x v="6"/>
    </i>
    <i r="4">
      <x v="174"/>
      <x v="23"/>
    </i>
    <i r="1">
      <x v="281"/>
      <x/>
    </i>
    <i r="3">
      <x v="12"/>
    </i>
    <i r="4">
      <x v="366"/>
      <x v="8"/>
    </i>
    <i r="1">
      <x v="1110"/>
      <x/>
    </i>
    <i r="3">
      <x v="1"/>
    </i>
    <i r="4">
      <x v="16"/>
      <x v="10"/>
    </i>
    <i r="1">
      <x v="1136"/>
      <x/>
    </i>
    <i r="3">
      <x v="1"/>
    </i>
    <i r="4">
      <x v="30"/>
      <x v="10"/>
    </i>
    <i r="1">
      <x v="1217"/>
      <x/>
    </i>
    <i r="3">
      <x v="3"/>
    </i>
    <i r="4">
      <x v="74"/>
      <x v="10"/>
    </i>
    <i>
      <x v="45"/>
      <x v="193"/>
      <x/>
    </i>
    <i r="3">
      <x v="5"/>
    </i>
    <i r="4">
      <x v="152"/>
      <x v="10"/>
    </i>
    <i r="1">
      <x v="234"/>
      <x/>
    </i>
    <i r="3">
      <x v="4"/>
    </i>
    <i r="4">
      <x v="92"/>
      <x v="10"/>
    </i>
    <i r="1">
      <x v="260"/>
      <x/>
    </i>
    <i r="3">
      <x v="3"/>
    </i>
    <i r="4">
      <x v="73"/>
      <x v="10"/>
    </i>
    <i r="1">
      <x v="316"/>
      <x/>
    </i>
    <i r="3">
      <x v="1"/>
    </i>
    <i r="4">
      <x v="2"/>
      <x v="10"/>
    </i>
    <i r="1">
      <x v="1150"/>
      <x/>
    </i>
    <i r="3">
      <x v="3"/>
    </i>
    <i r="4">
      <x v="91"/>
      <x v="22"/>
    </i>
    <i r="1">
      <x v="1173"/>
      <x/>
    </i>
    <i r="3">
      <x v="3"/>
    </i>
    <i r="4">
      <x v="91"/>
      <x v="22"/>
    </i>
    <i r="1">
      <x v="1218"/>
      <x/>
    </i>
    <i r="3">
      <x v="3"/>
    </i>
    <i r="4">
      <x v="75"/>
      <x v="10"/>
    </i>
    <i r="3">
      <x v="5"/>
    </i>
    <i r="4">
      <x v="152"/>
      <x v="12"/>
    </i>
    <i r="1">
      <x v="1325"/>
      <x/>
    </i>
    <i r="3">
      <x v="6"/>
    </i>
    <i r="4">
      <x v="182"/>
      <x v="8"/>
    </i>
    <i>
      <x v="46"/>
      <x v="80"/>
      <x/>
    </i>
    <i r="3">
      <x v="1"/>
    </i>
    <i r="4">
      <x v="28"/>
      <x v="10"/>
    </i>
    <i r="1">
      <x v="275"/>
      <x/>
    </i>
    <i r="3">
      <x v="12"/>
    </i>
    <i r="4">
      <x v="366"/>
      <x v="8"/>
    </i>
    <i r="1">
      <x v="279"/>
      <x/>
    </i>
    <i r="3">
      <x v="3"/>
    </i>
    <i r="4">
      <x v="91"/>
      <x v="13"/>
    </i>
    <i>
      <x v="48"/>
      <x v="1108"/>
      <x/>
    </i>
    <i r="3">
      <x v="6"/>
    </i>
    <i r="4">
      <x v="167"/>
      <x v="11"/>
    </i>
    <i r="1">
      <x v="1109"/>
      <x/>
    </i>
    <i r="3">
      <x v="8"/>
    </i>
    <i r="4">
      <x v="228"/>
      <x v="11"/>
    </i>
    <i r="1">
      <x v="1132"/>
      <x/>
    </i>
    <i r="3">
      <x v="4"/>
    </i>
    <i r="4">
      <x v="121"/>
      <x v="10"/>
    </i>
    <i r="1">
      <x v="1133"/>
      <x/>
    </i>
    <i r="3">
      <x v="4"/>
    </i>
    <i r="4">
      <x v="121"/>
      <x v="10"/>
    </i>
    <i r="1">
      <x v="1308"/>
      <x/>
    </i>
    <i r="3">
      <x v="4"/>
    </i>
    <i r="4">
      <x v="120"/>
      <x v="10"/>
    </i>
    <i>
      <x v="52"/>
      <x v="51"/>
      <x v="3"/>
    </i>
    <i r="3">
      <x/>
    </i>
    <i r="4">
      <x/>
      <x v="7"/>
    </i>
    <i>
      <x v="53"/>
      <x v="1216"/>
      <x/>
    </i>
    <i r="3">
      <x v="3"/>
    </i>
    <i r="4">
      <x v="71"/>
      <x v="13"/>
    </i>
    <i r="1">
      <x v="1315"/>
      <x/>
    </i>
    <i r="3">
      <x v="5"/>
    </i>
    <i r="4">
      <x v="138"/>
      <x v="8"/>
    </i>
    <i r="1">
      <x v="1321"/>
      <x/>
    </i>
    <i r="3">
      <x v="5"/>
    </i>
    <i r="4">
      <x v="152"/>
      <x v="8"/>
    </i>
    <i>
      <x v="54"/>
      <x v="85"/>
      <x/>
    </i>
    <i r="3">
      <x v="7"/>
    </i>
    <i r="4">
      <x v="213"/>
      <x v="12"/>
    </i>
    <i r="1">
      <x v="193"/>
      <x/>
    </i>
    <i r="3">
      <x v="1"/>
    </i>
    <i r="4">
      <x v="14"/>
      <x v="10"/>
    </i>
    <i r="1">
      <x v="1121"/>
      <x/>
    </i>
    <i r="3">
      <x v="3"/>
    </i>
    <i r="4">
      <x v="91"/>
      <x v="22"/>
    </i>
    <i r="1">
      <x v="1180"/>
      <x/>
    </i>
    <i r="3">
      <x v="3"/>
    </i>
    <i r="4">
      <x v="91"/>
      <x v="10"/>
    </i>
    <i>
      <x v="55"/>
      <x v="238"/>
      <x/>
    </i>
    <i r="3">
      <x v="1"/>
    </i>
    <i r="4">
      <x v="31"/>
      <x v="22"/>
    </i>
    <i>
      <x v="57"/>
      <x v="80"/>
      <x/>
    </i>
    <i r="3">
      <x v="7"/>
    </i>
    <i r="4">
      <x v="190"/>
      <x v="16"/>
    </i>
    <i r="1">
      <x v="1159"/>
      <x/>
    </i>
    <i r="3">
      <x v="2"/>
    </i>
    <i r="4">
      <x v="44"/>
      <x v="10"/>
    </i>
    <i r="1">
      <x v="1187"/>
      <x/>
    </i>
    <i r="3">
      <x v="2"/>
    </i>
    <i r="4">
      <x v="59"/>
      <x v="10"/>
    </i>
    <i>
      <x v="59"/>
      <x v="192"/>
      <x/>
    </i>
    <i r="3">
      <x v="9"/>
    </i>
    <i r="4">
      <x v="274"/>
      <x v="13"/>
    </i>
    <i r="1">
      <x v="309"/>
      <x/>
    </i>
    <i r="3">
      <x v="3"/>
    </i>
    <i r="4">
      <x v="89"/>
      <x v="10"/>
    </i>
    <i r="1">
      <x v="1253"/>
      <x/>
    </i>
    <i r="3">
      <x v="4"/>
    </i>
    <i r="4">
      <x v="92"/>
      <x v="10"/>
    </i>
    <i r="1">
      <x v="1295"/>
      <x/>
    </i>
    <i r="3">
      <x v="4"/>
    </i>
    <i r="4">
      <x v="115"/>
      <x v="10"/>
    </i>
    <i>
      <x v="60"/>
      <x v="1298"/>
      <x/>
    </i>
    <i r="3">
      <x v="5"/>
    </i>
    <i r="4">
      <x v="152"/>
      <x v="8"/>
    </i>
    <i r="1">
      <x v="1301"/>
      <x/>
    </i>
    <i r="3">
      <x v="5"/>
    </i>
    <i r="4">
      <x v="152"/>
      <x v="13"/>
    </i>
    <i>
      <x v="61"/>
      <x v="1138"/>
      <x/>
    </i>
    <i r="3">
      <x v="2"/>
    </i>
    <i r="4">
      <x v="32"/>
      <x v="22"/>
    </i>
    <i r="1">
      <x v="1224"/>
      <x/>
    </i>
    <i r="3">
      <x v="4"/>
    </i>
    <i r="4">
      <x v="108"/>
      <x v="10"/>
    </i>
    <i r="1">
      <x v="1275"/>
      <x/>
    </i>
    <i r="3">
      <x v="5"/>
    </i>
    <i r="4">
      <x v="152"/>
      <x v="8"/>
    </i>
    <i r="1">
      <x v="1296"/>
      <x/>
    </i>
    <i r="3">
      <x v="4"/>
    </i>
    <i r="4">
      <x v="117"/>
      <x v="10"/>
    </i>
    <i>
      <x v="62"/>
      <x v="79"/>
      <x/>
    </i>
    <i r="3">
      <x v="8"/>
    </i>
    <i r="4">
      <x v="244"/>
      <x v="11"/>
    </i>
    <i r="1">
      <x v="201"/>
      <x/>
    </i>
    <i r="3">
      <x v="3"/>
    </i>
    <i r="4">
      <x v="91"/>
      <x v="10"/>
    </i>
    <i r="1">
      <x v="280"/>
      <x/>
    </i>
    <i r="3">
      <x v="5"/>
    </i>
    <i r="4">
      <x v="152"/>
      <x v="8"/>
    </i>
    <i r="1">
      <x v="315"/>
      <x/>
    </i>
    <i r="3">
      <x v="1"/>
    </i>
    <i r="4">
      <x v="2"/>
      <x v="22"/>
    </i>
    <i r="1">
      <x v="320"/>
      <x/>
    </i>
    <i r="3">
      <x v="1"/>
    </i>
    <i r="4">
      <x v="4"/>
      <x v="10"/>
    </i>
    <i r="1">
      <x v="1129"/>
      <x/>
    </i>
    <i r="3">
      <x v="2"/>
    </i>
    <i r="4">
      <x v="40"/>
      <x v="10"/>
    </i>
    <i r="1">
      <x v="1189"/>
      <x/>
    </i>
    <i r="3">
      <x v="3"/>
    </i>
    <i r="4">
      <x v="75"/>
      <x v="10"/>
    </i>
    <i r="1">
      <x v="1227"/>
      <x/>
    </i>
    <i r="3">
      <x v="3"/>
    </i>
    <i r="4">
      <x v="78"/>
      <x v="10"/>
    </i>
    <i r="1">
      <x v="1261"/>
      <x/>
    </i>
    <i r="3">
      <x v="4"/>
    </i>
    <i r="4">
      <x v="121"/>
      <x v="22"/>
    </i>
    <i r="1">
      <x v="1262"/>
      <x/>
    </i>
    <i r="3">
      <x v="4"/>
    </i>
    <i r="4">
      <x v="99"/>
      <x v="10"/>
    </i>
    <i>
      <x v="63"/>
      <x v="205"/>
      <x/>
    </i>
    <i r="3">
      <x v="12"/>
    </i>
    <i r="4">
      <x v="366"/>
      <x v="12"/>
    </i>
    <i r="1">
      <x v="317"/>
      <x/>
    </i>
    <i r="3">
      <x v="1"/>
    </i>
    <i r="4">
      <x v="31"/>
      <x v="10"/>
    </i>
    <i>
      <x v="64"/>
      <x v="80"/>
      <x/>
    </i>
    <i r="3">
      <x v="5"/>
    </i>
    <i r="4">
      <x v="143"/>
      <x v="16"/>
    </i>
    <i r="1">
      <x v="273"/>
      <x/>
    </i>
    <i r="3">
      <x v="5"/>
    </i>
    <i r="4">
      <x v="152"/>
      <x v="15"/>
    </i>
    <i r="1">
      <x v="303"/>
      <x/>
    </i>
    <i r="3">
      <x v="2"/>
    </i>
    <i r="4">
      <x v="59"/>
      <x v="22"/>
    </i>
    <i r="1">
      <x v="304"/>
      <x/>
    </i>
    <i r="3">
      <x v="4"/>
    </i>
    <i r="4">
      <x v="121"/>
      <x v="10"/>
    </i>
    <i>
      <x v="65"/>
      <x v="273"/>
      <x/>
    </i>
    <i r="3">
      <x v="2"/>
    </i>
    <i r="4">
      <x v="59"/>
      <x v="8"/>
    </i>
    <i r="1">
      <x v="1194"/>
      <x/>
    </i>
    <i r="3">
      <x v="3"/>
    </i>
    <i r="4">
      <x v="64"/>
      <x v="10"/>
    </i>
    <i>
      <x v="66"/>
      <x v="224"/>
      <x/>
    </i>
    <i r="3">
      <x v="1"/>
    </i>
    <i r="4">
      <x v="16"/>
      <x v="10"/>
    </i>
    <i>
      <x v="67"/>
      <x v="1214"/>
      <x/>
    </i>
    <i r="3">
      <x v="3"/>
    </i>
    <i r="4">
      <x v="91"/>
      <x v="10"/>
    </i>
    <i r="1">
      <x v="1215"/>
      <x/>
    </i>
    <i r="3">
      <x v="3"/>
    </i>
    <i r="4">
      <x v="71"/>
      <x v="10"/>
    </i>
    <i r="1">
      <x v="1226"/>
      <x/>
    </i>
    <i r="3">
      <x v="3"/>
    </i>
    <i r="4">
      <x v="75"/>
      <x v="10"/>
    </i>
    <i>
      <x v="69"/>
      <x v="313"/>
      <x/>
    </i>
    <i r="3">
      <x v="4"/>
    </i>
    <i r="4">
      <x v="121"/>
      <x v="12"/>
    </i>
    <i>
      <x v="71"/>
      <x v="272"/>
      <x/>
    </i>
    <i r="3">
      <x v="5"/>
    </i>
    <i r="4">
      <x v="152"/>
      <x v="13"/>
    </i>
    <i r="1">
      <x v="283"/>
      <x/>
    </i>
    <i r="3">
      <x v="5"/>
    </i>
    <i r="4">
      <x v="152"/>
      <x v="13"/>
    </i>
    <i r="1">
      <x v="284"/>
      <x/>
    </i>
    <i r="3">
      <x v="5"/>
    </i>
    <i r="4">
      <x v="152"/>
      <x v="13"/>
    </i>
    <i r="1">
      <x v="1115"/>
      <x/>
    </i>
    <i r="3">
      <x v="1"/>
    </i>
    <i r="4">
      <x v="31"/>
      <x v="22"/>
    </i>
    <i r="1">
      <x v="1312"/>
      <x/>
    </i>
    <i r="3">
      <x v="5"/>
    </i>
    <i r="4">
      <x v="122"/>
      <x v="8"/>
    </i>
    <i>
      <x v="72"/>
      <x v="66"/>
      <x/>
    </i>
    <i r="3">
      <x v="5"/>
    </i>
    <i r="4">
      <x v="122"/>
      <x v="8"/>
    </i>
    <i r="1">
      <x v="80"/>
      <x/>
    </i>
    <i r="3">
      <x v="6"/>
    </i>
    <i r="4">
      <x v="182"/>
      <x v="8"/>
    </i>
    <i r="1">
      <x v="1302"/>
      <x/>
    </i>
    <i r="3">
      <x v="4"/>
    </i>
    <i r="4">
      <x v="121"/>
      <x v="10"/>
    </i>
    <i r="1">
      <x v="1310"/>
      <x/>
    </i>
    <i r="3">
      <x v="4"/>
    </i>
    <i r="4">
      <x v="121"/>
      <x v="10"/>
    </i>
    <i>
      <x v="73"/>
      <x v="80"/>
      <x/>
    </i>
    <i r="3">
      <x v="3"/>
    </i>
    <i r="4">
      <x v="91"/>
      <x v="10"/>
    </i>
    <i r="1">
      <x v="292"/>
      <x/>
    </i>
    <i r="3">
      <x v="6"/>
    </i>
    <i r="4">
      <x v="160"/>
      <x v="14"/>
    </i>
    <i r="1">
      <x v="527"/>
      <x/>
    </i>
    <i r="3">
      <x v="4"/>
    </i>
    <i r="4">
      <x v="121"/>
      <x v="10"/>
    </i>
    <i r="1">
      <x v="1190"/>
      <x/>
    </i>
    <i r="3">
      <x v="2"/>
    </i>
    <i r="4">
      <x v="59"/>
      <x v="13"/>
    </i>
    <i r="1">
      <x v="1220"/>
      <x/>
    </i>
    <i r="3">
      <x v="3"/>
    </i>
    <i r="4">
      <x v="91"/>
      <x v="10"/>
    </i>
    <i r="1">
      <x v="1257"/>
      <x/>
    </i>
    <i r="3">
      <x v="4"/>
    </i>
    <i r="4">
      <x v="103"/>
      <x v="10"/>
    </i>
    <i r="1">
      <x v="1279"/>
      <x/>
    </i>
    <i r="3">
      <x v="4"/>
    </i>
    <i r="4">
      <x v="110"/>
      <x v="10"/>
    </i>
    <i r="1">
      <x v="1287"/>
      <x/>
    </i>
    <i r="3">
      <x v="5"/>
    </i>
    <i r="4">
      <x v="152"/>
      <x v="13"/>
    </i>
    <i>
      <x v="74"/>
      <x v="294"/>
      <x/>
    </i>
    <i r="3">
      <x v="1"/>
    </i>
    <i r="4">
      <x v="1"/>
      <x v="10"/>
    </i>
    <i>
      <x v="76"/>
      <x v="80"/>
      <x/>
    </i>
    <i r="3">
      <x v="3"/>
    </i>
    <i r="4">
      <x v="91"/>
      <x v="22"/>
    </i>
    <i>
      <x v="287"/>
      <x v="1282"/>
      <x/>
    </i>
    <i r="3">
      <x v="5"/>
    </i>
    <i r="4">
      <x v="152"/>
      <x v="16"/>
    </i>
    <i>
      <x v="288"/>
      <x v="1149"/>
      <x/>
    </i>
    <i r="3">
      <x v="2"/>
    </i>
    <i r="4">
      <x v="59"/>
      <x v="8"/>
    </i>
    <i r="1">
      <x v="1318"/>
      <x/>
    </i>
    <i r="3">
      <x v="5"/>
    </i>
    <i r="4">
      <x v="152"/>
      <x v="16"/>
    </i>
    <i>
      <x v="289"/>
      <x v="1193"/>
      <x/>
    </i>
    <i r="3">
      <x v="3"/>
    </i>
    <i r="4">
      <x v="64"/>
      <x v="10"/>
    </i>
    <i r="1">
      <x v="1204"/>
      <x/>
    </i>
    <i r="3">
      <x v="3"/>
    </i>
    <i r="4">
      <x v="91"/>
      <x v="22"/>
    </i>
    <i>
      <x v="290"/>
      <x v="1200"/>
      <x/>
    </i>
    <i r="3">
      <x v="3"/>
    </i>
    <i r="4">
      <x v="91"/>
      <x v="13"/>
    </i>
    <i r="3">
      <x v="5"/>
    </i>
    <i r="4">
      <x v="148"/>
      <x v="13"/>
    </i>
    <i>
      <x v="291"/>
      <x v="900"/>
      <x/>
    </i>
    <i r="3">
      <x v="4"/>
    </i>
    <i r="4">
      <x v="118"/>
      <x v="8"/>
    </i>
    <i r="1">
      <x v="1230"/>
      <x/>
    </i>
    <i r="3">
      <x v="6"/>
    </i>
    <i r="4">
      <x v="182"/>
      <x v="8"/>
    </i>
    <i r="1">
      <x v="1231"/>
      <x/>
    </i>
    <i r="3">
      <x v="5"/>
    </i>
    <i r="4">
      <x v="152"/>
      <x v="8"/>
    </i>
    <i r="1">
      <x v="1237"/>
      <x/>
    </i>
    <i r="3">
      <x v="6"/>
    </i>
    <i r="4">
      <x v="182"/>
      <x v="8"/>
    </i>
    <i r="1">
      <x v="1250"/>
      <x/>
    </i>
    <i r="3">
      <x v="4"/>
    </i>
    <i r="4">
      <x v="92"/>
      <x v="10"/>
    </i>
    <i>
      <x v="292"/>
      <x v="1260"/>
      <x/>
    </i>
    <i r="3">
      <x v="5"/>
    </i>
    <i r="4">
      <x v="152"/>
      <x v="9"/>
    </i>
    <i>
      <x v="293"/>
      <x v="1324"/>
      <x/>
    </i>
    <i r="3">
      <x v="5"/>
    </i>
    <i r="4">
      <x v="152"/>
      <x v="8"/>
    </i>
    <i>
      <x v="294"/>
      <x v="1286"/>
      <x/>
    </i>
    <i r="3">
      <x v="4"/>
    </i>
    <i r="4">
      <x v="121"/>
      <x v="8"/>
    </i>
    <i>
      <x v="295"/>
      <x v="281"/>
      <x/>
    </i>
    <i r="3">
      <x v="12"/>
    </i>
    <i r="4">
      <x v="366"/>
      <x v="8"/>
    </i>
    <i>
      <x v="296"/>
      <x v="250"/>
      <x/>
    </i>
    <i r="3">
      <x v="4"/>
    </i>
    <i r="4">
      <x v="120"/>
      <x v="10"/>
    </i>
    <i r="1">
      <x v="1289"/>
      <x/>
    </i>
    <i r="3">
      <x v="4"/>
    </i>
    <i r="4">
      <x v="109"/>
      <x v="10"/>
    </i>
    <i r="1">
      <x v="1299"/>
      <x/>
    </i>
    <i r="3">
      <x v="4"/>
    </i>
    <i r="4">
      <x v="121"/>
      <x v="10"/>
    </i>
    <i>
      <x v="297"/>
      <x v="1291"/>
      <x/>
    </i>
    <i r="3">
      <x v="4"/>
    </i>
    <i r="4">
      <x v="113"/>
      <x v="10"/>
    </i>
    <i>
      <x v="298"/>
      <x v="1294"/>
      <x/>
    </i>
    <i r="3">
      <x v="4"/>
    </i>
    <i r="4">
      <x v="114"/>
      <x v="8"/>
    </i>
    <i r="1">
      <x v="1314"/>
      <x/>
    </i>
    <i r="3">
      <x v="5"/>
    </i>
    <i r="4">
      <x v="122"/>
      <x v="10"/>
    </i>
    <i r="1">
      <x v="1323"/>
      <x/>
    </i>
    <i r="3">
      <x v="5"/>
    </i>
    <i r="4">
      <x v="152"/>
      <x v="16"/>
    </i>
    <i t="grand">
      <x/>
    </i>
  </rowItems>
  <colItems count="1">
    <i/>
  </colItems>
  <dataFields count="1">
    <dataField name="Sum of Revenue" fld="9" baseField="0" baseItem="0" numFmtId="164"/>
  </dataFields>
  <formats count="3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334B9-B91C-426C-B06A-A23128F963D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C10" firstHeaderRow="1" firstDataRow="1" firstDataCol="2" rowPageCount="5" colPageCount="1"/>
  <pivotFields count="45">
    <pivotField subtotalTop="0" showAll="0"/>
    <pivotField showAll="0"/>
    <pivotField subtotalTop="0" showAll="0"/>
    <pivotField subtotalTop="0" showAll="0"/>
    <pivotField subtotalTop="0" showAll="0"/>
    <pivotField axis="axisPage" outline="0" subtotalTop="0" multipleItemSelectionAllowed="1" showAll="0" defaultSubtotal="0">
      <items count="368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/>
    <pivotField axis="axisPage" outline="0" subtotalTop="0" multipleItemSelectionAllowed="1" showAll="0" defaultSubtotal="0">
      <items count="299">
        <item x="7"/>
        <item x="26"/>
        <item x="31"/>
        <item m="1" x="159"/>
        <item x="33"/>
        <item x="40"/>
        <item x="24"/>
        <item m="1" x="277"/>
        <item m="1" x="290"/>
        <item m="1" x="176"/>
        <item x="29"/>
        <item x="2"/>
        <item x="32"/>
        <item x="14"/>
        <item x="3"/>
        <item x="39"/>
        <item x="19"/>
        <item x="47"/>
        <item m="1" x="70"/>
        <item m="1" x="279"/>
        <item m="1" x="103"/>
        <item m="1" x="253"/>
        <item x="4"/>
        <item m="1" x="220"/>
        <item m="1" x="174"/>
        <item x="8"/>
        <item x="28"/>
        <item x="36"/>
        <item m="1" x="185"/>
        <item x="1"/>
        <item x="20"/>
        <item m="1" x="181"/>
        <item x="34"/>
        <item x="17"/>
        <item x="27"/>
        <item m="1" x="97"/>
        <item m="1" x="146"/>
        <item h="1" x="46"/>
        <item m="1" x="201"/>
        <item x="16"/>
        <item x="51"/>
        <item m="1" x="152"/>
        <item m="1" x="262"/>
        <item m="1" x="194"/>
        <item x="23"/>
        <item x="43"/>
        <item x="21"/>
        <item x="30"/>
        <item x="49"/>
        <item m="1" x="207"/>
        <item x="15"/>
        <item m="1" x="293"/>
        <item m="1" x="240"/>
        <item m="1" x="287"/>
        <item x="61"/>
        <item x="38"/>
        <item m="1" x="71"/>
        <item x="22"/>
        <item m="1" x="132"/>
        <item x="48"/>
        <item x="56"/>
        <item x="10"/>
        <item x="25"/>
        <item x="37"/>
        <item x="6"/>
        <item x="42"/>
        <item x="35"/>
        <item x="45"/>
        <item m="1" x="217"/>
        <item h="1" x="11"/>
        <item h="1" m="1" x="205"/>
        <item h="1" x="13"/>
        <item h="1" x="12"/>
        <item h="1" x="9"/>
        <item h="1" x="0"/>
        <item h="1" m="1" x="222"/>
        <item h="1" x="18"/>
        <item h="1" m="1" x="66"/>
        <item h="1" m="1" x="208"/>
        <item h="1" m="1" x="100"/>
        <item h="1" m="1" x="64"/>
        <item h="1" m="1" x="113"/>
        <item h="1" m="1" x="161"/>
        <item h="1" m="1" x="131"/>
        <item h="1" m="1" x="94"/>
        <item h="1" m="1" x="263"/>
        <item h="1" m="1" x="88"/>
        <item h="1" m="1" x="183"/>
        <item h="1" m="1" x="170"/>
        <item h="1" m="1" x="294"/>
        <item h="1" m="1" x="147"/>
        <item h="1" m="1" x="67"/>
        <item h="1" m="1" x="111"/>
        <item h="1" m="1" x="255"/>
        <item h="1" m="1" x="246"/>
        <item h="1" m="1" x="284"/>
        <item h="1" m="1" x="162"/>
        <item h="1" m="1" x="227"/>
        <item h="1" m="1" x="241"/>
        <item h="1" m="1" x="202"/>
        <item h="1" m="1" x="108"/>
        <item h="1" m="1" x="281"/>
        <item h="1" m="1" x="90"/>
        <item h="1" m="1" x="296"/>
        <item h="1" m="1" x="76"/>
        <item h="1" m="1" x="204"/>
        <item h="1" m="1" x="80"/>
        <item h="1" m="1" x="182"/>
        <item h="1" m="1" x="62"/>
        <item h="1" m="1" x="180"/>
        <item h="1" m="1" x="216"/>
        <item h="1" m="1" x="193"/>
        <item h="1" m="1" x="196"/>
        <item h="1" m="1" x="254"/>
        <item h="1" m="1" x="142"/>
        <item h="1" m="1" x="214"/>
        <item h="1" m="1" x="95"/>
        <item h="1" m="1" x="186"/>
        <item h="1" m="1" x="171"/>
        <item h="1" m="1" x="184"/>
        <item h="1" m="1" x="139"/>
        <item h="1" m="1" x="257"/>
        <item h="1" m="1" x="198"/>
        <item h="1" m="1" x="286"/>
        <item h="1" m="1" x="99"/>
        <item h="1" m="1" x="145"/>
        <item h="1" m="1" x="75"/>
        <item h="1" m="1" x="252"/>
        <item h="1" m="1" x="166"/>
        <item h="1" m="1" x="109"/>
        <item h="1" m="1" x="128"/>
        <item h="1" m="1" x="117"/>
        <item h="1" m="1" x="273"/>
        <item h="1" m="1" x="63"/>
        <item h="1" m="1" x="110"/>
        <item h="1" m="1" x="225"/>
        <item h="1" m="1" x="121"/>
        <item h="1" m="1" x="271"/>
        <item h="1" m="1" x="259"/>
        <item h="1" m="1" x="168"/>
        <item h="1" m="1" x="239"/>
        <item h="1" m="1" x="86"/>
        <item h="1" m="1" x="291"/>
        <item h="1" m="1" x="206"/>
        <item h="1" m="1" x="199"/>
        <item h="1" m="1" x="231"/>
        <item h="1" m="1" x="84"/>
        <item h="1" m="1" x="256"/>
        <item h="1" m="1" x="221"/>
        <item h="1" m="1" x="119"/>
        <item h="1" m="1" x="148"/>
        <item h="1" m="1" x="93"/>
        <item h="1" m="1" x="264"/>
        <item h="1" m="1" x="238"/>
        <item h="1" m="1" x="244"/>
        <item h="1" m="1" x="77"/>
        <item h="1" m="1" x="228"/>
        <item h="1" m="1" x="79"/>
        <item h="1" m="1" x="266"/>
        <item h="1" m="1" x="261"/>
        <item h="1" m="1" x="169"/>
        <item h="1" m="1" x="153"/>
        <item h="1" m="1" x="120"/>
        <item h="1" m="1" x="223"/>
        <item h="1" m="1" x="160"/>
        <item h="1" m="1" x="164"/>
        <item h="1" m="1" x="233"/>
        <item h="1" m="1" x="249"/>
        <item h="1" m="1" x="134"/>
        <item h="1" m="1" x="232"/>
        <item h="1" m="1" x="151"/>
        <item h="1" m="1" x="105"/>
        <item h="1" m="1" x="85"/>
        <item h="1" m="1" x="215"/>
        <item h="1" m="1" x="298"/>
        <item h="1" m="1" x="265"/>
        <item h="1" m="1" x="65"/>
        <item h="1" m="1" x="297"/>
        <item h="1" m="1" x="130"/>
        <item h="1" m="1" x="190"/>
        <item h="1" m="1" x="102"/>
        <item h="1" m="1" x="236"/>
        <item h="1" m="1" x="87"/>
        <item h="1" m="1" x="91"/>
        <item h="1" m="1" x="292"/>
        <item h="1" m="1" x="260"/>
        <item h="1" m="1" x="230"/>
        <item h="1" m="1" x="177"/>
        <item h="1" m="1" x="137"/>
        <item h="1" m="1" x="218"/>
        <item h="1" m="1" x="118"/>
        <item h="1" m="1" x="122"/>
        <item h="1" m="1" x="144"/>
        <item h="1" m="1" x="141"/>
        <item h="1" m="1" x="126"/>
        <item h="1" m="1" x="295"/>
        <item h="1" m="1" x="154"/>
        <item h="1" m="1" x="81"/>
        <item h="1" m="1" x="101"/>
        <item h="1" m="1" x="242"/>
        <item h="1" m="1" x="197"/>
        <item h="1" m="1" x="127"/>
        <item h="1" m="1" x="251"/>
        <item h="1" m="1" x="172"/>
        <item h="1" m="1" x="125"/>
        <item h="1" m="1" x="98"/>
        <item h="1" m="1" x="274"/>
        <item h="1" m="1" x="237"/>
        <item h="1" m="1" x="179"/>
        <item h="1" m="1" x="200"/>
        <item h="1" m="1" x="107"/>
        <item h="1" m="1" x="123"/>
        <item h="1" m="1" x="69"/>
        <item h="1" m="1" x="209"/>
        <item h="1" m="1" x="289"/>
        <item h="1" m="1" x="278"/>
        <item h="1" m="1" x="224"/>
        <item h="1" m="1" x="96"/>
        <item h="1" m="1" x="82"/>
        <item h="1" m="1" x="247"/>
        <item h="1" m="1" x="195"/>
        <item h="1" m="1" x="124"/>
        <item h="1" m="1" x="243"/>
        <item h="1" m="1" x="245"/>
        <item h="1" m="1" x="163"/>
        <item h="1" m="1" x="258"/>
        <item h="1" m="1" x="272"/>
        <item h="1" m="1" x="116"/>
        <item h="1" m="1" x="165"/>
        <item h="1" m="1" x="280"/>
        <item h="1" m="1" x="73"/>
        <item h="1" m="1" x="250"/>
        <item h="1" m="1" x="140"/>
        <item h="1" m="1" x="210"/>
        <item h="1" m="1" x="268"/>
        <item h="1" m="1" x="189"/>
        <item h="1" m="1" x="234"/>
        <item h="1" m="1" x="155"/>
        <item h="1" m="1" x="248"/>
        <item h="1" m="1" x="150"/>
        <item h="1" m="1" x="188"/>
        <item h="1" m="1" x="203"/>
        <item h="1" m="1" x="213"/>
        <item h="1" m="1" x="276"/>
        <item h="1" m="1" x="178"/>
        <item h="1" m="1" x="72"/>
        <item h="1" m="1" x="219"/>
        <item h="1" m="1" x="226"/>
        <item h="1" m="1" x="112"/>
        <item h="1" m="1" x="283"/>
        <item h="1" m="1" x="191"/>
        <item h="1" m="1" x="135"/>
        <item h="1" m="1" x="267"/>
        <item h="1" m="1" x="74"/>
        <item h="1" m="1" x="211"/>
        <item h="1" m="1" x="78"/>
        <item h="1" m="1" x="149"/>
        <item h="1" m="1" x="106"/>
        <item h="1" m="1" x="167"/>
        <item h="1" m="1" x="282"/>
        <item h="1" m="1" x="115"/>
        <item h="1" m="1" x="129"/>
        <item h="1" m="1" x="89"/>
        <item h="1" m="1" x="269"/>
        <item h="1" m="1" x="275"/>
        <item h="1" m="1" x="158"/>
        <item h="1" m="1" x="285"/>
        <item h="1" m="1" x="156"/>
        <item h="1" m="1" x="157"/>
        <item h="1" m="1" x="143"/>
        <item h="1" m="1" x="114"/>
        <item h="1" m="1" x="212"/>
        <item h="1" m="1" x="138"/>
        <item h="1" m="1" x="92"/>
        <item h="1" m="1" x="173"/>
        <item h="1" m="1" x="187"/>
        <item h="1" m="1" x="175"/>
        <item h="1" m="1" x="104"/>
        <item h="1" m="1" x="192"/>
        <item h="1" m="1" x="68"/>
        <item h="1" m="1" x="235"/>
        <item h="1" m="1" x="270"/>
        <item h="1" m="1" x="133"/>
        <item h="1" m="1" x="136"/>
        <item h="1" m="1" x="229"/>
        <item h="1" m="1" x="83"/>
        <item h="1" m="1" x="288"/>
        <item h="1" x="57"/>
        <item h="1" x="41"/>
        <item h="1" x="44"/>
        <item h="1" x="5"/>
        <item h="1" x="50"/>
        <item h="1" x="58"/>
        <item h="1" x="59"/>
        <item h="1" x="55"/>
        <item h="1" x="60"/>
        <item h="1" x="52"/>
        <item h="1" x="53"/>
        <item h="1" x="54"/>
      </items>
    </pivotField>
    <pivotField axis="axisPage" outline="0" subtotalTop="0" showAll="0" defaultSubtotal="0">
      <items count="1326">
        <item m="1" x="643"/>
        <item m="1" x="281"/>
        <item m="1" x="595"/>
        <item m="1" x="1204"/>
        <item m="1" x="699"/>
        <item m="1" x="795"/>
        <item m="1" x="679"/>
        <item m="1" x="502"/>
        <item m="1" x="1238"/>
        <item m="1" x="311"/>
        <item m="1" x="362"/>
        <item m="1" x="487"/>
        <item m="1" x="1201"/>
        <item m="1" x="548"/>
        <item m="1" x="532"/>
        <item m="1" x="1258"/>
        <item m="1" x="638"/>
        <item m="1" x="1188"/>
        <item m="1" x="701"/>
        <item m="1" x="370"/>
        <item m="1" x="323"/>
        <item m="1" x="1230"/>
        <item m="1" x="675"/>
        <item m="1" x="613"/>
        <item m="1" x="707"/>
        <item m="1" x="289"/>
        <item m="1" x="948"/>
        <item m="1" x="1265"/>
        <item m="1" x="578"/>
        <item m="1" x="888"/>
        <item m="1" x="833"/>
        <item m="1" x="594"/>
        <item m="1" x="435"/>
        <item m="1" x="612"/>
        <item m="1" x="619"/>
        <item m="1" x="626"/>
        <item m="1" x="422"/>
        <item m="1" x="895"/>
        <item m="1" x="1015"/>
        <item m="1" x="621"/>
        <item m="1" x="599"/>
        <item m="1" x="1096"/>
        <item m="1" x="672"/>
        <item m="1" x="697"/>
        <item m="1" x="698"/>
        <item m="1" x="350"/>
        <item m="1" x="1056"/>
        <item m="1" x="499"/>
        <item m="1" x="665"/>
        <item m="1" x="549"/>
        <item m="1" x="1033"/>
        <item m="1" x="1192"/>
        <item m="1" x="1321"/>
        <item m="1" x="287"/>
        <item m="1" x="432"/>
        <item m="1" x="564"/>
        <item m="1" x="604"/>
        <item x="20"/>
        <item x="263"/>
        <item m="1" x="368"/>
        <item m="1" x="1028"/>
        <item m="1" x="967"/>
        <item m="1" x="424"/>
        <item m="1" x="606"/>
        <item m="1" x="283"/>
        <item x="264"/>
        <item m="1" x="1158"/>
        <item m="1" x="778"/>
        <item x="259"/>
        <item m="1" x="1030"/>
        <item m="1" x="469"/>
        <item x="198"/>
        <item m="1" x="456"/>
        <item m="1" x="535"/>
        <item x="17"/>
        <item x="16"/>
        <item m="1" x="607"/>
        <item x="23"/>
        <item m="1" x="781"/>
        <item m="1" x="914"/>
        <item m="1" x="1053"/>
        <item m="1" x="1229"/>
        <item m="1" x="727"/>
        <item m="1" x="521"/>
        <item m="1" x="738"/>
        <item m="1" x="865"/>
        <item m="1" x="1189"/>
        <item m="1" x="974"/>
        <item m="1" x="568"/>
        <item m="1" x="770"/>
        <item m="1" x="762"/>
        <item m="1" x="885"/>
        <item x="262"/>
        <item x="265"/>
        <item m="1" x="1177"/>
        <item m="1" x="872"/>
        <item m="1" x="587"/>
        <item x="266"/>
        <item m="1" x="520"/>
        <item m="1" x="1314"/>
        <item m="1" x="774"/>
        <item m="1" x="577"/>
        <item m="1" x="878"/>
        <item m="1" x="655"/>
        <item x="183"/>
        <item m="1" x="748"/>
        <item x="82"/>
        <item m="1" x="474"/>
        <item m="1" x="331"/>
        <item m="1" x="500"/>
        <item m="1" x="660"/>
        <item m="1" x="1277"/>
        <item m="1" x="306"/>
        <item m="1" x="309"/>
        <item m="1" x="464"/>
        <item m="1" x="1058"/>
        <item m="1" x="718"/>
        <item m="1" x="931"/>
        <item m="1" x="1286"/>
        <item m="1" x="351"/>
        <item m="1" x="687"/>
        <item m="1" x="285"/>
        <item m="1" x="1021"/>
        <item m="1" x="1292"/>
        <item m="1" x="868"/>
        <item m="1" x="1162"/>
        <item m="1" x="1235"/>
        <item m="1" x="797"/>
        <item m="1" x="360"/>
        <item m="1" x="760"/>
        <item m="1" x="763"/>
        <item m="1" x="793"/>
        <item m="1" x="359"/>
        <item m="1" x="308"/>
        <item m="1" x="661"/>
        <item m="1" x="721"/>
        <item m="1" x="353"/>
        <item m="1" x="1260"/>
        <item m="1" x="647"/>
        <item m="1" x="953"/>
        <item m="1" x="369"/>
        <item m="1" x="455"/>
        <item m="1" x="305"/>
        <item m="1" x="912"/>
        <item m="1" x="1101"/>
        <item m="1" x="1051"/>
        <item m="1" x="1092"/>
        <item m="1" x="546"/>
        <item m="1" x="1312"/>
        <item m="1" x="999"/>
        <item m="1" x="994"/>
        <item m="1" x="942"/>
        <item m="1" x="1194"/>
        <item m="1" x="1114"/>
        <item m="1" x="559"/>
        <item m="1" x="860"/>
        <item m="1" x="504"/>
        <item m="1" x="505"/>
        <item m="1" x="1261"/>
        <item m="1" x="380"/>
        <item m="1" x="680"/>
        <item m="1" x="409"/>
        <item m="1" x="935"/>
        <item m="1" x="951"/>
        <item m="1" x="625"/>
        <item m="1" x="1244"/>
        <item m="1" x="757"/>
        <item m="1" x="1268"/>
        <item m="1" x="298"/>
        <item m="1" x="857"/>
        <item m="1" x="1197"/>
        <item m="1" x="658"/>
        <item m="1" x="407"/>
        <item m="1" x="1013"/>
        <item m="1" x="534"/>
        <item m="1" x="640"/>
        <item m="1" x="496"/>
        <item m="1" x="900"/>
        <item m="1" x="330"/>
        <item m="1" x="788"/>
        <item m="1" x="834"/>
        <item x="2"/>
        <item m="1" x="1276"/>
        <item m="1" x="649"/>
        <item m="1" x="980"/>
        <item m="1" x="328"/>
        <item m="1" x="903"/>
        <item m="1" x="1036"/>
        <item m="1" x="1218"/>
        <item m="1" x="570"/>
        <item m="1" x="533"/>
        <item m="1" x="801"/>
        <item x="252"/>
        <item x="24"/>
        <item m="1" x="998"/>
        <item m="1" x="386"/>
        <item m="1" x="1054"/>
        <item m="1" x="617"/>
        <item m="1" x="299"/>
        <item m="1" x="952"/>
        <item m="1" x="755"/>
        <item x="137"/>
        <item x="234"/>
        <item m="1" x="316"/>
        <item m="1" x="819"/>
        <item x="257"/>
        <item m="1" x="358"/>
        <item m="1" x="450"/>
        <item m="1" x="1151"/>
        <item m="1" x="494"/>
        <item m="1" x="629"/>
        <item m="1" x="1029"/>
        <item m="1" x="1187"/>
        <item m="1" x="1203"/>
        <item m="1" x="295"/>
        <item x="251"/>
        <item m="1" x="560"/>
        <item m="1" x="804"/>
        <item m="1" x="1090"/>
        <item m="1" x="517"/>
        <item m="1" x="317"/>
        <item m="1" x="582"/>
        <item m="1" x="1223"/>
        <item m="1" x="513"/>
        <item x="41"/>
        <item m="1" x="1251"/>
        <item x="53"/>
        <item m="1" x="950"/>
        <item m="1" x="382"/>
        <item m="1" x="867"/>
        <item m="1" x="688"/>
        <item m="1" x="307"/>
        <item m="1" x="376"/>
        <item m="1" x="938"/>
        <item x="37"/>
        <item m="1" x="541"/>
        <item x="157"/>
        <item m="1" x="637"/>
        <item x="61"/>
        <item m="1" x="1034"/>
        <item m="1" x="512"/>
        <item m="1" x="695"/>
        <item m="1" x="1148"/>
        <item m="1" x="779"/>
        <item m="1" x="356"/>
        <item m="1" x="773"/>
        <item m="1" x="956"/>
        <item m="1" x="523"/>
        <item m="1" x="828"/>
        <item x="117"/>
        <item x="179"/>
        <item m="1" x="1299"/>
        <item m="1" x="1274"/>
        <item m="1" x="831"/>
        <item x="254"/>
        <item m="1" x="983"/>
        <item m="1" x="892"/>
        <item m="1" x="555"/>
        <item m="1" x="632"/>
        <item m="1" x="572"/>
        <item x="115"/>
        <item m="1" x="1234"/>
        <item x="204"/>
        <item m="1" x="786"/>
        <item m="1" x="395"/>
        <item m="1" x="1240"/>
        <item m="1" x="385"/>
        <item m="1" x="787"/>
        <item m="1" x="683"/>
        <item m="1" x="794"/>
        <item m="1" x="1297"/>
        <item m="1" x="824"/>
        <item x="15"/>
        <item x="101"/>
        <item m="1" x="268"/>
        <item x="258"/>
        <item x="248"/>
        <item x="238"/>
        <item x="255"/>
        <item x="149"/>
        <item x="212"/>
        <item x="256"/>
        <item x="146"/>
        <item x="214"/>
        <item x="213"/>
        <item m="1" x="1224"/>
        <item m="1" x="1207"/>
        <item m="1" x="915"/>
        <item m="1" x="1040"/>
        <item m="1" x="965"/>
        <item m="1" x="1091"/>
        <item m="1" x="501"/>
        <item x="242"/>
        <item m="1" x="475"/>
        <item x="0"/>
        <item x="1"/>
        <item m="1" x="1176"/>
        <item m="1" x="1111"/>
        <item m="1" x="630"/>
        <item m="1" x="949"/>
        <item m="1" x="636"/>
        <item m="1" x="1310"/>
        <item m="1" x="877"/>
        <item x="7"/>
        <item x="184"/>
        <item m="1" x="498"/>
        <item x="38"/>
        <item x="106"/>
        <item m="1" x="693"/>
        <item x="93"/>
        <item m="1" x="1095"/>
        <item m="1" x="1005"/>
        <item m="1" x="1165"/>
        <item x="12"/>
        <item x="145"/>
        <item x="25"/>
        <item x="26"/>
        <item x="60"/>
        <item m="1" x="744"/>
        <item x="27"/>
        <item x="28"/>
        <item m="1" x="446"/>
        <item m="1" x="605"/>
        <item m="1" x="1026"/>
        <item m="1" x="889"/>
        <item m="1" x="300"/>
        <item m="1" x="1282"/>
        <item m="1" x="472"/>
        <item m="1" x="312"/>
        <item m="1" x="413"/>
        <item m="1" x="282"/>
        <item m="1" x="486"/>
        <item m="1" x="700"/>
        <item m="1" x="558"/>
        <item m="1" x="471"/>
        <item m="1" x="724"/>
        <item m="1" x="1128"/>
        <item m="1" x="1239"/>
        <item m="1" x="551"/>
        <item m="1" x="1025"/>
        <item m="1" x="401"/>
        <item m="1" x="393"/>
        <item m="1" x="916"/>
        <item m="1" x="406"/>
        <item m="1" x="439"/>
        <item m="1" x="1012"/>
        <item m="1" x="1271"/>
        <item m="1" x="1087"/>
        <item m="1" x="985"/>
        <item m="1" x="529"/>
        <item m="1" x="1241"/>
        <item m="1" x="1129"/>
        <item m="1" x="837"/>
        <item m="1" x="1106"/>
        <item m="1" x="1152"/>
        <item m="1" x="754"/>
        <item m="1" x="1001"/>
        <item m="1" x="737"/>
        <item m="1" x="576"/>
        <item m="1" x="1243"/>
        <item m="1" x="547"/>
        <item m="1" x="692"/>
        <item m="1" x="1167"/>
        <item m="1" x="1084"/>
        <item m="1" x="414"/>
        <item m="1" x="1154"/>
        <item m="1" x="1252"/>
        <item m="1" x="808"/>
        <item m="1" x="1308"/>
        <item m="1" x="1269"/>
        <item m="1" x="934"/>
        <item m="1" x="1085"/>
        <item m="1" x="1023"/>
        <item m="1" x="686"/>
        <item m="1" x="495"/>
        <item m="1" x="434"/>
        <item m="1" x="273"/>
        <item m="1" x="476"/>
        <item m="1" x="926"/>
        <item m="1" x="644"/>
        <item m="1" x="1262"/>
        <item m="1" x="367"/>
        <item m="1" x="869"/>
        <item m="1" x="392"/>
        <item m="1" x="623"/>
        <item m="1" x="491"/>
        <item m="1" x="633"/>
        <item m="1" x="1116"/>
        <item m="1" x="691"/>
        <item m="1" x="862"/>
        <item m="1" x="725"/>
        <item m="1" x="310"/>
        <item m="1" x="1180"/>
        <item m="1" x="371"/>
        <item m="1" x="274"/>
        <item m="1" x="1044"/>
        <item m="1" x="812"/>
        <item m="1" x="853"/>
        <item m="1" x="944"/>
        <item m="1" x="1103"/>
        <item m="1" x="1317"/>
        <item m="1" x="1170"/>
        <item m="1" x="278"/>
        <item m="1" x="465"/>
        <item m="1" x="1130"/>
        <item m="1" x="515"/>
        <item m="1" x="1290"/>
        <item m="1" x="1055"/>
        <item m="1" x="1155"/>
        <item m="1" x="290"/>
        <item m="1" x="510"/>
        <item m="1" x="473"/>
        <item m="1" x="1208"/>
        <item m="1" x="989"/>
        <item m="1" x="849"/>
        <item m="1" x="598"/>
        <item m="1" x="830"/>
        <item m="1" x="859"/>
        <item m="1" x="280"/>
        <item m="1" x="780"/>
        <item m="1" x="525"/>
        <item m="1" x="522"/>
        <item m="1" x="454"/>
        <item m="1" x="303"/>
        <item m="1" x="1156"/>
        <item m="1" x="1017"/>
        <item m="1" x="436"/>
        <item m="1" x="341"/>
        <item m="1" x="657"/>
        <item m="1" x="387"/>
        <item m="1" x="388"/>
        <item m="1" x="508"/>
        <item m="1" x="791"/>
        <item m="1" x="1202"/>
        <item m="1" x="373"/>
        <item m="1" x="650"/>
        <item m="1" x="628"/>
        <item m="1" x="799"/>
        <item m="1" x="349"/>
        <item m="1" x="674"/>
        <item m="1" x="745"/>
        <item m="1" x="671"/>
        <item x="29"/>
        <item m="1" x="405"/>
        <item m="1" x="1245"/>
        <item m="1" x="1057"/>
        <item m="1" x="1149"/>
        <item m="1" x="1064"/>
        <item m="1" x="978"/>
        <item m="1" x="503"/>
        <item m="1" x="783"/>
        <item m="1" x="1213"/>
        <item m="1" x="1304"/>
        <item m="1" x="292"/>
        <item m="1" x="815"/>
        <item m="1" x="1193"/>
        <item m="1" x="410"/>
        <item m="1" x="518"/>
        <item m="1" x="1014"/>
        <item m="1" x="343"/>
        <item m="1" x="1081"/>
        <item m="1" x="539"/>
        <item m="1" x="1185"/>
        <item m="1" x="366"/>
        <item m="1" x="313"/>
        <item m="1" x="333"/>
        <item m="1" x="876"/>
        <item m="1" x="443"/>
        <item m="1" x="805"/>
        <item m="1" x="524"/>
        <item m="1" x="557"/>
        <item m="1" x="425"/>
        <item m="1" x="1037"/>
        <item m="1" x="337"/>
        <item m="1" x="1102"/>
        <item m="1" x="684"/>
        <item m="1" x="293"/>
        <item m="1" x="1035"/>
        <item x="116"/>
        <item m="1" x="668"/>
        <item m="1" x="1119"/>
        <item m="1" x="345"/>
        <item m="1" x="681"/>
        <item m="1" x="461"/>
        <item m="1" x="527"/>
        <item m="1" x="1273"/>
        <item m="1" x="653"/>
        <item m="1" x="740"/>
        <item m="1" x="408"/>
        <item m="1" x="635"/>
        <item m="1" x="1291"/>
        <item m="1" x="286"/>
        <item m="1" x="1267"/>
        <item x="92"/>
        <item m="1" x="825"/>
        <item m="1" x="1281"/>
        <item m="1" x="1319"/>
        <item m="1" x="961"/>
        <item m="1" x="670"/>
        <item m="1" x="676"/>
        <item m="1" x="1160"/>
        <item m="1" x="1163"/>
        <item m="1" x="470"/>
        <item m="1" x="348"/>
        <item m="1" x="803"/>
        <item m="1" x="736"/>
        <item m="1" x="969"/>
        <item x="84"/>
        <item m="1" x="886"/>
        <item m="1" x="492"/>
        <item m="1" x="772"/>
        <item m="1" x="696"/>
        <item m="1" x="1000"/>
        <item m="1" x="590"/>
        <item m="1" x="591"/>
        <item m="1" x="347"/>
        <item m="1" x="1283"/>
        <item m="1" x="1296"/>
        <item m="1" x="1249"/>
        <item m="1" x="1004"/>
        <item m="1" x="269"/>
        <item m="1" x="710"/>
        <item m="1" x="374"/>
        <item m="1" x="620"/>
        <item m="1" x="920"/>
        <item m="1" x="1022"/>
        <item m="1" x="1174"/>
        <item x="125"/>
        <item m="1" x="855"/>
        <item m="1" x="457"/>
        <item m="1" x="479"/>
        <item m="1" x="764"/>
        <item x="30"/>
        <item x="31"/>
        <item x="33"/>
        <item x="34"/>
        <item m="1" x="711"/>
        <item m="1" x="714"/>
        <item m="1" x="751"/>
        <item m="1" x="431"/>
        <item m="1" x="1298"/>
        <item m="1" x="1219"/>
        <item m="1" x="1150"/>
        <item m="1" x="416"/>
        <item m="1" x="1078"/>
        <item m="1" x="963"/>
        <item m="1" x="1257"/>
        <item m="1" x="1209"/>
        <item m="1" x="879"/>
        <item m="1" x="1135"/>
        <item m="1" x="304"/>
        <item m="1" x="908"/>
        <item m="1" x="631"/>
        <item m="1" x="941"/>
        <item m="1" x="1061"/>
        <item m="1" x="1264"/>
        <item m="1" x="509"/>
        <item m="1" x="1072"/>
        <item m="1" x="437"/>
        <item m="1" x="1272"/>
        <item m="1" x="1143"/>
        <item m="1" x="1178"/>
        <item m="1" x="991"/>
        <item m="1" x="646"/>
        <item m="1" x="506"/>
        <item m="1" x="384"/>
        <item m="1" x="1138"/>
        <item m="1" x="796"/>
        <item m="1" x="1169"/>
        <item m="1" x="394"/>
        <item m="1" x="1210"/>
        <item m="1" x="1043"/>
        <item m="1" x="1123"/>
        <item m="1" x="1048"/>
        <item m="1" x="1303"/>
        <item m="1" x="1045"/>
        <item m="1" x="642"/>
        <item m="1" x="678"/>
        <item m="1" x="851"/>
        <item m="1" x="1237"/>
        <item m="1" x="902"/>
        <item m="1" x="1315"/>
        <item m="1" x="585"/>
        <item m="1" x="1284"/>
        <item m="1" x="753"/>
        <item m="1" x="896"/>
        <item m="1" x="756"/>
        <item m="1" x="1133"/>
        <item m="1" x="1134"/>
        <item m="1" x="968"/>
        <item m="1" x="396"/>
        <item m="1" x="1309"/>
        <item m="1" x="1206"/>
        <item m="1" x="1127"/>
        <item m="1" x="497"/>
        <item m="1" x="363"/>
        <item m="1" x="673"/>
        <item m="1" x="426"/>
        <item m="1" x="516"/>
        <item m="1" x="761"/>
        <item m="1" x="1089"/>
        <item m="1" x="1293"/>
        <item m="1" x="923"/>
        <item m="1" x="866"/>
        <item m="1" x="706"/>
        <item m="1" x="297"/>
        <item m="1" x="810"/>
        <item m="1" x="690"/>
        <item m="1" x="777"/>
        <item m="1" x="1227"/>
        <item m="1" x="1082"/>
        <item m="1" x="545"/>
        <item m="1" x="990"/>
        <item m="1" x="1042"/>
        <item m="1" x="340"/>
        <item m="1" x="354"/>
        <item m="1" x="1306"/>
        <item m="1" x="1016"/>
        <item m="1" x="602"/>
        <item m="1" x="882"/>
        <item m="1" x="784"/>
        <item m="1" x="1171"/>
        <item m="1" x="897"/>
        <item m="1" x="732"/>
        <item m="1" x="728"/>
        <item m="1" x="1067"/>
        <item m="1" x="1068"/>
        <item m="1" x="1046"/>
        <item m="1" x="820"/>
        <item m="1" x="713"/>
        <item m="1" x="601"/>
        <item m="1" x="863"/>
        <item m="1" x="430"/>
        <item m="1" x="973"/>
        <item m="1" x="543"/>
        <item m="1" x="832"/>
        <item m="1" x="881"/>
        <item m="1" x="429"/>
        <item m="1" x="1222"/>
        <item m="1" x="987"/>
        <item m="1" x="821"/>
        <item m="1" x="1077"/>
        <item m="1" x="1181"/>
        <item m="1" x="1287"/>
        <item m="1" x="1302"/>
        <item m="1" x="746"/>
        <item m="1" x="1195"/>
        <item m="1" x="669"/>
        <item m="1" x="917"/>
        <item m="1" x="627"/>
        <item m="1" x="1038"/>
        <item m="1" x="1190"/>
        <item m="1" x="417"/>
        <item m="1" x="540"/>
        <item m="1" x="519"/>
        <item m="1" x="1250"/>
        <item m="1" x="992"/>
        <item m="1" x="615"/>
        <item m="1" x="873"/>
        <item m="1" x="792"/>
        <item m="1" x="478"/>
        <item m="1" x="1099"/>
        <item m="1" x="1247"/>
        <item m="1" x="1278"/>
        <item m="1" x="449"/>
        <item m="1" x="702"/>
        <item m="1" x="1115"/>
        <item m="1" x="767"/>
        <item m="1" x="919"/>
        <item m="1" x="1246"/>
        <item m="1" x="800"/>
        <item m="1" x="933"/>
        <item m="1" x="664"/>
        <item m="1" x="809"/>
        <item m="1" x="1320"/>
        <item m="1" x="1039"/>
        <item m="1" x="440"/>
        <item m="1" x="1254"/>
        <item m="1" x="1216"/>
        <item m="1" x="1007"/>
        <item m="1" x="326"/>
        <item m="1" x="1232"/>
        <item m="1" x="654"/>
        <item m="1" x="925"/>
        <item m="1" x="378"/>
        <item m="1" x="704"/>
        <item m="1" x="729"/>
        <item m="1" x="928"/>
        <item m="1" x="270"/>
        <item m="1" x="1066"/>
        <item m="1" x="611"/>
        <item m="1" x="856"/>
        <item m="1" x="447"/>
        <item m="1" x="301"/>
        <item m="1" x="361"/>
        <item m="1" x="947"/>
        <item m="1" x="921"/>
        <item m="1" x="891"/>
        <item m="1" x="1220"/>
        <item m="1" x="703"/>
        <item m="1" x="742"/>
        <item m="1" x="375"/>
        <item m="1" x="566"/>
        <item m="1" x="1137"/>
        <item m="1" x="663"/>
        <item m="1" x="444"/>
        <item m="1" x="379"/>
        <item m="1" x="279"/>
        <item m="1" x="883"/>
        <item m="1" x="322"/>
        <item m="1" x="964"/>
        <item m="1" x="946"/>
        <item m="1" x="798"/>
        <item m="1" x="477"/>
        <item m="1" x="624"/>
        <item m="1" x="383"/>
        <item m="1" x="272"/>
        <item m="1" x="1076"/>
        <item m="1" x="959"/>
        <item m="1" x="451"/>
        <item m="1" x="616"/>
        <item m="1" x="1289"/>
        <item m="1" x="1110"/>
        <item m="1" x="1065"/>
        <item m="1" x="567"/>
        <item m="1" x="927"/>
        <item m="1" x="614"/>
        <item m="1" x="939"/>
        <item m="1" x="1285"/>
        <item m="1" x="1139"/>
        <item m="1" x="648"/>
        <item m="1" x="1010"/>
        <item m="1" x="1002"/>
        <item m="1" x="593"/>
        <item m="1" x="1027"/>
        <item m="1" x="565"/>
        <item m="1" x="1069"/>
        <item m="1" x="334"/>
        <item m="1" x="609"/>
        <item m="1" x="899"/>
        <item m="1" x="1242"/>
        <item m="1" x="954"/>
        <item m="1" x="735"/>
        <item m="1" x="1126"/>
        <item m="1" x="554"/>
        <item m="1" x="1079"/>
        <item m="1" x="1175"/>
        <item m="1" x="981"/>
        <item m="1" x="722"/>
        <item m="1" x="1214"/>
        <item m="1" x="267"/>
        <item m="1" x="827"/>
        <item m="1" x="537"/>
        <item m="1" x="1120"/>
        <item m="1" x="335"/>
        <item m="1" x="677"/>
        <item m="1" x="482"/>
        <item m="1" x="466"/>
        <item m="1" x="932"/>
        <item m="1" x="1211"/>
        <item m="1" x="743"/>
        <item m="1" x="1228"/>
        <item m="1" x="419"/>
        <item m="1" x="1118"/>
        <item m="1" x="976"/>
        <item m="1" x="542"/>
        <item m="1" x="589"/>
        <item m="1" x="490"/>
        <item m="1" x="1225"/>
        <item m="1" x="843"/>
        <item m="1" x="1107"/>
        <item m="1" x="1093"/>
        <item m="1" x="639"/>
        <item m="1" x="1182"/>
        <item m="1" x="460"/>
        <item m="1" x="979"/>
        <item m="1" x="972"/>
        <item m="1" x="418"/>
        <item m="1" x="1086"/>
        <item m="1" x="1020"/>
        <item m="1" x="776"/>
        <item m="1" x="845"/>
        <item m="1" x="574"/>
        <item m="1" x="694"/>
        <item m="1" x="1248"/>
        <item m="1" x="563"/>
        <item m="1" x="480"/>
        <item m="1" x="847"/>
        <item m="1" x="782"/>
        <item m="1" x="1259"/>
        <item m="1" x="1270"/>
        <item m="1" x="807"/>
        <item m="1" x="1147"/>
        <item m="1" x="398"/>
        <item m="1" x="765"/>
        <item m="1" x="1307"/>
        <item m="1" x="320"/>
        <item m="1" x="1144"/>
        <item m="1" x="1212"/>
        <item m="1" x="645"/>
        <item m="1" x="922"/>
        <item m="1" x="1191"/>
        <item m="1" x="276"/>
        <item m="1" x="1113"/>
        <item m="1" x="1112"/>
        <item m="1" x="1059"/>
        <item m="1" x="544"/>
        <item m="1" x="586"/>
        <item m="1" x="733"/>
        <item m="1" x="271"/>
        <item m="1" x="823"/>
        <item m="1" x="651"/>
        <item m="1" x="734"/>
        <item m="1" x="1183"/>
        <item m="1" x="411"/>
        <item m="1" x="528"/>
        <item m="1" x="826"/>
        <item m="1" x="811"/>
        <item m="1" x="816"/>
        <item m="1" x="1117"/>
        <item m="1" x="538"/>
        <item m="1" x="420"/>
        <item m="1" x="423"/>
        <item m="1" x="569"/>
        <item m="1" x="433"/>
        <item m="1" x="716"/>
        <item m="1" x="445"/>
        <item m="1" x="468"/>
        <item m="1" x="288"/>
        <item m="1" x="1024"/>
        <item m="1" x="1316"/>
        <item m="1" x="1159"/>
        <item m="1" x="802"/>
        <item m="1" x="709"/>
        <item m="1" x="462"/>
        <item m="1" x="364"/>
        <item m="1" x="1173"/>
        <item m="1" x="818"/>
        <item m="1" x="850"/>
        <item m="1" x="1052"/>
        <item m="1" x="975"/>
        <item m="1" x="822"/>
        <item m="1" x="705"/>
        <item m="1" x="1008"/>
        <item m="1" x="402"/>
        <item m="1" x="1157"/>
        <item m="1" x="1083"/>
        <item m="1" x="656"/>
        <item m="1" x="685"/>
        <item m="1" x="1253"/>
        <item m="1" x="937"/>
        <item m="1" x="789"/>
        <item m="1" x="1184"/>
        <item m="1" x="641"/>
        <item m="1" x="1161"/>
        <item m="1" x="552"/>
        <item m="1" x="929"/>
        <item m="1" x="1050"/>
        <item m="1" x="720"/>
        <item m="1" x="1198"/>
        <item m="1" x="1186"/>
        <item m="1" x="1164"/>
        <item m="1" x="579"/>
        <item m="1" x="1105"/>
        <item m="1" x="314"/>
        <item m="1" x="1104"/>
        <item m="1" x="467"/>
        <item m="1" x="493"/>
        <item m="1" x="1108"/>
        <item m="1" x="848"/>
        <item m="1" x="321"/>
        <item m="1" x="945"/>
        <item m="1" x="556"/>
        <item m="1" x="339"/>
        <item m="1" x="412"/>
        <item m="1" x="864"/>
        <item m="1" x="428"/>
        <item m="1" x="1063"/>
        <item m="1" x="971"/>
        <item m="1" x="988"/>
        <item m="1" x="1153"/>
        <item m="1" x="854"/>
        <item m="1" x="553"/>
        <item m="1" x="712"/>
        <item m="1" x="875"/>
        <item m="1" x="1075"/>
        <item m="1" x="514"/>
        <item m="1" x="930"/>
        <item m="1" x="1166"/>
        <item m="1" x="1236"/>
        <item m="1" x="1140"/>
        <item m="1" x="489"/>
        <item m="1" x="562"/>
        <item m="1" x="1275"/>
        <item m="1" x="324"/>
        <item m="1" x="1100"/>
        <item m="1" x="581"/>
        <item m="1" x="399"/>
        <item m="1" x="1325"/>
        <item m="1" x="870"/>
        <item x="178"/>
        <item m="1" x="1324"/>
        <item m="1" x="993"/>
        <item m="1" x="1073"/>
        <item m="1" x="901"/>
        <item m="1" x="381"/>
        <item m="1" x="448"/>
        <item m="1" x="1047"/>
        <item m="1" x="1311"/>
        <item m="1" x="352"/>
        <item m="1" x="1280"/>
        <item m="1" x="608"/>
        <item m="1" x="726"/>
        <item m="1" x="1122"/>
        <item m="1" x="846"/>
        <item m="1" x="536"/>
        <item m="1" x="284"/>
        <item m="1" x="355"/>
        <item m="1" x="484"/>
        <item m="1" x="483"/>
        <item m="1" x="829"/>
        <item m="1" x="1313"/>
        <item m="1" x="1226"/>
        <item m="1" x="940"/>
        <item m="1" x="758"/>
        <item m="1" x="898"/>
        <item m="1" x="575"/>
        <item m="1" x="731"/>
        <item m="1" x="294"/>
        <item m="1" x="277"/>
        <item m="1" x="1125"/>
        <item m="1" x="1094"/>
        <item m="1" x="838"/>
        <item m="1" x="723"/>
        <item m="1" x="404"/>
        <item m="1" x="752"/>
        <item m="1" x="739"/>
        <item m="1" x="531"/>
        <item m="1" x="790"/>
        <item m="1" x="458"/>
        <item m="1" x="1318"/>
        <item m="1" x="1279"/>
        <item m="1" x="618"/>
        <item m="1" x="1132"/>
        <item m="1" x="1097"/>
        <item m="1" x="391"/>
        <item m="1" x="452"/>
        <item m="1" x="958"/>
        <item m="1" x="319"/>
        <item m="1" x="296"/>
        <item m="1" x="357"/>
        <item m="1" x="741"/>
        <item m="1" x="275"/>
        <item m="1" x="511"/>
        <item m="1" x="861"/>
        <item m="1" x="453"/>
        <item m="1" x="1071"/>
        <item m="1" x="583"/>
        <item m="1" x="874"/>
        <item m="1" x="839"/>
        <item m="1" x="924"/>
        <item m="1" x="1200"/>
        <item m="1" x="1288"/>
        <item m="1" x="769"/>
        <item m="1" x="1124"/>
        <item m="1" x="1018"/>
        <item m="1" x="910"/>
        <item m="1" x="365"/>
        <item m="1" x="749"/>
        <item m="1" x="1074"/>
        <item m="1" x="842"/>
        <item m="1" x="652"/>
        <item m="1" x="708"/>
        <item m="1" x="1011"/>
        <item m="1" x="909"/>
        <item m="1" x="403"/>
        <item m="1" x="488"/>
        <item m="1" x="984"/>
        <item m="1" x="960"/>
        <item m="1" x="1146"/>
        <item m="1" x="550"/>
        <item m="1" x="719"/>
        <item m="1" x="666"/>
        <item m="1" x="1131"/>
        <item m="1" x="750"/>
        <item m="1" x="913"/>
        <item m="1" x="1145"/>
        <item m="1" x="871"/>
        <item m="1" x="943"/>
        <item m="1" x="884"/>
        <item m="1" x="397"/>
        <item m="1" x="880"/>
        <item m="1" x="573"/>
        <item m="1" x="377"/>
        <item m="1" x="887"/>
        <item m="1" x="390"/>
        <item m="1" x="603"/>
        <item m="1" x="561"/>
        <item m="1" x="997"/>
        <item m="1" x="315"/>
        <item m="1" x="1088"/>
        <item m="1" x="1266"/>
        <item m="1" x="571"/>
        <item m="1" x="459"/>
        <item m="1" x="588"/>
        <item m="1" x="977"/>
        <item m="1" x="1305"/>
        <item m="1" x="1301"/>
        <item m="1" x="600"/>
        <item m="1" x="302"/>
        <item m="1" x="530"/>
        <item m="1" x="1217"/>
        <item m="1" x="955"/>
        <item m="1" x="715"/>
        <item m="1" x="747"/>
        <item m="1" x="893"/>
        <item m="1" x="1031"/>
        <item m="1" x="682"/>
        <item m="1" x="325"/>
        <item m="1" x="775"/>
        <item m="1" x="911"/>
        <item m="1" x="907"/>
        <item m="1" x="1098"/>
        <item m="1" x="936"/>
        <item m="1" x="996"/>
        <item m="1" x="768"/>
        <item m="1" x="634"/>
        <item m="1" x="1136"/>
        <item m="1" x="1060"/>
        <item m="1" x="918"/>
        <item m="1" x="346"/>
        <item m="1" x="438"/>
        <item m="1" x="1062"/>
        <item m="1" x="814"/>
        <item m="1" x="1233"/>
        <item m="1" x="858"/>
        <item m="1" x="1300"/>
        <item m="1" x="904"/>
        <item m="1" x="580"/>
        <item m="1" x="1196"/>
        <item m="1" x="1179"/>
        <item m="1" x="1049"/>
        <item m="1" x="966"/>
        <item m="1" x="1003"/>
        <item m="1" x="905"/>
        <item m="1" x="332"/>
        <item m="1" x="336"/>
        <item m="1" x="318"/>
        <item m="1" x="327"/>
        <item m="1" x="596"/>
        <item m="1" x="1172"/>
        <item m="1" x="1070"/>
        <item m="1" x="441"/>
        <item m="1" x="1215"/>
        <item m="1" x="962"/>
        <item m="1" x="1009"/>
        <item m="1" x="890"/>
        <item m="1" x="982"/>
        <item m="1" x="1231"/>
        <item m="1" x="1323"/>
        <item m="1" x="592"/>
        <item m="1" x="1295"/>
        <item m="1" x="485"/>
        <item m="1" x="852"/>
        <item m="1" x="806"/>
        <item m="1" x="389"/>
        <item m="1" x="771"/>
        <item m="1" x="894"/>
        <item m="1" x="1256"/>
        <item m="1" x="481"/>
        <item m="1" x="1294"/>
        <item m="1" x="342"/>
        <item m="1" x="689"/>
        <item m="1" x="1032"/>
        <item m="1" x="421"/>
        <item m="1" x="667"/>
        <item m="1" x="329"/>
        <item m="1" x="1121"/>
        <item m="1" x="1263"/>
        <item m="1" x="1221"/>
        <item m="1" x="1080"/>
        <item m="1" x="1109"/>
        <item m="1" x="970"/>
        <item m="1" x="1019"/>
        <item m="1" x="785"/>
        <item m="1" x="427"/>
        <item m="1" x="1006"/>
        <item m="1" x="957"/>
        <item m="1" x="1142"/>
        <item m="1" x="840"/>
        <item m="1" x="817"/>
        <item m="1" x="507"/>
        <item m="1" x="463"/>
        <item m="1" x="662"/>
        <item m="1" x="344"/>
        <item m="1" x="730"/>
        <item m="1" x="442"/>
        <item m="1" x="836"/>
        <item m="1" x="1141"/>
        <item x="32"/>
        <item x="35"/>
        <item x="36"/>
        <item x="59"/>
        <item m="1" x="995"/>
        <item m="1" x="841"/>
        <item m="1" x="1041"/>
        <item m="1" x="835"/>
        <item x="55"/>
        <item x="18"/>
        <item x="19"/>
        <item x="40"/>
        <item x="39"/>
        <item x="42"/>
        <item x="43"/>
        <item m="1" x="597"/>
        <item x="56"/>
        <item m="1" x="1199"/>
        <item x="44"/>
        <item x="45"/>
        <item x="46"/>
        <item m="1" x="986"/>
        <item x="139"/>
        <item x="47"/>
        <item x="57"/>
        <item m="1" x="622"/>
        <item x="48"/>
        <item x="50"/>
        <item x="51"/>
        <item x="52"/>
        <item x="72"/>
        <item x="102"/>
        <item m="1" x="526"/>
        <item x="6"/>
        <item x="194"/>
        <item x="260"/>
        <item x="49"/>
        <item x="54"/>
        <item x="58"/>
        <item x="62"/>
        <item x="63"/>
        <item x="64"/>
        <item x="65"/>
        <item x="66"/>
        <item x="67"/>
        <item x="68"/>
        <item x="203"/>
        <item x="99"/>
        <item x="69"/>
        <item m="1" x="717"/>
        <item x="95"/>
        <item x="147"/>
        <item m="1" x="1168"/>
        <item x="22"/>
        <item x="70"/>
        <item x="71"/>
        <item x="73"/>
        <item x="74"/>
        <item x="75"/>
        <item x="132"/>
        <item x="76"/>
        <item x="77"/>
        <item x="78"/>
        <item x="79"/>
        <item x="80"/>
        <item x="81"/>
        <item x="8"/>
        <item x="246"/>
        <item x="96"/>
        <item m="1" x="1205"/>
        <item m="1" x="813"/>
        <item x="98"/>
        <item x="14"/>
        <item m="1" x="1255"/>
        <item x="148"/>
        <item x="83"/>
        <item m="1" x="400"/>
        <item x="224"/>
        <item x="86"/>
        <item x="87"/>
        <item x="88"/>
        <item x="3"/>
        <item m="1" x="759"/>
        <item x="97"/>
        <item x="85"/>
        <item x="89"/>
        <item x="90"/>
        <item x="104"/>
        <item x="94"/>
        <item x="107"/>
        <item x="100"/>
        <item x="105"/>
        <item x="91"/>
        <item x="103"/>
        <item x="108"/>
        <item x="109"/>
        <item x="110"/>
        <item x="112"/>
        <item x="111"/>
        <item m="1" x="415"/>
        <item x="144"/>
        <item x="5"/>
        <item m="1" x="906"/>
        <item x="228"/>
        <item m="1" x="766"/>
        <item x="136"/>
        <item x="134"/>
        <item x="133"/>
        <item x="135"/>
        <item x="235"/>
        <item m="1" x="610"/>
        <item m="1" x="584"/>
        <item m="1" x="291"/>
        <item x="226"/>
        <item x="193"/>
        <item x="143"/>
        <item x="113"/>
        <item x="114"/>
        <item x="119"/>
        <item x="121"/>
        <item x="123"/>
        <item x="10"/>
        <item m="1" x="338"/>
        <item x="4"/>
        <item m="1" x="1322"/>
        <item x="11"/>
        <item x="118"/>
        <item x="120"/>
        <item x="122"/>
        <item x="124"/>
        <item x="128"/>
        <item x="243"/>
        <item x="209"/>
        <item x="140"/>
        <item x="9"/>
        <item x="190"/>
        <item x="253"/>
        <item x="127"/>
        <item x="244"/>
        <item x="141"/>
        <item x="142"/>
        <item x="222"/>
        <item x="126"/>
        <item x="129"/>
        <item x="138"/>
        <item x="219"/>
        <item x="220"/>
        <item x="221"/>
        <item m="1" x="844"/>
        <item x="130"/>
        <item x="131"/>
        <item x="150"/>
        <item x="151"/>
        <item x="152"/>
        <item x="153"/>
        <item x="154"/>
        <item x="155"/>
        <item x="156"/>
        <item x="165"/>
        <item x="231"/>
        <item x="191"/>
        <item x="233"/>
        <item x="185"/>
        <item x="158"/>
        <item x="159"/>
        <item x="162"/>
        <item x="207"/>
        <item m="1" x="659"/>
        <item x="218"/>
        <item m="1" x="372"/>
        <item x="225"/>
        <item x="232"/>
        <item x="192"/>
        <item x="161"/>
        <item x="245"/>
        <item x="261"/>
        <item x="210"/>
        <item x="205"/>
        <item x="163"/>
        <item x="160"/>
        <item x="170"/>
        <item x="249"/>
        <item x="164"/>
        <item x="217"/>
        <item x="166"/>
        <item x="250"/>
        <item x="230"/>
        <item x="187"/>
        <item x="237"/>
        <item x="167"/>
        <item x="168"/>
        <item x="169"/>
        <item x="171"/>
        <item x="223"/>
        <item x="172"/>
        <item x="173"/>
        <item x="174"/>
        <item x="176"/>
        <item x="196"/>
        <item x="215"/>
        <item x="188"/>
        <item x="201"/>
        <item x="216"/>
        <item x="13"/>
        <item x="21"/>
        <item x="175"/>
        <item x="177"/>
        <item x="180"/>
        <item x="181"/>
        <item x="182"/>
        <item x="186"/>
        <item x="189"/>
        <item x="195"/>
        <item x="197"/>
        <item x="199"/>
        <item x="200"/>
        <item x="202"/>
        <item x="206"/>
        <item x="208"/>
        <item x="211"/>
        <item x="227"/>
        <item x="229"/>
        <item x="236"/>
        <item x="239"/>
        <item x="240"/>
        <item x="241"/>
        <item x="247"/>
      </items>
    </pivotField>
    <pivotField dataField="1" subtotalTop="0" showAll="0"/>
    <pivotField subtotalTop="0" showAll="0"/>
    <pivotField axis="axisRow" outline="0" subtotalTop="0" showAll="0">
      <items count="17">
        <item m="1" x="8"/>
        <item m="1" x="13"/>
        <item m="1" x="12"/>
        <item x="6"/>
        <item h="1" x="0"/>
        <item h="1" x="4"/>
        <item h="1" x="1"/>
        <item h="1" m="1" x="11"/>
        <item h="1" m="1" x="9"/>
        <item h="1" x="2"/>
        <item h="1" x="3"/>
        <item h="1" x="5"/>
        <item h="1" m="1" x="15"/>
        <item h="1" m="1" x="7"/>
        <item h="1" m="1" x="14"/>
        <item h="1" m="1" x="10"/>
        <item t="default"/>
      </items>
    </pivotField>
    <pivotField subtotalTop="0" showAll="0"/>
    <pivotField axis="axisPage" outline="0" subtotalTop="0" multipleItemSelectionAllowed="1" showAll="0" defaultSubtotal="0">
      <items count="25">
        <item m="1" x="15"/>
        <item m="1" x="18"/>
        <item m="1" x="13"/>
        <item m="1" x="20"/>
        <item m="1" x="14"/>
        <item m="1" x="24"/>
        <item m="1" x="17"/>
        <item x="12"/>
        <item x="8"/>
        <item x="11"/>
        <item x="0"/>
        <item x="5"/>
        <item x="3"/>
        <item x="1"/>
        <item x="10"/>
        <item x="9"/>
        <item x="4"/>
        <item h="1" m="1" x="22"/>
        <item h="1" m="1" x="19"/>
        <item h="1" m="1" x="23"/>
        <item h="1" m="1" x="16"/>
        <item h="1" m="1" x="21"/>
        <item h="1" x="2"/>
        <item h="1" x="7"/>
        <item h="1" x="6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outline="0" showAll="0">
      <items count="5">
        <item x="1"/>
        <item x="2"/>
        <item x="3"/>
        <item x="0"/>
        <item t="default"/>
      </items>
    </pivotField>
  </pivotFields>
  <rowFields count="2">
    <field x="43"/>
    <field x="11"/>
  </rowFields>
  <rowItems count="3">
    <i>
      <x v="12"/>
      <x v="3"/>
    </i>
    <i t="default">
      <x v="12"/>
    </i>
    <i t="grand">
      <x/>
    </i>
  </rowItems>
  <colItems count="1">
    <i/>
  </colItems>
  <pageFields count="5">
    <pageField fld="7" hier="-1"/>
    <pageField fld="8" hier="-1"/>
    <pageField fld="13" hier="-1"/>
    <pageField fld="5" hier="-1"/>
    <pageField fld="44" item="0" hier="-1"/>
  </pageFields>
  <dataFields count="1">
    <dataField name="Sum of Revenue" fld="9" baseField="0" baseItem="0" numFmtId="164"/>
  </dataFields>
  <formats count="3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FBB87-6578-477F-8BA5-6EFC42C3066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N15" firstHeaderRow="1" firstDataRow="2" firstDataCol="1" rowPageCount="4" colPageCount="1"/>
  <pivotFields count="45">
    <pivotField showAll="0"/>
    <pivotField axis="axisPage" showAll="0">
      <items count="12">
        <item m="1" x="4"/>
        <item m="1" x="6"/>
        <item m="1" x="8"/>
        <item m="1" x="10"/>
        <item m="1" x="3"/>
        <item m="1" x="5"/>
        <item m="1" x="7"/>
        <item m="1" x="9"/>
        <item m="1" x="2"/>
        <item x="0"/>
        <item x="1"/>
        <item t="default"/>
      </items>
    </pivotField>
    <pivotField showAll="0"/>
    <pivotField showAll="0"/>
    <pivotField axis="axisPage" multipleItemSelectionAllowed="1" showAll="0">
      <items count="14">
        <item h="1" x="6"/>
        <item h="1" x="7"/>
        <item h="1" x="5"/>
        <item h="1" x="2"/>
        <item h="1" x="1"/>
        <item h="1" m="1" x="9"/>
        <item x="3"/>
        <item x="0"/>
        <item h="1" m="1" x="12"/>
        <item h="1" m="1" x="10"/>
        <item h="1" x="8"/>
        <item h="1" m="1" x="11"/>
        <item h="1" x="4"/>
        <item t="default"/>
      </items>
    </pivotField>
    <pivotField axis="axisPage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7">
        <item m="1" x="14"/>
        <item x="1"/>
        <item m="1" x="7"/>
        <item x="2"/>
        <item x="4"/>
        <item x="5"/>
        <item x="3"/>
        <item m="1" x="8"/>
        <item m="1" x="13"/>
        <item m="1" x="9"/>
        <item m="1" x="12"/>
        <item x="6"/>
        <item m="1" x="11"/>
        <item m="1" x="15"/>
        <item m="1"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Page" showAll="0" defaultSubtotal="0">
      <items count="4">
        <item sd="0" x="1"/>
        <item sd="0" x="2"/>
        <item sd="0" x="3"/>
        <item x="0"/>
      </items>
    </pivotField>
  </pivotFields>
  <rowFields count="1">
    <field x="11"/>
  </rowFields>
  <rowItems count="8">
    <i>
      <x v="1"/>
    </i>
    <i>
      <x v="3"/>
    </i>
    <i>
      <x v="4"/>
    </i>
    <i>
      <x v="5"/>
    </i>
    <i>
      <x v="6"/>
    </i>
    <i>
      <x v="11"/>
    </i>
    <i>
      <x v="15"/>
    </i>
    <i t="grand">
      <x/>
    </i>
  </rowItems>
  <colFields count="1">
    <field x="4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4">
    <pageField fld="1" item="9" hier="-1"/>
    <pageField fld="4" hier="-1"/>
    <pageField fld="5" hier="-1"/>
    <pageField fld="44" hier="-1"/>
  </pageFields>
  <dataFields count="1">
    <dataField name="Sum of Revenue" fld="9" baseField="0" baseItem="0" numFmtId="164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59733-7466-4141-97AE-CD8F4E6A39B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N33" firstHeaderRow="1" firstDataRow="2" firstDataCol="1" rowPageCount="4" colPageCount="1"/>
  <pivotFields count="45">
    <pivotField showAll="0"/>
    <pivotField axis="axisPage" showAll="0">
      <items count="12">
        <item m="1" x="4"/>
        <item m="1" x="6"/>
        <item m="1" x="8"/>
        <item m="1" x="10"/>
        <item m="1" x="3"/>
        <item m="1" x="5"/>
        <item m="1" x="7"/>
        <item m="1" x="9"/>
        <item m="1" x="2"/>
        <item x="0"/>
        <item x="1"/>
        <item t="default"/>
      </items>
    </pivotField>
    <pivotField showAll="0"/>
    <pivotField showAll="0"/>
    <pivotField axis="axisPage" multipleItemSelectionAllowed="1" showAll="0">
      <items count="14">
        <item h="1" x="6"/>
        <item h="1" x="7"/>
        <item h="1" x="5"/>
        <item h="1" x="2"/>
        <item h="1" x="1"/>
        <item h="1" m="1" x="9"/>
        <item x="3"/>
        <item x="0"/>
        <item h="1" m="1" x="12"/>
        <item h="1" m="1" x="10"/>
        <item h="1" x="8"/>
        <item h="1" m="1" x="11"/>
        <item h="1" x="4"/>
        <item t="default"/>
      </items>
    </pivotField>
    <pivotField axis="axisPage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7">
        <item m="1" x="14"/>
        <item x="1"/>
        <item m="1" x="7"/>
        <item x="2"/>
        <item x="4"/>
        <item x="5"/>
        <item x="3"/>
        <item m="1" x="8"/>
        <item m="1" x="13"/>
        <item m="1" x="9"/>
        <item m="1" x="12"/>
        <item x="6"/>
        <item m="1" x="11"/>
        <item m="1" x="15"/>
        <item m="1"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Page" showAll="0" defaultSubtotal="0">
      <items count="4">
        <item sd="0" x="1"/>
        <item sd="0" x="2"/>
        <item sd="0" x="3"/>
        <item x="0"/>
      </items>
    </pivotField>
  </pivotFields>
  <rowFields count="1">
    <field x="11"/>
  </rowFields>
  <rowItems count="8">
    <i>
      <x v="1"/>
    </i>
    <i>
      <x v="3"/>
    </i>
    <i>
      <x v="4"/>
    </i>
    <i>
      <x v="5"/>
    </i>
    <i>
      <x v="6"/>
    </i>
    <i>
      <x v="11"/>
    </i>
    <i>
      <x v="15"/>
    </i>
    <i t="grand">
      <x/>
    </i>
  </rowItems>
  <colFields count="1">
    <field x="4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4">
    <pageField fld="1" item="9" hier="-1"/>
    <pageField fld="4" hier="-1"/>
    <pageField fld="5" hier="-1"/>
    <pageField fld="44" hier="-1"/>
  </pageFields>
  <dataFields count="1">
    <dataField name="Count of Revenue" fld="9" subtotal="count" baseField="0" baseItem="0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3CB23-D01B-468F-94D0-0F600F8C926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N15" firstHeaderRow="1" firstDataRow="2" firstDataCol="1" rowPageCount="2" colPageCount="1"/>
  <pivotFields count="45">
    <pivotField axis="axisCol" showAll="0">
      <items count="14">
        <item x="0"/>
        <item x="4"/>
        <item x="1"/>
        <item x="5"/>
        <item x="2"/>
        <item x="6"/>
        <item x="3"/>
        <item x="7"/>
        <item x="8"/>
        <item x="11"/>
        <item x="12"/>
        <item x="10"/>
        <item x="9"/>
        <item t="default"/>
      </items>
    </pivotField>
    <pivotField showAll="0"/>
    <pivotField showAll="0"/>
    <pivotField showAll="0"/>
    <pivotField axis="axisRow" showAll="0">
      <items count="14">
        <item h="1" x="6"/>
        <item h="1" x="4"/>
        <item h="1" x="7"/>
        <item h="1" m="1" x="11"/>
        <item h="1" x="5"/>
        <item h="1" x="2"/>
        <item h="1" x="1"/>
        <item h="1" m="1" x="9"/>
        <item x="3"/>
        <item x="0"/>
        <item h="1" m="1" x="12"/>
        <item h="1" m="1" x="10"/>
        <item h="1" x="8"/>
        <item t="default"/>
      </items>
    </pivotField>
    <pivotField showAll="0"/>
    <pivotField showAll="0"/>
    <pivotField axis="axisPage" showAll="0">
      <items count="300">
        <item m="1" x="72"/>
        <item m="1" x="288"/>
        <item m="1" x="278"/>
        <item m="1" x="127"/>
        <item x="7"/>
        <item x="26"/>
        <item m="1" x="69"/>
        <item m="1" x="82"/>
        <item m="1" x="113"/>
        <item m="1" x="172"/>
        <item x="31"/>
        <item m="1" x="291"/>
        <item m="1" x="283"/>
        <item m="1" x="111"/>
        <item m="1" x="251"/>
        <item m="1" x="118"/>
        <item m="1" x="131"/>
        <item m="1" x="249"/>
        <item m="1" x="233"/>
        <item m="1" x="267"/>
        <item m="1" x="264"/>
        <item m="1" x="136"/>
        <item m="1" x="73"/>
        <item m="1" x="159"/>
        <item m="1" x="106"/>
        <item m="1" x="199"/>
        <item m="1" x="68"/>
        <item m="1" x="141"/>
        <item m="1" x="209"/>
        <item m="1" x="117"/>
        <item x="33"/>
        <item x="40"/>
        <item x="24"/>
        <item m="1" x="109"/>
        <item m="1" x="115"/>
        <item m="1" x="292"/>
        <item m="1" x="277"/>
        <item m="1" x="90"/>
        <item m="1" x="228"/>
        <item x="10"/>
        <item m="1" x="166"/>
        <item m="1" x="66"/>
        <item m="1" x="130"/>
        <item m="1" x="290"/>
        <item m="1" x="195"/>
        <item m="1" x="193"/>
        <item m="1" x="268"/>
        <item m="1" x="235"/>
        <item m="1" x="190"/>
        <item m="1" x="112"/>
        <item m="1" x="176"/>
        <item x="22"/>
        <item m="1" x="273"/>
        <item m="1" x="94"/>
        <item m="1" x="143"/>
        <item x="29"/>
        <item m="1" x="270"/>
        <item m="1" x="74"/>
        <item m="1" x="229"/>
        <item m="1" x="261"/>
        <item m="1" x="216"/>
        <item m="1" x="231"/>
        <item x="2"/>
        <item m="1" x="133"/>
        <item m="1" x="274"/>
        <item m="1" x="96"/>
        <item m="1" x="76"/>
        <item m="1" x="167"/>
        <item x="41"/>
        <item m="1" x="219"/>
        <item m="1" x="95"/>
        <item x="6"/>
        <item m="1" x="134"/>
        <item m="1" x="257"/>
        <item x="11"/>
        <item x="25"/>
        <item x="32"/>
        <item m="1" x="84"/>
        <item x="14"/>
        <item m="1" x="107"/>
        <item m="1" x="188"/>
        <item m="1" x="169"/>
        <item x="13"/>
        <item m="1" x="85"/>
        <item m="1" x="255"/>
        <item x="56"/>
        <item m="1" x="171"/>
        <item x="3"/>
        <item m="1" x="65"/>
        <item m="1" x="294"/>
        <item m="1" x="122"/>
        <item m="1" x="226"/>
        <item m="1" x="263"/>
        <item x="39"/>
        <item m="1" x="161"/>
        <item m="1" x="98"/>
        <item m="1" x="297"/>
        <item x="19"/>
        <item m="1" x="132"/>
        <item x="0"/>
        <item m="1" x="104"/>
        <item m="1" x="186"/>
        <item m="1" x="83"/>
        <item x="57"/>
        <item m="1" x="244"/>
        <item m="1" x="151"/>
        <item m="1" x="170"/>
        <item m="1" x="164"/>
        <item m="1" x="248"/>
        <item m="1" x="91"/>
        <item m="1" x="153"/>
        <item m="1" x="62"/>
        <item m="1" x="165"/>
        <item x="12"/>
        <item m="1" x="298"/>
        <item x="47"/>
        <item m="1" x="145"/>
        <item m="1" x="70"/>
        <item m="1" x="203"/>
        <item m="1" x="285"/>
        <item m="1" x="198"/>
        <item m="1" x="144"/>
        <item m="1" x="282"/>
        <item m="1" x="168"/>
        <item m="1" x="147"/>
        <item m="1" x="241"/>
        <item m="1" x="126"/>
        <item m="1" x="256"/>
        <item m="1" x="224"/>
        <item m="1" x="71"/>
        <item m="1" x="295"/>
        <item m="1" x="252"/>
        <item m="1" x="120"/>
        <item m="1" x="279"/>
        <item m="1" x="128"/>
        <item m="1" x="88"/>
        <item m="1" x="103"/>
        <item m="1" x="154"/>
        <item m="1" x="217"/>
        <item m="1" x="289"/>
        <item m="1" x="221"/>
        <item m="1" x="258"/>
        <item m="1" x="253"/>
        <item x="4"/>
        <item m="1" x="119"/>
        <item m="1" x="114"/>
        <item m="1" x="102"/>
        <item m="1" x="157"/>
        <item m="1" x="220"/>
        <item m="1" x="184"/>
        <item m="1" x="237"/>
        <item m="1" x="238"/>
        <item m="1" x="191"/>
        <item m="1" x="211"/>
        <item m="1" x="196"/>
        <item m="1" x="183"/>
        <item m="1" x="129"/>
        <item m="1" x="243"/>
        <item m="1" x="202"/>
        <item m="1" x="179"/>
        <item m="1" x="63"/>
        <item m="1" x="272"/>
        <item m="1" x="174"/>
        <item m="1" x="125"/>
        <item m="1" x="123"/>
        <item m="1" x="208"/>
        <item m="1" x="138"/>
        <item m="1" x="148"/>
        <item m="1" x="89"/>
        <item x="8"/>
        <item m="1" x="182"/>
        <item m="1" x="246"/>
        <item m="1" x="100"/>
        <item m="1" x="269"/>
        <item x="28"/>
        <item m="1" x="204"/>
        <item x="42"/>
        <item m="1" x="197"/>
        <item x="36"/>
        <item m="1" x="177"/>
        <item m="1" x="185"/>
        <item m="1" x="67"/>
        <item m="1" x="215"/>
        <item x="1"/>
        <item m="1" x="214"/>
        <item x="18"/>
        <item m="1" x="223"/>
        <item x="20"/>
        <item m="1" x="222"/>
        <item m="1" x="206"/>
        <item m="1" x="181"/>
        <item m="1" x="135"/>
        <item m="1" x="218"/>
        <item m="1" x="156"/>
        <item x="34"/>
        <item m="1" x="254"/>
        <item m="1" x="64"/>
        <item m="1" x="92"/>
        <item x="37"/>
        <item m="1" x="178"/>
        <item x="45"/>
        <item m="1" x="250"/>
        <item x="17"/>
        <item x="27"/>
        <item m="1" x="227"/>
        <item m="1" x="281"/>
        <item m="1" x="173"/>
        <item m="1" x="271"/>
        <item m="1" x="97"/>
        <item m="1" x="137"/>
        <item m="1" x="286"/>
        <item m="1" x="212"/>
        <item m="1" x="265"/>
        <item m="1" x="146"/>
        <item m="1" x="162"/>
        <item x="46"/>
        <item m="1" x="192"/>
        <item m="1" x="275"/>
        <item m="1" x="78"/>
        <item m="1" x="201"/>
        <item m="1" x="284"/>
        <item m="1" x="232"/>
        <item m="1" x="81"/>
        <item m="1" x="110"/>
        <item m="1" x="234"/>
        <item m="1" x="77"/>
        <item m="1" x="225"/>
        <item m="1" x="79"/>
        <item x="48"/>
        <item m="1" x="99"/>
        <item x="16"/>
        <item m="1" x="245"/>
        <item m="1" x="140"/>
        <item x="51"/>
        <item m="1" x="152"/>
        <item m="1" x="262"/>
        <item m="1" x="210"/>
        <item m="1" x="189"/>
        <item m="1" x="108"/>
        <item m="1" x="194"/>
        <item m="1" x="242"/>
        <item x="9"/>
        <item x="23"/>
        <item m="1" x="155"/>
        <item m="1" x="260"/>
        <item m="1" x="87"/>
        <item m="1" x="116"/>
        <item x="43"/>
        <item m="1" x="160"/>
        <item x="21"/>
        <item m="1" x="158"/>
        <item m="1" x="175"/>
        <item m="1" x="75"/>
        <item m="1" x="247"/>
        <item m="1" x="163"/>
        <item m="1" x="230"/>
        <item m="1" x="239"/>
        <item m="1" x="86"/>
        <item m="1" x="149"/>
        <item m="1" x="213"/>
        <item m="1" x="276"/>
        <item m="1" x="280"/>
        <item m="1" x="142"/>
        <item m="1" x="150"/>
        <item x="35"/>
        <item m="1" x="259"/>
        <item m="1" x="80"/>
        <item m="1" x="139"/>
        <item x="30"/>
        <item m="1" x="101"/>
        <item m="1" x="105"/>
        <item x="49"/>
        <item m="1" x="207"/>
        <item x="15"/>
        <item m="1" x="124"/>
        <item m="1" x="121"/>
        <item m="1" x="236"/>
        <item m="1" x="296"/>
        <item m="1" x="93"/>
        <item m="1" x="205"/>
        <item m="1" x="180"/>
        <item m="1" x="187"/>
        <item m="1" x="266"/>
        <item m="1" x="293"/>
        <item x="38"/>
        <item m="1" x="200"/>
        <item m="1" x="240"/>
        <item m="1" x="287"/>
        <item x="61"/>
        <item x="44"/>
        <item x="5"/>
        <item x="50"/>
        <item x="58"/>
        <item x="59"/>
        <item x="55"/>
        <item x="60"/>
        <item x="52"/>
        <item x="53"/>
        <item x="54"/>
        <item t="default"/>
      </items>
    </pivotField>
    <pivotField showAll="0"/>
    <pivotField dataField="1" showAll="0"/>
    <pivotField showAll="0"/>
    <pivotField axis="axisPage" showAll="0">
      <items count="17">
        <item m="1" x="14"/>
        <item x="1"/>
        <item m="1" x="7"/>
        <item x="2"/>
        <item x="4"/>
        <item x="5"/>
        <item x="3"/>
        <item m="1" x="8"/>
        <item m="1" x="13"/>
        <item m="1" x="9"/>
        <item m="1" x="12"/>
        <item x="6"/>
        <item m="1" x="11"/>
        <item m="1" x="15"/>
        <item m="1"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2">
    <field x="29"/>
    <field x="4"/>
  </rowFields>
  <rowItems count="9">
    <i>
      <x/>
    </i>
    <i r="1">
      <x v="9"/>
    </i>
    <i>
      <x v="1"/>
    </i>
    <i r="1">
      <x v="8"/>
    </i>
    <i r="1">
      <x v="9"/>
    </i>
    <i>
      <x v="2"/>
    </i>
    <i r="1">
      <x v="8"/>
    </i>
    <i r="1">
      <x v="9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colItems>
  <pageFields count="2">
    <pageField fld="7" hier="-1"/>
    <pageField fld="11" hier="-1"/>
  </pageFields>
  <dataFields count="1">
    <dataField name="Sum of Revenue" fld="9" baseField="0" baseItem="0" numFmtId="164"/>
  </dataFields>
  <formats count="3">
    <format dxfId="26">
      <pivotArea outline="0" collapsedLevelsAreSubtotals="1" fieldPosition="0"/>
    </format>
    <format dxfId="25">
      <pivotArea dataOnly="0" labelOnly="1" fieldPosition="0">
        <references count="1">
          <reference field="4" count="2">
            <x v="8"/>
            <x v="9"/>
          </reference>
        </references>
      </pivotArea>
    </format>
    <format dxfId="24">
      <pivotArea collapsedLevelsAreSubtotals="1" fieldPosition="0">
        <references count="4">
          <reference field="0" count="2" selected="0">
            <x v="5"/>
            <x v="6"/>
          </reference>
          <reference field="4" count="1" selected="0">
            <x v="8"/>
          </reference>
          <reference field="7" count="1">
            <x v="78"/>
          </reference>
          <reference field="1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66" firstHeaderRow="1" firstDataRow="1" firstDataCol="4"/>
  <pivotFields count="45">
    <pivotField subtotalTop="0" showAll="0"/>
    <pivotField showAll="0"/>
    <pivotField subtotalTop="0" showAll="0"/>
    <pivotField subtotalTop="0" showAll="0"/>
    <pivotField subtotalTop="0" showAll="0"/>
    <pivotField axis="axisRow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axis="axisRow" outline="0" subtotalTop="0" showAll="0" defaultSubtotal="0">
      <items count="299">
        <item x="7"/>
        <item x="26"/>
        <item x="31"/>
        <item m="1" x="159"/>
        <item x="33"/>
        <item x="40"/>
        <item x="24"/>
        <item m="1" x="277"/>
        <item m="1" x="290"/>
        <item m="1" x="176"/>
        <item x="29"/>
        <item x="2"/>
        <item x="32"/>
        <item x="14"/>
        <item x="3"/>
        <item x="39"/>
        <item x="19"/>
        <item x="47"/>
        <item m="1" x="70"/>
        <item m="1" x="279"/>
        <item m="1" x="103"/>
        <item m="1" x="253"/>
        <item x="4"/>
        <item m="1" x="220"/>
        <item m="1" x="174"/>
        <item x="8"/>
        <item x="28"/>
        <item x="36"/>
        <item m="1" x="185"/>
        <item x="1"/>
        <item x="20"/>
        <item m="1" x="181"/>
        <item x="34"/>
        <item x="17"/>
        <item x="27"/>
        <item m="1" x="97"/>
        <item m="1" x="146"/>
        <item x="46"/>
        <item m="1" x="201"/>
        <item x="16"/>
        <item x="51"/>
        <item m="1" x="152"/>
        <item m="1" x="262"/>
        <item m="1" x="194"/>
        <item x="23"/>
        <item x="43"/>
        <item x="21"/>
        <item x="30"/>
        <item x="49"/>
        <item m="1" x="207"/>
        <item x="15"/>
        <item m="1" x="293"/>
        <item m="1" x="240"/>
        <item m="1" x="287"/>
        <item x="61"/>
        <item x="38"/>
        <item m="1" x="71"/>
        <item x="22"/>
        <item m="1" x="132"/>
        <item x="48"/>
        <item x="56"/>
        <item x="10"/>
        <item x="25"/>
        <item x="37"/>
        <item x="6"/>
        <item x="42"/>
        <item x="35"/>
        <item x="45"/>
        <item m="1" x="217"/>
        <item x="11"/>
        <item m="1" x="205"/>
        <item x="13"/>
        <item x="12"/>
        <item x="9"/>
        <item x="0"/>
        <item m="1" x="222"/>
        <item x="18"/>
        <item m="1" x="66"/>
        <item m="1" x="208"/>
        <item m="1" x="100"/>
        <item m="1" x="64"/>
        <item m="1" x="113"/>
        <item m="1" x="161"/>
        <item m="1" x="131"/>
        <item m="1" x="94"/>
        <item m="1" x="263"/>
        <item m="1" x="88"/>
        <item m="1" x="183"/>
        <item m="1" x="170"/>
        <item m="1" x="294"/>
        <item m="1" x="147"/>
        <item m="1" x="67"/>
        <item m="1" x="111"/>
        <item m="1" x="255"/>
        <item m="1" x="246"/>
        <item m="1" x="284"/>
        <item m="1" x="162"/>
        <item m="1" x="227"/>
        <item m="1" x="241"/>
        <item m="1" x="202"/>
        <item m="1" x="108"/>
        <item m="1" x="281"/>
        <item m="1" x="90"/>
        <item m="1" x="296"/>
        <item m="1" x="76"/>
        <item m="1" x="204"/>
        <item m="1" x="80"/>
        <item m="1" x="182"/>
        <item m="1" x="62"/>
        <item m="1" x="180"/>
        <item m="1" x="216"/>
        <item m="1" x="193"/>
        <item m="1" x="196"/>
        <item m="1" x="254"/>
        <item m="1" x="142"/>
        <item m="1" x="214"/>
        <item m="1" x="95"/>
        <item m="1" x="186"/>
        <item m="1" x="171"/>
        <item m="1" x="184"/>
        <item m="1" x="139"/>
        <item m="1" x="257"/>
        <item m="1" x="198"/>
        <item m="1" x="286"/>
        <item m="1" x="99"/>
        <item m="1" x="145"/>
        <item m="1" x="75"/>
        <item m="1" x="252"/>
        <item m="1" x="166"/>
        <item m="1" x="109"/>
        <item m="1" x="128"/>
        <item m="1" x="117"/>
        <item m="1" x="273"/>
        <item m="1" x="63"/>
        <item m="1" x="110"/>
        <item m="1" x="225"/>
        <item m="1" x="121"/>
        <item m="1" x="271"/>
        <item m="1" x="259"/>
        <item m="1" x="168"/>
        <item m="1" x="239"/>
        <item m="1" x="86"/>
        <item m="1" x="291"/>
        <item m="1" x="206"/>
        <item m="1" x="199"/>
        <item m="1" x="231"/>
        <item m="1" x="84"/>
        <item m="1" x="256"/>
        <item m="1" x="221"/>
        <item m="1" x="119"/>
        <item m="1" x="148"/>
        <item m="1" x="93"/>
        <item m="1" x="264"/>
        <item m="1" x="238"/>
        <item m="1" x="244"/>
        <item m="1" x="77"/>
        <item m="1" x="228"/>
        <item m="1" x="79"/>
        <item m="1" x="266"/>
        <item m="1" x="261"/>
        <item m="1" x="169"/>
        <item m="1" x="153"/>
        <item m="1" x="120"/>
        <item m="1" x="223"/>
        <item m="1" x="160"/>
        <item m="1" x="164"/>
        <item m="1" x="233"/>
        <item m="1" x="249"/>
        <item m="1" x="134"/>
        <item m="1" x="232"/>
        <item m="1" x="151"/>
        <item m="1" x="105"/>
        <item m="1" x="85"/>
        <item m="1" x="215"/>
        <item m="1" x="298"/>
        <item m="1" x="265"/>
        <item m="1" x="65"/>
        <item m="1" x="297"/>
        <item m="1" x="130"/>
        <item m="1" x="190"/>
        <item m="1" x="102"/>
        <item m="1" x="236"/>
        <item m="1" x="87"/>
        <item m="1" x="91"/>
        <item m="1" x="292"/>
        <item m="1" x="260"/>
        <item m="1" x="230"/>
        <item m="1" x="177"/>
        <item m="1" x="137"/>
        <item m="1" x="218"/>
        <item m="1" x="118"/>
        <item m="1" x="122"/>
        <item m="1" x="144"/>
        <item m="1" x="141"/>
        <item m="1" x="126"/>
        <item m="1" x="295"/>
        <item m="1" x="154"/>
        <item m="1" x="81"/>
        <item m="1" x="101"/>
        <item m="1" x="242"/>
        <item m="1" x="197"/>
        <item m="1" x="127"/>
        <item m="1" x="251"/>
        <item m="1" x="172"/>
        <item m="1" x="125"/>
        <item m="1" x="98"/>
        <item m="1" x="274"/>
        <item m="1" x="237"/>
        <item m="1" x="179"/>
        <item m="1" x="200"/>
        <item m="1" x="107"/>
        <item m="1" x="123"/>
        <item m="1" x="69"/>
        <item m="1" x="209"/>
        <item m="1" x="289"/>
        <item m="1" x="278"/>
        <item m="1" x="224"/>
        <item m="1" x="96"/>
        <item m="1" x="82"/>
        <item m="1" x="247"/>
        <item m="1" x="195"/>
        <item m="1" x="124"/>
        <item m="1" x="243"/>
        <item m="1" x="245"/>
        <item m="1" x="163"/>
        <item m="1" x="258"/>
        <item m="1" x="272"/>
        <item m="1" x="116"/>
        <item m="1" x="165"/>
        <item m="1" x="280"/>
        <item m="1" x="73"/>
        <item m="1" x="250"/>
        <item m="1" x="140"/>
        <item m="1" x="210"/>
        <item m="1" x="268"/>
        <item m="1" x="189"/>
        <item m="1" x="234"/>
        <item m="1" x="155"/>
        <item m="1" x="248"/>
        <item m="1" x="150"/>
        <item m="1" x="188"/>
        <item m="1" x="203"/>
        <item m="1" x="213"/>
        <item m="1" x="276"/>
        <item m="1" x="178"/>
        <item m="1" x="72"/>
        <item m="1" x="219"/>
        <item m="1" x="226"/>
        <item m="1" x="112"/>
        <item m="1" x="283"/>
        <item m="1" x="191"/>
        <item m="1" x="135"/>
        <item m="1" x="267"/>
        <item m="1" x="74"/>
        <item m="1" x="211"/>
        <item m="1" x="78"/>
        <item m="1" x="149"/>
        <item m="1" x="106"/>
        <item m="1" x="167"/>
        <item m="1" x="282"/>
        <item m="1" x="115"/>
        <item m="1" x="129"/>
        <item m="1" x="89"/>
        <item m="1" x="269"/>
        <item m="1" x="275"/>
        <item m="1" x="158"/>
        <item m="1" x="285"/>
        <item m="1" x="156"/>
        <item m="1" x="157"/>
        <item m="1" x="143"/>
        <item m="1" x="114"/>
        <item m="1" x="212"/>
        <item m="1" x="138"/>
        <item m="1" x="92"/>
        <item m="1" x="173"/>
        <item m="1" x="187"/>
        <item m="1" x="175"/>
        <item m="1" x="104"/>
        <item m="1" x="192"/>
        <item m="1" x="68"/>
        <item m="1" x="235"/>
        <item m="1" x="270"/>
        <item m="1" x="133"/>
        <item m="1" x="136"/>
        <item m="1" x="229"/>
        <item m="1" x="83"/>
        <item m="1" x="288"/>
        <item x="57"/>
        <item x="41"/>
        <item x="44"/>
        <item x="5"/>
        <item x="50"/>
        <item x="58"/>
        <item x="59"/>
        <item x="55"/>
        <item x="60"/>
        <item x="52"/>
        <item x="53"/>
        <item x="54"/>
      </items>
    </pivotField>
    <pivotField axis="axisRow" outline="0" subtotalTop="0" showAll="0" defaultSubtotal="0">
      <items count="1326">
        <item m="1" x="643"/>
        <item m="1" x="281"/>
        <item m="1" x="595"/>
        <item m="1" x="1204"/>
        <item m="1" x="699"/>
        <item m="1" x="795"/>
        <item m="1" x="679"/>
        <item m="1" x="502"/>
        <item m="1" x="1238"/>
        <item m="1" x="311"/>
        <item m="1" x="362"/>
        <item m="1" x="487"/>
        <item m="1" x="1201"/>
        <item m="1" x="548"/>
        <item m="1" x="532"/>
        <item m="1" x="1258"/>
        <item m="1" x="638"/>
        <item m="1" x="1188"/>
        <item m="1" x="701"/>
        <item m="1" x="370"/>
        <item m="1" x="323"/>
        <item m="1" x="1230"/>
        <item m="1" x="675"/>
        <item m="1" x="613"/>
        <item m="1" x="707"/>
        <item m="1" x="289"/>
        <item m="1" x="948"/>
        <item m="1" x="1265"/>
        <item m="1" x="578"/>
        <item m="1" x="888"/>
        <item m="1" x="833"/>
        <item m="1" x="594"/>
        <item m="1" x="435"/>
        <item m="1" x="612"/>
        <item m="1" x="619"/>
        <item m="1" x="626"/>
        <item m="1" x="422"/>
        <item m="1" x="895"/>
        <item m="1" x="1015"/>
        <item m="1" x="621"/>
        <item m="1" x="599"/>
        <item m="1" x="1096"/>
        <item m="1" x="672"/>
        <item m="1" x="697"/>
        <item m="1" x="698"/>
        <item m="1" x="350"/>
        <item m="1" x="1056"/>
        <item m="1" x="499"/>
        <item m="1" x="665"/>
        <item m="1" x="549"/>
        <item m="1" x="1033"/>
        <item m="1" x="1192"/>
        <item m="1" x="1321"/>
        <item m="1" x="287"/>
        <item m="1" x="432"/>
        <item m="1" x="564"/>
        <item m="1" x="283"/>
        <item m="1" x="469"/>
        <item m="1" x="1189"/>
        <item m="1" x="587"/>
        <item x="266"/>
        <item m="1" x="521"/>
        <item m="1" x="1030"/>
        <item m="1" x="1177"/>
        <item m="1" x="738"/>
        <item m="1" x="865"/>
        <item x="198"/>
        <item m="1" x="535"/>
        <item m="1" x="606"/>
        <item m="1" x="727"/>
        <item x="263"/>
        <item m="1" x="781"/>
        <item m="1" x="914"/>
        <item x="262"/>
        <item m="1" x="1158"/>
        <item m="1" x="872"/>
        <item m="1" x="974"/>
        <item m="1" x="778"/>
        <item m="1" x="967"/>
        <item x="16"/>
        <item x="17"/>
        <item m="1" x="1053"/>
        <item m="1" x="762"/>
        <item m="1" x="885"/>
        <item m="1" x="770"/>
        <item x="20"/>
        <item m="1" x="604"/>
        <item m="1" x="424"/>
        <item m="1" x="1229"/>
        <item m="1" x="607"/>
        <item x="264"/>
        <item m="1" x="568"/>
        <item x="265"/>
        <item x="23"/>
        <item x="259"/>
        <item m="1" x="456"/>
        <item m="1" x="368"/>
        <item m="1" x="1028"/>
        <item m="1" x="520"/>
        <item m="1" x="1314"/>
        <item m="1" x="774"/>
        <item m="1" x="577"/>
        <item m="1" x="878"/>
        <item m="1" x="655"/>
        <item x="183"/>
        <item m="1" x="748"/>
        <item x="82"/>
        <item m="1" x="474"/>
        <item m="1" x="331"/>
        <item m="1" x="500"/>
        <item m="1" x="660"/>
        <item m="1" x="1277"/>
        <item m="1" x="306"/>
        <item m="1" x="309"/>
        <item m="1" x="464"/>
        <item m="1" x="1058"/>
        <item m="1" x="718"/>
        <item m="1" x="931"/>
        <item m="1" x="1286"/>
        <item m="1" x="351"/>
        <item m="1" x="687"/>
        <item m="1" x="285"/>
        <item m="1" x="1021"/>
        <item m="1" x="1292"/>
        <item m="1" x="868"/>
        <item m="1" x="1162"/>
        <item m="1" x="1235"/>
        <item m="1" x="797"/>
        <item m="1" x="360"/>
        <item m="1" x="760"/>
        <item m="1" x="763"/>
        <item m="1" x="793"/>
        <item m="1" x="359"/>
        <item m="1" x="308"/>
        <item m="1" x="661"/>
        <item m="1" x="721"/>
        <item m="1" x="353"/>
        <item m="1" x="1260"/>
        <item m="1" x="647"/>
        <item m="1" x="953"/>
        <item m="1" x="369"/>
        <item m="1" x="455"/>
        <item m="1" x="305"/>
        <item m="1" x="912"/>
        <item m="1" x="1101"/>
        <item m="1" x="1051"/>
        <item m="1" x="1092"/>
        <item m="1" x="546"/>
        <item m="1" x="1312"/>
        <item m="1" x="999"/>
        <item m="1" x="994"/>
        <item m="1" x="942"/>
        <item m="1" x="1194"/>
        <item m="1" x="1114"/>
        <item m="1" x="559"/>
        <item m="1" x="860"/>
        <item m="1" x="504"/>
        <item m="1" x="505"/>
        <item m="1" x="1261"/>
        <item m="1" x="380"/>
        <item m="1" x="680"/>
        <item m="1" x="409"/>
        <item m="1" x="935"/>
        <item m="1" x="951"/>
        <item m="1" x="625"/>
        <item m="1" x="1244"/>
        <item m="1" x="757"/>
        <item m="1" x="1268"/>
        <item m="1" x="298"/>
        <item m="1" x="857"/>
        <item m="1" x="1197"/>
        <item m="1" x="658"/>
        <item m="1" x="407"/>
        <item m="1" x="1013"/>
        <item m="1" x="534"/>
        <item m="1" x="640"/>
        <item m="1" x="496"/>
        <item m="1" x="900"/>
        <item m="1" x="330"/>
        <item m="1" x="788"/>
        <item m="1" x="834"/>
        <item x="2"/>
        <item m="1" x="1276"/>
        <item m="1" x="649"/>
        <item m="1" x="980"/>
        <item m="1" x="328"/>
        <item m="1" x="903"/>
        <item m="1" x="1036"/>
        <item m="1" x="1218"/>
        <item m="1" x="570"/>
        <item m="1" x="533"/>
        <item m="1" x="801"/>
        <item x="252"/>
        <item x="24"/>
        <item m="1" x="998"/>
        <item m="1" x="386"/>
        <item m="1" x="1054"/>
        <item m="1" x="617"/>
        <item m="1" x="299"/>
        <item m="1" x="952"/>
        <item m="1" x="755"/>
        <item x="137"/>
        <item x="234"/>
        <item m="1" x="316"/>
        <item m="1" x="819"/>
        <item x="257"/>
        <item m="1" x="358"/>
        <item m="1" x="450"/>
        <item m="1" x="1151"/>
        <item m="1" x="494"/>
        <item m="1" x="629"/>
        <item m="1" x="1029"/>
        <item m="1" x="1187"/>
        <item m="1" x="1203"/>
        <item m="1" x="295"/>
        <item x="251"/>
        <item m="1" x="560"/>
        <item m="1" x="804"/>
        <item m="1" x="1090"/>
        <item m="1" x="517"/>
        <item m="1" x="317"/>
        <item m="1" x="582"/>
        <item m="1" x="1223"/>
        <item m="1" x="513"/>
        <item x="41"/>
        <item m="1" x="1251"/>
        <item x="53"/>
        <item m="1" x="950"/>
        <item m="1" x="382"/>
        <item m="1" x="867"/>
        <item m="1" x="688"/>
        <item m="1" x="307"/>
        <item m="1" x="376"/>
        <item m="1" x="938"/>
        <item x="37"/>
        <item m="1" x="541"/>
        <item x="157"/>
        <item m="1" x="637"/>
        <item x="61"/>
        <item m="1" x="1034"/>
        <item m="1" x="512"/>
        <item m="1" x="695"/>
        <item m="1" x="1148"/>
        <item m="1" x="779"/>
        <item m="1" x="356"/>
        <item m="1" x="773"/>
        <item m="1" x="956"/>
        <item m="1" x="523"/>
        <item m="1" x="828"/>
        <item x="117"/>
        <item x="179"/>
        <item m="1" x="1299"/>
        <item m="1" x="1274"/>
        <item m="1" x="831"/>
        <item x="254"/>
        <item m="1" x="983"/>
        <item m="1" x="892"/>
        <item m="1" x="555"/>
        <item m="1" x="632"/>
        <item m="1" x="572"/>
        <item x="115"/>
        <item m="1" x="1234"/>
        <item x="204"/>
        <item m="1" x="786"/>
        <item m="1" x="395"/>
        <item m="1" x="1240"/>
        <item m="1" x="385"/>
        <item m="1" x="787"/>
        <item m="1" x="683"/>
        <item m="1" x="794"/>
        <item m="1" x="1297"/>
        <item m="1" x="824"/>
        <item x="15"/>
        <item x="101"/>
        <item m="1" x="268"/>
        <item x="258"/>
        <item x="248"/>
        <item x="238"/>
        <item x="255"/>
        <item x="149"/>
        <item x="212"/>
        <item x="256"/>
        <item x="146"/>
        <item x="214"/>
        <item x="213"/>
        <item m="1" x="1224"/>
        <item m="1" x="1207"/>
        <item m="1" x="915"/>
        <item m="1" x="1040"/>
        <item m="1" x="965"/>
        <item m="1" x="1091"/>
        <item m="1" x="501"/>
        <item x="242"/>
        <item m="1" x="475"/>
        <item x="0"/>
        <item x="1"/>
        <item m="1" x="1176"/>
        <item m="1" x="1111"/>
        <item m="1" x="630"/>
        <item m="1" x="949"/>
        <item m="1" x="636"/>
        <item m="1" x="1310"/>
        <item m="1" x="877"/>
        <item x="7"/>
        <item x="184"/>
        <item m="1" x="498"/>
        <item x="38"/>
        <item x="106"/>
        <item m="1" x="693"/>
        <item x="93"/>
        <item m="1" x="1095"/>
        <item m="1" x="1005"/>
        <item m="1" x="1165"/>
        <item x="12"/>
        <item x="145"/>
        <item x="25"/>
        <item x="26"/>
        <item x="60"/>
        <item m="1" x="744"/>
        <item x="27"/>
        <item x="28"/>
        <item m="1" x="446"/>
        <item m="1" x="605"/>
        <item m="1" x="1026"/>
        <item m="1" x="889"/>
        <item m="1" x="300"/>
        <item m="1" x="1282"/>
        <item m="1" x="472"/>
        <item m="1" x="312"/>
        <item m="1" x="413"/>
        <item m="1" x="282"/>
        <item m="1" x="486"/>
        <item m="1" x="700"/>
        <item m="1" x="558"/>
        <item m="1" x="471"/>
        <item m="1" x="724"/>
        <item m="1" x="1128"/>
        <item m="1" x="1239"/>
        <item m="1" x="551"/>
        <item m="1" x="1025"/>
        <item m="1" x="401"/>
        <item m="1" x="393"/>
        <item m="1" x="916"/>
        <item m="1" x="406"/>
        <item m="1" x="439"/>
        <item m="1" x="1012"/>
        <item m="1" x="1271"/>
        <item m="1" x="1087"/>
        <item m="1" x="985"/>
        <item m="1" x="529"/>
        <item m="1" x="1241"/>
        <item m="1" x="1129"/>
        <item m="1" x="837"/>
        <item m="1" x="1106"/>
        <item m="1" x="1152"/>
        <item m="1" x="754"/>
        <item m="1" x="1001"/>
        <item m="1" x="737"/>
        <item m="1" x="576"/>
        <item m="1" x="1243"/>
        <item m="1" x="547"/>
        <item m="1" x="692"/>
        <item m="1" x="1167"/>
        <item m="1" x="1084"/>
        <item m="1" x="414"/>
        <item m="1" x="1154"/>
        <item m="1" x="1252"/>
        <item m="1" x="808"/>
        <item m="1" x="1308"/>
        <item m="1" x="1269"/>
        <item m="1" x="934"/>
        <item m="1" x="1085"/>
        <item m="1" x="1023"/>
        <item m="1" x="686"/>
        <item m="1" x="495"/>
        <item m="1" x="434"/>
        <item m="1" x="273"/>
        <item m="1" x="476"/>
        <item m="1" x="926"/>
        <item m="1" x="644"/>
        <item m="1" x="1262"/>
        <item m="1" x="367"/>
        <item m="1" x="869"/>
        <item m="1" x="392"/>
        <item m="1" x="623"/>
        <item m="1" x="491"/>
        <item m="1" x="633"/>
        <item m="1" x="1116"/>
        <item m="1" x="691"/>
        <item m="1" x="862"/>
        <item m="1" x="725"/>
        <item m="1" x="310"/>
        <item m="1" x="1180"/>
        <item m="1" x="371"/>
        <item m="1" x="274"/>
        <item m="1" x="1044"/>
        <item m="1" x="812"/>
        <item m="1" x="853"/>
        <item m="1" x="944"/>
        <item m="1" x="1103"/>
        <item m="1" x="1317"/>
        <item m="1" x="1170"/>
        <item m="1" x="278"/>
        <item m="1" x="465"/>
        <item m="1" x="1130"/>
        <item m="1" x="515"/>
        <item m="1" x="1290"/>
        <item m="1" x="1055"/>
        <item m="1" x="1155"/>
        <item m="1" x="290"/>
        <item m="1" x="510"/>
        <item m="1" x="473"/>
        <item m="1" x="1208"/>
        <item m="1" x="989"/>
        <item m="1" x="849"/>
        <item m="1" x="598"/>
        <item m="1" x="830"/>
        <item m="1" x="859"/>
        <item m="1" x="280"/>
        <item m="1" x="780"/>
        <item m="1" x="525"/>
        <item m="1" x="522"/>
        <item m="1" x="454"/>
        <item m="1" x="303"/>
        <item m="1" x="1156"/>
        <item m="1" x="1017"/>
        <item m="1" x="436"/>
        <item m="1" x="341"/>
        <item m="1" x="657"/>
        <item m="1" x="387"/>
        <item m="1" x="388"/>
        <item m="1" x="508"/>
        <item m="1" x="791"/>
        <item m="1" x="1202"/>
        <item m="1" x="373"/>
        <item m="1" x="650"/>
        <item m="1" x="628"/>
        <item m="1" x="799"/>
        <item m="1" x="349"/>
        <item m="1" x="674"/>
        <item m="1" x="745"/>
        <item m="1" x="671"/>
        <item x="29"/>
        <item m="1" x="405"/>
        <item m="1" x="1245"/>
        <item m="1" x="1057"/>
        <item m="1" x="1149"/>
        <item m="1" x="1064"/>
        <item m="1" x="978"/>
        <item m="1" x="503"/>
        <item m="1" x="783"/>
        <item m="1" x="1213"/>
        <item m="1" x="1304"/>
        <item m="1" x="292"/>
        <item m="1" x="815"/>
        <item m="1" x="1193"/>
        <item m="1" x="410"/>
        <item m="1" x="518"/>
        <item m="1" x="1014"/>
        <item m="1" x="343"/>
        <item m="1" x="1081"/>
        <item m="1" x="539"/>
        <item m="1" x="1185"/>
        <item m="1" x="366"/>
        <item m="1" x="313"/>
        <item m="1" x="333"/>
        <item m="1" x="876"/>
        <item m="1" x="443"/>
        <item m="1" x="805"/>
        <item m="1" x="524"/>
        <item m="1" x="557"/>
        <item m="1" x="425"/>
        <item m="1" x="1037"/>
        <item m="1" x="337"/>
        <item m="1" x="1102"/>
        <item m="1" x="684"/>
        <item m="1" x="293"/>
        <item m="1" x="1035"/>
        <item x="116"/>
        <item m="1" x="668"/>
        <item m="1" x="1119"/>
        <item m="1" x="345"/>
        <item m="1" x="681"/>
        <item m="1" x="461"/>
        <item m="1" x="527"/>
        <item m="1" x="1273"/>
        <item m="1" x="653"/>
        <item m="1" x="740"/>
        <item m="1" x="408"/>
        <item m="1" x="635"/>
        <item m="1" x="1291"/>
        <item m="1" x="286"/>
        <item m="1" x="1267"/>
        <item x="92"/>
        <item m="1" x="825"/>
        <item m="1" x="1281"/>
        <item m="1" x="1319"/>
        <item m="1" x="961"/>
        <item m="1" x="670"/>
        <item m="1" x="676"/>
        <item m="1" x="1160"/>
        <item m="1" x="1163"/>
        <item m="1" x="470"/>
        <item m="1" x="348"/>
        <item m="1" x="803"/>
        <item m="1" x="736"/>
        <item m="1" x="969"/>
        <item x="84"/>
        <item m="1" x="886"/>
        <item m="1" x="492"/>
        <item m="1" x="772"/>
        <item m="1" x="696"/>
        <item m="1" x="1000"/>
        <item m="1" x="590"/>
        <item m="1" x="591"/>
        <item m="1" x="347"/>
        <item m="1" x="1283"/>
        <item m="1" x="1296"/>
        <item m="1" x="1249"/>
        <item m="1" x="1004"/>
        <item m="1" x="269"/>
        <item m="1" x="710"/>
        <item m="1" x="374"/>
        <item m="1" x="620"/>
        <item m="1" x="920"/>
        <item m="1" x="1022"/>
        <item m="1" x="1174"/>
        <item x="125"/>
        <item m="1" x="855"/>
        <item m="1" x="457"/>
        <item m="1" x="479"/>
        <item m="1" x="764"/>
        <item x="30"/>
        <item x="31"/>
        <item x="33"/>
        <item x="34"/>
        <item m="1" x="711"/>
        <item m="1" x="714"/>
        <item m="1" x="751"/>
        <item m="1" x="431"/>
        <item m="1" x="1298"/>
        <item m="1" x="1219"/>
        <item m="1" x="1150"/>
        <item m="1" x="416"/>
        <item m="1" x="1078"/>
        <item m="1" x="963"/>
        <item m="1" x="1257"/>
        <item m="1" x="1209"/>
        <item m="1" x="879"/>
        <item m="1" x="1135"/>
        <item m="1" x="304"/>
        <item m="1" x="908"/>
        <item m="1" x="631"/>
        <item m="1" x="941"/>
        <item m="1" x="1061"/>
        <item m="1" x="1264"/>
        <item m="1" x="509"/>
        <item m="1" x="1072"/>
        <item m="1" x="437"/>
        <item m="1" x="1272"/>
        <item m="1" x="1143"/>
        <item m="1" x="1178"/>
        <item m="1" x="991"/>
        <item m="1" x="646"/>
        <item m="1" x="506"/>
        <item m="1" x="384"/>
        <item m="1" x="1138"/>
        <item m="1" x="796"/>
        <item m="1" x="1169"/>
        <item m="1" x="394"/>
        <item m="1" x="1210"/>
        <item m="1" x="1043"/>
        <item m="1" x="1123"/>
        <item m="1" x="1048"/>
        <item m="1" x="1303"/>
        <item m="1" x="1045"/>
        <item m="1" x="642"/>
        <item m="1" x="678"/>
        <item m="1" x="851"/>
        <item m="1" x="1237"/>
        <item m="1" x="902"/>
        <item m="1" x="1315"/>
        <item m="1" x="585"/>
        <item m="1" x="1284"/>
        <item m="1" x="753"/>
        <item m="1" x="896"/>
        <item m="1" x="756"/>
        <item m="1" x="1133"/>
        <item m="1" x="1134"/>
        <item m="1" x="968"/>
        <item m="1" x="396"/>
        <item m="1" x="1309"/>
        <item m="1" x="1206"/>
        <item m="1" x="1127"/>
        <item m="1" x="497"/>
        <item m="1" x="363"/>
        <item m="1" x="673"/>
        <item m="1" x="426"/>
        <item m="1" x="516"/>
        <item m="1" x="761"/>
        <item m="1" x="1089"/>
        <item m="1" x="1293"/>
        <item m="1" x="923"/>
        <item m="1" x="866"/>
        <item m="1" x="706"/>
        <item m="1" x="297"/>
        <item m="1" x="810"/>
        <item m="1" x="690"/>
        <item m="1" x="777"/>
        <item m="1" x="1227"/>
        <item m="1" x="1082"/>
        <item m="1" x="545"/>
        <item m="1" x="990"/>
        <item m="1" x="1042"/>
        <item m="1" x="340"/>
        <item m="1" x="354"/>
        <item m="1" x="1306"/>
        <item m="1" x="1016"/>
        <item m="1" x="602"/>
        <item m="1" x="882"/>
        <item m="1" x="784"/>
        <item m="1" x="1171"/>
        <item m="1" x="897"/>
        <item m="1" x="732"/>
        <item m="1" x="728"/>
        <item m="1" x="1067"/>
        <item m="1" x="1068"/>
        <item m="1" x="1046"/>
        <item m="1" x="820"/>
        <item m="1" x="713"/>
        <item m="1" x="601"/>
        <item m="1" x="863"/>
        <item m="1" x="430"/>
        <item m="1" x="973"/>
        <item m="1" x="543"/>
        <item m="1" x="832"/>
        <item m="1" x="881"/>
        <item m="1" x="429"/>
        <item m="1" x="1222"/>
        <item m="1" x="987"/>
        <item m="1" x="821"/>
        <item m="1" x="1077"/>
        <item m="1" x="1181"/>
        <item m="1" x="1287"/>
        <item m="1" x="1302"/>
        <item m="1" x="746"/>
        <item m="1" x="1195"/>
        <item m="1" x="669"/>
        <item m="1" x="917"/>
        <item m="1" x="627"/>
        <item m="1" x="1038"/>
        <item m="1" x="1190"/>
        <item m="1" x="417"/>
        <item m="1" x="540"/>
        <item m="1" x="519"/>
        <item m="1" x="1250"/>
        <item m="1" x="992"/>
        <item m="1" x="615"/>
        <item m="1" x="873"/>
        <item m="1" x="792"/>
        <item m="1" x="478"/>
        <item m="1" x="1099"/>
        <item m="1" x="1247"/>
        <item m="1" x="1278"/>
        <item m="1" x="449"/>
        <item m="1" x="702"/>
        <item m="1" x="1115"/>
        <item m="1" x="767"/>
        <item m="1" x="919"/>
        <item m="1" x="1246"/>
        <item m="1" x="800"/>
        <item m="1" x="933"/>
        <item m="1" x="664"/>
        <item m="1" x="809"/>
        <item m="1" x="1320"/>
        <item m="1" x="1039"/>
        <item m="1" x="440"/>
        <item m="1" x="1254"/>
        <item m="1" x="1216"/>
        <item m="1" x="1007"/>
        <item m="1" x="326"/>
        <item m="1" x="1232"/>
        <item m="1" x="654"/>
        <item m="1" x="925"/>
        <item m="1" x="378"/>
        <item m="1" x="704"/>
        <item m="1" x="729"/>
        <item m="1" x="928"/>
        <item m="1" x="270"/>
        <item m="1" x="1066"/>
        <item m="1" x="611"/>
        <item m="1" x="856"/>
        <item m="1" x="447"/>
        <item m="1" x="301"/>
        <item m="1" x="361"/>
        <item m="1" x="947"/>
        <item m="1" x="921"/>
        <item m="1" x="891"/>
        <item m="1" x="1220"/>
        <item m="1" x="703"/>
        <item m="1" x="742"/>
        <item m="1" x="375"/>
        <item m="1" x="566"/>
        <item m="1" x="1137"/>
        <item m="1" x="663"/>
        <item m="1" x="444"/>
        <item m="1" x="379"/>
        <item m="1" x="279"/>
        <item m="1" x="883"/>
        <item m="1" x="322"/>
        <item m="1" x="964"/>
        <item m="1" x="946"/>
        <item m="1" x="798"/>
        <item m="1" x="477"/>
        <item m="1" x="624"/>
        <item m="1" x="383"/>
        <item m="1" x="272"/>
        <item m="1" x="1076"/>
        <item m="1" x="959"/>
        <item m="1" x="451"/>
        <item m="1" x="616"/>
        <item m="1" x="1289"/>
        <item m="1" x="1110"/>
        <item m="1" x="1065"/>
        <item m="1" x="567"/>
        <item m="1" x="927"/>
        <item m="1" x="614"/>
        <item m="1" x="939"/>
        <item m="1" x="1285"/>
        <item m="1" x="1139"/>
        <item m="1" x="648"/>
        <item m="1" x="1010"/>
        <item m="1" x="1002"/>
        <item m="1" x="593"/>
        <item m="1" x="1027"/>
        <item m="1" x="565"/>
        <item m="1" x="1069"/>
        <item m="1" x="334"/>
        <item m="1" x="609"/>
        <item m="1" x="899"/>
        <item m="1" x="1242"/>
        <item m="1" x="954"/>
        <item m="1" x="735"/>
        <item m="1" x="1126"/>
        <item m="1" x="554"/>
        <item m="1" x="1079"/>
        <item m="1" x="1175"/>
        <item m="1" x="981"/>
        <item m="1" x="722"/>
        <item m="1" x="1214"/>
        <item m="1" x="267"/>
        <item m="1" x="827"/>
        <item m="1" x="537"/>
        <item m="1" x="1120"/>
        <item m="1" x="335"/>
        <item m="1" x="677"/>
        <item m="1" x="482"/>
        <item m="1" x="466"/>
        <item m="1" x="932"/>
        <item m="1" x="1211"/>
        <item m="1" x="743"/>
        <item m="1" x="1228"/>
        <item m="1" x="419"/>
        <item m="1" x="1118"/>
        <item m="1" x="976"/>
        <item m="1" x="542"/>
        <item m="1" x="589"/>
        <item m="1" x="490"/>
        <item m="1" x="1225"/>
        <item m="1" x="843"/>
        <item m="1" x="1107"/>
        <item m="1" x="1093"/>
        <item m="1" x="639"/>
        <item m="1" x="1182"/>
        <item m="1" x="460"/>
        <item m="1" x="979"/>
        <item m="1" x="972"/>
        <item m="1" x="418"/>
        <item m="1" x="1086"/>
        <item m="1" x="1020"/>
        <item m="1" x="776"/>
        <item m="1" x="845"/>
        <item m="1" x="574"/>
        <item m="1" x="694"/>
        <item m="1" x="1248"/>
        <item m="1" x="563"/>
        <item m="1" x="480"/>
        <item m="1" x="847"/>
        <item m="1" x="782"/>
        <item m="1" x="1259"/>
        <item m="1" x="1270"/>
        <item m="1" x="807"/>
        <item m="1" x="1147"/>
        <item m="1" x="398"/>
        <item m="1" x="765"/>
        <item m="1" x="1307"/>
        <item m="1" x="320"/>
        <item m="1" x="1144"/>
        <item m="1" x="1212"/>
        <item m="1" x="645"/>
        <item m="1" x="922"/>
        <item m="1" x="1191"/>
        <item m="1" x="276"/>
        <item m="1" x="1113"/>
        <item m="1" x="1112"/>
        <item m="1" x="1059"/>
        <item m="1" x="544"/>
        <item m="1" x="586"/>
        <item m="1" x="733"/>
        <item m="1" x="271"/>
        <item m="1" x="823"/>
        <item m="1" x="651"/>
        <item m="1" x="734"/>
        <item m="1" x="1183"/>
        <item m="1" x="411"/>
        <item m="1" x="528"/>
        <item m="1" x="826"/>
        <item m="1" x="811"/>
        <item m="1" x="816"/>
        <item m="1" x="1117"/>
        <item m="1" x="538"/>
        <item m="1" x="420"/>
        <item m="1" x="423"/>
        <item m="1" x="569"/>
        <item m="1" x="433"/>
        <item m="1" x="716"/>
        <item m="1" x="445"/>
        <item m="1" x="468"/>
        <item m="1" x="288"/>
        <item m="1" x="1024"/>
        <item m="1" x="1316"/>
        <item m="1" x="1159"/>
        <item m="1" x="802"/>
        <item m="1" x="709"/>
        <item m="1" x="462"/>
        <item m="1" x="364"/>
        <item m="1" x="1173"/>
        <item m="1" x="818"/>
        <item m="1" x="850"/>
        <item m="1" x="1052"/>
        <item m="1" x="975"/>
        <item m="1" x="822"/>
        <item m="1" x="705"/>
        <item m="1" x="1008"/>
        <item m="1" x="402"/>
        <item m="1" x="1157"/>
        <item m="1" x="1083"/>
        <item m="1" x="656"/>
        <item m="1" x="685"/>
        <item m="1" x="1253"/>
        <item m="1" x="937"/>
        <item m="1" x="789"/>
        <item m="1" x="1184"/>
        <item m="1" x="641"/>
        <item m="1" x="1161"/>
        <item m="1" x="552"/>
        <item m="1" x="929"/>
        <item m="1" x="1050"/>
        <item m="1" x="720"/>
        <item m="1" x="1198"/>
        <item m="1" x="1186"/>
        <item m="1" x="1164"/>
        <item m="1" x="579"/>
        <item m="1" x="1105"/>
        <item m="1" x="314"/>
        <item m="1" x="1104"/>
        <item m="1" x="467"/>
        <item m="1" x="493"/>
        <item m="1" x="1108"/>
        <item m="1" x="848"/>
        <item m="1" x="321"/>
        <item m="1" x="945"/>
        <item m="1" x="556"/>
        <item m="1" x="339"/>
        <item m="1" x="412"/>
        <item m="1" x="864"/>
        <item m="1" x="428"/>
        <item m="1" x="1063"/>
        <item m="1" x="971"/>
        <item m="1" x="988"/>
        <item m="1" x="1153"/>
        <item m="1" x="854"/>
        <item m="1" x="553"/>
        <item m="1" x="712"/>
        <item m="1" x="875"/>
        <item m="1" x="1075"/>
        <item m="1" x="514"/>
        <item m="1" x="930"/>
        <item m="1" x="1166"/>
        <item m="1" x="1236"/>
        <item m="1" x="1140"/>
        <item m="1" x="489"/>
        <item m="1" x="562"/>
        <item m="1" x="1275"/>
        <item m="1" x="324"/>
        <item m="1" x="1100"/>
        <item m="1" x="581"/>
        <item m="1" x="399"/>
        <item m="1" x="1325"/>
        <item m="1" x="870"/>
        <item x="178"/>
        <item m="1" x="1324"/>
        <item m="1" x="993"/>
        <item m="1" x="1073"/>
        <item m="1" x="901"/>
        <item m="1" x="381"/>
        <item m="1" x="448"/>
        <item m="1" x="1047"/>
        <item m="1" x="1311"/>
        <item m="1" x="352"/>
        <item m="1" x="1280"/>
        <item m="1" x="608"/>
        <item m="1" x="726"/>
        <item m="1" x="1122"/>
        <item m="1" x="846"/>
        <item m="1" x="536"/>
        <item m="1" x="284"/>
        <item m="1" x="355"/>
        <item m="1" x="484"/>
        <item m="1" x="483"/>
        <item m="1" x="829"/>
        <item m="1" x="1313"/>
        <item m="1" x="1226"/>
        <item m="1" x="940"/>
        <item m="1" x="758"/>
        <item m="1" x="898"/>
        <item m="1" x="575"/>
        <item m="1" x="731"/>
        <item m="1" x="294"/>
        <item m="1" x="277"/>
        <item m="1" x="1125"/>
        <item m="1" x="1094"/>
        <item m="1" x="838"/>
        <item m="1" x="723"/>
        <item m="1" x="404"/>
        <item m="1" x="752"/>
        <item m="1" x="739"/>
        <item m="1" x="531"/>
        <item m="1" x="790"/>
        <item m="1" x="458"/>
        <item m="1" x="1318"/>
        <item m="1" x="1279"/>
        <item m="1" x="618"/>
        <item m="1" x="1132"/>
        <item m="1" x="1097"/>
        <item m="1" x="391"/>
        <item m="1" x="452"/>
        <item m="1" x="958"/>
        <item m="1" x="319"/>
        <item m="1" x="296"/>
        <item m="1" x="357"/>
        <item m="1" x="741"/>
        <item m="1" x="275"/>
        <item m="1" x="511"/>
        <item m="1" x="861"/>
        <item m="1" x="453"/>
        <item m="1" x="1071"/>
        <item m="1" x="583"/>
        <item m="1" x="874"/>
        <item m="1" x="839"/>
        <item m="1" x="924"/>
        <item m="1" x="1200"/>
        <item m="1" x="1288"/>
        <item m="1" x="769"/>
        <item m="1" x="1124"/>
        <item m="1" x="1018"/>
        <item m="1" x="910"/>
        <item m="1" x="365"/>
        <item m="1" x="749"/>
        <item m="1" x="1074"/>
        <item m="1" x="842"/>
        <item m="1" x="652"/>
        <item m="1" x="708"/>
        <item m="1" x="1011"/>
        <item m="1" x="909"/>
        <item m="1" x="403"/>
        <item m="1" x="488"/>
        <item m="1" x="984"/>
        <item m="1" x="960"/>
        <item m="1" x="1146"/>
        <item m="1" x="550"/>
        <item m="1" x="719"/>
        <item m="1" x="666"/>
        <item m="1" x="1131"/>
        <item m="1" x="750"/>
        <item m="1" x="913"/>
        <item m="1" x="1145"/>
        <item m="1" x="871"/>
        <item m="1" x="943"/>
        <item m="1" x="884"/>
        <item m="1" x="397"/>
        <item m="1" x="880"/>
        <item m="1" x="573"/>
        <item m="1" x="377"/>
        <item m="1" x="887"/>
        <item m="1" x="390"/>
        <item m="1" x="603"/>
        <item m="1" x="561"/>
        <item m="1" x="997"/>
        <item m="1" x="315"/>
        <item m="1" x="1088"/>
        <item m="1" x="1266"/>
        <item m="1" x="571"/>
        <item m="1" x="459"/>
        <item m="1" x="588"/>
        <item m="1" x="977"/>
        <item m="1" x="1305"/>
        <item m="1" x="1301"/>
        <item m="1" x="600"/>
        <item m="1" x="302"/>
        <item m="1" x="530"/>
        <item m="1" x="1217"/>
        <item m="1" x="955"/>
        <item m="1" x="715"/>
        <item m="1" x="747"/>
        <item m="1" x="893"/>
        <item m="1" x="1031"/>
        <item m="1" x="682"/>
        <item m="1" x="325"/>
        <item m="1" x="775"/>
        <item m="1" x="911"/>
        <item m="1" x="907"/>
        <item m="1" x="1098"/>
        <item m="1" x="936"/>
        <item m="1" x="996"/>
        <item m="1" x="768"/>
        <item m="1" x="634"/>
        <item m="1" x="1136"/>
        <item m="1" x="1060"/>
        <item m="1" x="918"/>
        <item m="1" x="346"/>
        <item m="1" x="438"/>
        <item m="1" x="1062"/>
        <item m="1" x="814"/>
        <item m="1" x="1233"/>
        <item m="1" x="858"/>
        <item m="1" x="1300"/>
        <item m="1" x="904"/>
        <item m="1" x="580"/>
        <item m="1" x="1196"/>
        <item m="1" x="1179"/>
        <item m="1" x="1049"/>
        <item m="1" x="966"/>
        <item m="1" x="1003"/>
        <item m="1" x="905"/>
        <item m="1" x="332"/>
        <item m="1" x="336"/>
        <item m="1" x="318"/>
        <item m="1" x="327"/>
        <item m="1" x="596"/>
        <item m="1" x="1172"/>
        <item m="1" x="1070"/>
        <item m="1" x="441"/>
        <item m="1" x="1215"/>
        <item m="1" x="962"/>
        <item m="1" x="1009"/>
        <item m="1" x="890"/>
        <item m="1" x="982"/>
        <item m="1" x="1231"/>
        <item m="1" x="1323"/>
        <item m="1" x="592"/>
        <item m="1" x="1295"/>
        <item m="1" x="485"/>
        <item m="1" x="852"/>
        <item m="1" x="806"/>
        <item m="1" x="389"/>
        <item m="1" x="771"/>
        <item m="1" x="894"/>
        <item m="1" x="1256"/>
        <item m="1" x="481"/>
        <item m="1" x="1294"/>
        <item m="1" x="342"/>
        <item m="1" x="689"/>
        <item m="1" x="1032"/>
        <item m="1" x="421"/>
        <item m="1" x="667"/>
        <item m="1" x="329"/>
        <item m="1" x="1121"/>
        <item m="1" x="1263"/>
        <item m="1" x="1221"/>
        <item m="1" x="1080"/>
        <item m="1" x="1109"/>
        <item m="1" x="970"/>
        <item m="1" x="1019"/>
        <item m="1" x="785"/>
        <item m="1" x="427"/>
        <item m="1" x="1006"/>
        <item m="1" x="957"/>
        <item m="1" x="1142"/>
        <item m="1" x="840"/>
        <item m="1" x="817"/>
        <item m="1" x="507"/>
        <item m="1" x="463"/>
        <item m="1" x="662"/>
        <item m="1" x="344"/>
        <item m="1" x="730"/>
        <item m="1" x="442"/>
        <item m="1" x="836"/>
        <item m="1" x="1141"/>
        <item x="32"/>
        <item x="35"/>
        <item x="36"/>
        <item x="59"/>
        <item m="1" x="995"/>
        <item m="1" x="841"/>
        <item m="1" x="1041"/>
        <item m="1" x="835"/>
        <item x="55"/>
        <item x="18"/>
        <item x="19"/>
        <item x="40"/>
        <item x="39"/>
        <item x="42"/>
        <item x="43"/>
        <item m="1" x="597"/>
        <item x="56"/>
        <item m="1" x="1199"/>
        <item x="44"/>
        <item x="45"/>
        <item x="46"/>
        <item m="1" x="986"/>
        <item x="139"/>
        <item x="47"/>
        <item x="57"/>
        <item m="1" x="622"/>
        <item x="48"/>
        <item x="50"/>
        <item x="51"/>
        <item x="52"/>
        <item x="72"/>
        <item x="102"/>
        <item m="1" x="526"/>
        <item x="6"/>
        <item x="194"/>
        <item x="260"/>
        <item x="49"/>
        <item x="54"/>
        <item x="58"/>
        <item x="62"/>
        <item x="63"/>
        <item x="64"/>
        <item x="65"/>
        <item x="66"/>
        <item x="67"/>
        <item x="68"/>
        <item x="203"/>
        <item x="99"/>
        <item x="69"/>
        <item m="1" x="717"/>
        <item x="95"/>
        <item x="147"/>
        <item m="1" x="1168"/>
        <item x="22"/>
        <item x="70"/>
        <item x="71"/>
        <item x="73"/>
        <item x="74"/>
        <item x="75"/>
        <item x="132"/>
        <item x="76"/>
        <item x="77"/>
        <item x="78"/>
        <item x="79"/>
        <item x="80"/>
        <item x="81"/>
        <item x="8"/>
        <item x="246"/>
        <item x="96"/>
        <item m="1" x="1205"/>
        <item m="1" x="813"/>
        <item x="98"/>
        <item x="14"/>
        <item m="1" x="1255"/>
        <item x="148"/>
        <item x="83"/>
        <item m="1" x="400"/>
        <item x="224"/>
        <item x="86"/>
        <item x="87"/>
        <item x="88"/>
        <item x="3"/>
        <item m="1" x="759"/>
        <item x="97"/>
        <item x="85"/>
        <item x="89"/>
        <item x="90"/>
        <item x="104"/>
        <item x="94"/>
        <item x="107"/>
        <item x="100"/>
        <item x="105"/>
        <item x="91"/>
        <item x="103"/>
        <item x="108"/>
        <item x="109"/>
        <item x="110"/>
        <item x="112"/>
        <item x="111"/>
        <item m="1" x="415"/>
        <item x="144"/>
        <item x="5"/>
        <item m="1" x="906"/>
        <item x="228"/>
        <item m="1" x="766"/>
        <item x="136"/>
        <item x="134"/>
        <item x="133"/>
        <item x="135"/>
        <item x="235"/>
        <item m="1" x="610"/>
        <item m="1" x="584"/>
        <item m="1" x="291"/>
        <item x="226"/>
        <item x="193"/>
        <item x="143"/>
        <item x="113"/>
        <item x="114"/>
        <item x="119"/>
        <item x="121"/>
        <item x="123"/>
        <item x="10"/>
        <item m="1" x="338"/>
        <item x="4"/>
        <item m="1" x="1322"/>
        <item x="11"/>
        <item x="118"/>
        <item x="120"/>
        <item x="122"/>
        <item x="124"/>
        <item x="128"/>
        <item x="243"/>
        <item x="209"/>
        <item x="140"/>
        <item x="9"/>
        <item x="190"/>
        <item x="253"/>
        <item x="127"/>
        <item x="244"/>
        <item x="141"/>
        <item x="142"/>
        <item x="222"/>
        <item x="126"/>
        <item x="129"/>
        <item x="138"/>
        <item x="219"/>
        <item x="220"/>
        <item x="221"/>
        <item m="1" x="844"/>
        <item x="130"/>
        <item x="131"/>
        <item x="150"/>
        <item x="151"/>
        <item x="152"/>
        <item x="153"/>
        <item x="154"/>
        <item x="155"/>
        <item x="156"/>
        <item x="165"/>
        <item x="231"/>
        <item x="191"/>
        <item x="233"/>
        <item x="185"/>
        <item x="158"/>
        <item x="159"/>
        <item x="162"/>
        <item x="207"/>
        <item m="1" x="659"/>
        <item x="218"/>
        <item m="1" x="372"/>
        <item x="225"/>
        <item x="232"/>
        <item x="192"/>
        <item x="161"/>
        <item x="245"/>
        <item x="261"/>
        <item x="210"/>
        <item x="205"/>
        <item x="163"/>
        <item x="160"/>
        <item x="170"/>
        <item x="249"/>
        <item x="164"/>
        <item x="217"/>
        <item x="166"/>
        <item x="250"/>
        <item x="230"/>
        <item x="187"/>
        <item x="237"/>
        <item x="167"/>
        <item x="168"/>
        <item x="169"/>
        <item x="171"/>
        <item x="223"/>
        <item x="172"/>
        <item x="173"/>
        <item x="174"/>
        <item x="176"/>
        <item x="196"/>
        <item x="215"/>
        <item x="188"/>
        <item x="201"/>
        <item x="216"/>
        <item x="13"/>
        <item x="21"/>
        <item x="175"/>
        <item x="177"/>
        <item x="180"/>
        <item x="181"/>
        <item x="182"/>
        <item x="186"/>
        <item x="189"/>
        <item x="195"/>
        <item x="197"/>
        <item x="199"/>
        <item x="200"/>
        <item x="202"/>
        <item x="206"/>
        <item x="208"/>
        <item x="211"/>
        <item x="227"/>
        <item x="229"/>
        <item x="236"/>
        <item x="239"/>
        <item x="240"/>
        <item x="241"/>
        <item x="247"/>
      </items>
    </pivotField>
    <pivotField dataField="1"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25">
        <item m="1" x="15"/>
        <item m="1" x="18"/>
        <item m="1" x="13"/>
        <item m="1" x="20"/>
        <item m="1" x="14"/>
        <item m="1" x="24"/>
        <item m="1" x="17"/>
        <item x="12"/>
        <item x="8"/>
        <item x="11"/>
        <item x="0"/>
        <item x="5"/>
        <item x="3"/>
        <item x="1"/>
        <item x="10"/>
        <item x="9"/>
        <item x="4"/>
        <item m="1" x="22"/>
        <item m="1" x="19"/>
        <item m="1" x="23"/>
        <item m="1" x="16"/>
        <item m="1" x="21"/>
        <item x="2"/>
        <item x="7"/>
        <item x="6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6">
    <field x="7"/>
    <field x="8"/>
    <field x="13"/>
    <field x="44"/>
    <field x="43"/>
    <field x="5"/>
  </rowFields>
  <rowItems count="963">
    <i>
      <x/>
      <x v="79"/>
      <x v="16"/>
      <x/>
    </i>
    <i r="4">
      <x v="8"/>
    </i>
    <i r="5">
      <x v="244"/>
    </i>
    <i r="1">
      <x v="193"/>
      <x v="10"/>
      <x/>
    </i>
    <i r="4">
      <x v="2"/>
    </i>
    <i r="5">
      <x v="51"/>
    </i>
    <i r="4">
      <x v="3"/>
    </i>
    <i r="5">
      <x v="73"/>
    </i>
    <i r="1">
      <x v="493"/>
      <x v="22"/>
      <x/>
    </i>
    <i r="4">
      <x v="2"/>
    </i>
    <i r="5">
      <x v="59"/>
    </i>
    <i r="1">
      <x v="507"/>
      <x v="10"/>
      <x/>
    </i>
    <i r="4">
      <x v="2"/>
    </i>
    <i r="5">
      <x v="49"/>
    </i>
    <i r="1">
      <x v="1112"/>
      <x v="10"/>
      <x/>
    </i>
    <i r="4">
      <x v="1"/>
    </i>
    <i r="5">
      <x v="21"/>
    </i>
    <i r="1">
      <x v="1158"/>
      <x v="10"/>
      <x/>
    </i>
    <i r="4">
      <x v="3"/>
    </i>
    <i r="5">
      <x v="91"/>
    </i>
    <i r="1">
      <x v="1165"/>
      <x v="10"/>
      <x/>
    </i>
    <i r="4">
      <x v="3"/>
    </i>
    <i r="5">
      <x v="73"/>
    </i>
    <i r="1">
      <x v="1205"/>
      <x v="10"/>
      <x/>
    </i>
    <i r="4">
      <x v="3"/>
    </i>
    <i r="5">
      <x v="91"/>
    </i>
    <i r="1">
      <x v="1206"/>
      <x v="10"/>
      <x/>
    </i>
    <i r="4">
      <x v="3"/>
    </i>
    <i r="5">
      <x v="91"/>
    </i>
    <i r="1">
      <x v="1207"/>
      <x v="10"/>
      <x/>
    </i>
    <i r="4">
      <x v="3"/>
    </i>
    <i r="5">
      <x v="91"/>
    </i>
    <i r="1">
      <x v="1265"/>
      <x v="16"/>
      <x/>
    </i>
    <i r="4">
      <x v="5"/>
    </i>
    <i r="5">
      <x v="152"/>
    </i>
    <i r="1">
      <x v="1276"/>
      <x v="8"/>
      <x/>
    </i>
    <i r="4">
      <x v="5"/>
    </i>
    <i r="5">
      <x v="152"/>
    </i>
    <i r="1">
      <x v="1311"/>
      <x v="10"/>
      <x/>
    </i>
    <i r="4">
      <x v="5"/>
    </i>
    <i r="5">
      <x v="122"/>
    </i>
    <i r="1">
      <x v="1316"/>
      <x v="16"/>
      <x/>
    </i>
    <i r="4">
      <x v="5"/>
    </i>
    <i r="5">
      <x v="152"/>
    </i>
    <i r="1">
      <x v="1317"/>
      <x v="16"/>
      <x/>
    </i>
    <i r="4">
      <x v="5"/>
    </i>
    <i r="5">
      <x v="152"/>
    </i>
    <i>
      <x v="1"/>
      <x v="80"/>
      <x v="16"/>
      <x/>
    </i>
    <i r="4">
      <x v="9"/>
    </i>
    <i r="5">
      <x v="264"/>
    </i>
    <i r="1">
      <x v="193"/>
      <x v="10"/>
      <x/>
    </i>
    <i r="4">
      <x v="4"/>
    </i>
    <i r="5">
      <x v="120"/>
    </i>
    <i r="1">
      <x v="1107"/>
      <x v="22"/>
      <x/>
    </i>
    <i r="4">
      <x v="1"/>
    </i>
    <i r="5">
      <x v="31"/>
    </i>
    <i r="1">
      <x v="1297"/>
      <x v="16"/>
      <x/>
    </i>
    <i r="4">
      <x v="5"/>
    </i>
    <i r="5">
      <x v="122"/>
    </i>
    <i>
      <x v="2"/>
      <x v="442"/>
      <x v="10"/>
      <x/>
    </i>
    <i r="4">
      <x v="1"/>
    </i>
    <i r="5">
      <x v="7"/>
    </i>
    <i r="1">
      <x v="1099"/>
      <x v="10"/>
      <x/>
    </i>
    <i r="4">
      <x v="1"/>
    </i>
    <i r="5">
      <x v="9"/>
    </i>
    <i r="1">
      <x v="1118"/>
      <x v="10"/>
      <x/>
    </i>
    <i r="4">
      <x v="1"/>
    </i>
    <i r="5">
      <x v="24"/>
    </i>
    <i>
      <x v="4"/>
      <x v="193"/>
      <x v="10"/>
      <x/>
    </i>
    <i r="4">
      <x v="3"/>
    </i>
    <i r="5">
      <x v="73"/>
    </i>
    <i r="1">
      <x v="234"/>
      <x v="10"/>
      <x/>
    </i>
    <i r="4">
      <x v="1"/>
    </i>
    <i r="5">
      <x v="12"/>
    </i>
    <i>
      <x v="5"/>
      <x v="104"/>
      <x v="10"/>
      <x/>
    </i>
    <i r="4">
      <x v="4"/>
    </i>
    <i r="5">
      <x v="121"/>
    </i>
    <i r="1">
      <x v="193"/>
      <x v="10"/>
      <x/>
    </i>
    <i r="4">
      <x v="5"/>
    </i>
    <i r="5">
      <x v="122"/>
    </i>
    <i r="1">
      <x v="507"/>
      <x v="10"/>
      <x/>
    </i>
    <i r="4">
      <x v="2"/>
    </i>
    <i r="5">
      <x v="49"/>
    </i>
    <i>
      <x v="6"/>
      <x v="79"/>
      <x v="16"/>
      <x/>
    </i>
    <i r="4">
      <x v="8"/>
    </i>
    <i r="5">
      <x v="244"/>
    </i>
    <i r="1">
      <x v="193"/>
      <x v="10"/>
      <x/>
    </i>
    <i r="4">
      <x v="3"/>
    </i>
    <i r="5">
      <x v="73"/>
    </i>
    <i r="1">
      <x v="236"/>
      <x v="10"/>
      <x/>
    </i>
    <i r="4">
      <x v="4"/>
    </i>
    <i r="5">
      <x v="99"/>
    </i>
    <i r="1">
      <x v="309"/>
      <x v="10"/>
      <x/>
    </i>
    <i r="4">
      <x v="2"/>
    </i>
    <i r="5">
      <x v="59"/>
    </i>
    <i>
      <x v="10"/>
      <x v="193"/>
      <x v="10"/>
      <x/>
    </i>
    <i r="4">
      <x v="1"/>
    </i>
    <i r="5">
      <x v="2"/>
    </i>
    <i>
      <x v="11"/>
      <x v="85"/>
      <x v="13"/>
      <x/>
    </i>
    <i r="4">
      <x v="5"/>
    </i>
    <i r="5">
      <x v="152"/>
    </i>
    <i r="1">
      <x v="181"/>
      <x v="10"/>
      <x/>
    </i>
    <i r="4">
      <x v="3"/>
    </i>
    <i r="5">
      <x v="91"/>
    </i>
    <i r="1">
      <x v="254"/>
      <x v="13"/>
      <x/>
    </i>
    <i r="4">
      <x v="12"/>
    </i>
    <i r="5">
      <x v="366"/>
    </i>
    <i r="1">
      <x v="276"/>
      <x v="15"/>
      <x/>
    </i>
    <i r="4">
      <x v="8"/>
    </i>
    <i r="5">
      <x v="243"/>
    </i>
    <i r="1">
      <x v="1113"/>
      <x v="10"/>
      <x/>
    </i>
    <i r="4">
      <x v="1"/>
    </i>
    <i r="5">
      <x v="21"/>
    </i>
    <i r="1">
      <x v="1280"/>
      <x v="8"/>
      <x/>
    </i>
    <i r="4">
      <x v="8"/>
    </i>
    <i r="5">
      <x v="244"/>
    </i>
    <i r="1">
      <x v="1284"/>
      <x v="8"/>
      <x/>
    </i>
    <i r="4">
      <x v="8"/>
    </i>
    <i r="5">
      <x v="244"/>
    </i>
    <i>
      <x v="12"/>
      <x v="533"/>
      <x v="10"/>
      <x/>
    </i>
    <i r="4">
      <x v="1"/>
    </i>
    <i r="5">
      <x v="8"/>
    </i>
    <i r="1">
      <x v="1300"/>
      <x v="8"/>
      <x/>
    </i>
    <i r="4">
      <x v="5"/>
    </i>
    <i r="5">
      <x v="138"/>
    </i>
    <i r="1">
      <x v="1309"/>
      <x v="10"/>
      <x/>
    </i>
    <i r="4">
      <x v="4"/>
    </i>
    <i r="5">
      <x v="121"/>
    </i>
    <i>
      <x v="13"/>
      <x v="70"/>
      <x v="12"/>
      <x/>
    </i>
    <i r="4">
      <x v="7"/>
    </i>
    <i r="5">
      <x v="213"/>
    </i>
    <i r="1">
      <x v="79"/>
      <x v="12"/>
      <x/>
    </i>
    <i r="4">
      <x v="6"/>
    </i>
    <i r="5">
      <x v="182"/>
    </i>
    <i r="1">
      <x v="215"/>
      <x v="12"/>
      <x/>
    </i>
    <i r="4">
      <x v="8"/>
    </i>
    <i r="5">
      <x v="244"/>
    </i>
    <i r="1">
      <x v="507"/>
      <x v="10"/>
      <x/>
    </i>
    <i r="4">
      <x v="2"/>
    </i>
    <i r="5">
      <x v="49"/>
    </i>
    <i r="1">
      <x v="1160"/>
      <x v="10"/>
      <x/>
    </i>
    <i r="4">
      <x v="2"/>
    </i>
    <i r="5">
      <x v="44"/>
    </i>
    <i r="1">
      <x v="1185"/>
      <x v="10"/>
      <x/>
    </i>
    <i r="4">
      <x v="2"/>
    </i>
    <i r="5">
      <x v="57"/>
    </i>
    <i r="1">
      <x v="1243"/>
      <x v="10"/>
      <x/>
    </i>
    <i r="4">
      <x v="3"/>
    </i>
    <i r="5">
      <x v="91"/>
    </i>
    <i r="1">
      <x v="1263"/>
      <x v="10"/>
      <x/>
    </i>
    <i r="4">
      <x v="4"/>
    </i>
    <i r="5">
      <x v="101"/>
    </i>
    <i r="1">
      <x v="1305"/>
      <x v="10"/>
      <x/>
    </i>
    <i r="4">
      <x v="4"/>
    </i>
    <i r="5">
      <x v="117"/>
    </i>
    <i>
      <x v="14"/>
      <x v="85"/>
      <x v="12"/>
      <x/>
    </i>
    <i r="4">
      <x v="7"/>
    </i>
    <i r="5">
      <x v="213"/>
    </i>
    <i r="1">
      <x v="193"/>
      <x v="10"/>
      <x/>
    </i>
    <i r="4">
      <x v="1"/>
    </i>
    <i r="5">
      <x v="14"/>
    </i>
    <i r="1">
      <x v="1121"/>
      <x v="22"/>
      <x/>
    </i>
    <i r="4">
      <x v="3"/>
    </i>
    <i r="5">
      <x v="91"/>
    </i>
    <i r="1">
      <x v="1180"/>
      <x v="10"/>
      <x/>
    </i>
    <i r="4">
      <x v="3"/>
    </i>
    <i r="5">
      <x v="91"/>
    </i>
    <i>
      <x v="15"/>
      <x v="478"/>
      <x v="10"/>
      <x/>
    </i>
    <i r="4">
      <x v="3"/>
    </i>
    <i r="5">
      <x v="74"/>
    </i>
    <i r="5">
      <x v="87"/>
    </i>
    <i r="1">
      <x v="1117"/>
      <x v="10"/>
      <x/>
    </i>
    <i r="4">
      <x v="2"/>
    </i>
    <i r="5">
      <x v="44"/>
    </i>
    <i r="1">
      <x v="1183"/>
      <x v="13"/>
      <x/>
    </i>
    <i r="4">
      <x v="2"/>
    </i>
    <i r="5">
      <x v="49"/>
    </i>
    <i r="1">
      <x v="1274"/>
      <x v="13"/>
      <x/>
    </i>
    <i r="4">
      <x v="5"/>
    </i>
    <i r="5">
      <x v="152"/>
    </i>
    <i>
      <x v="16"/>
      <x v="85"/>
      <x v="13"/>
      <x/>
    </i>
    <i r="4">
      <x v="4"/>
    </i>
    <i r="5">
      <x v="121"/>
    </i>
    <i r="4">
      <x v="7"/>
    </i>
    <i r="5">
      <x v="213"/>
    </i>
    <i r="1">
      <x v="273"/>
      <x v="8"/>
      <x/>
    </i>
    <i r="4">
      <x v="12"/>
    </i>
    <i r="5">
      <x v="366"/>
    </i>
    <i r="1">
      <x v="278"/>
      <x v="8"/>
      <x/>
    </i>
    <i r="4">
      <x v="12"/>
    </i>
    <i r="5">
      <x v="366"/>
    </i>
    <i>
      <x v="17"/>
      <x v="249"/>
      <x v="10"/>
      <x/>
    </i>
    <i r="4">
      <x v="3"/>
    </i>
    <i r="5">
      <x v="74"/>
    </i>
    <i>
      <x v="22"/>
      <x v="73"/>
      <x v="8"/>
      <x/>
    </i>
    <i r="4">
      <x v="7"/>
    </i>
    <i r="5">
      <x v="190"/>
    </i>
    <i r="1">
      <x v="1132"/>
      <x v="13"/>
      <x/>
    </i>
    <i r="4">
      <x v="7"/>
    </i>
    <i r="5">
      <x v="190"/>
    </i>
    <i r="1">
      <x v="1152"/>
      <x v="22"/>
      <x/>
    </i>
    <i r="4">
      <x v="5"/>
    </i>
    <i r="5">
      <x v="152"/>
    </i>
    <i r="1">
      <x v="1222"/>
      <x v="10"/>
      <x/>
    </i>
    <i r="4">
      <x v="3"/>
    </i>
    <i r="5">
      <x v="91"/>
    </i>
    <i r="1">
      <x v="1244"/>
      <x v="10"/>
      <x/>
    </i>
    <i r="4">
      <x v="5"/>
    </i>
    <i r="5">
      <x v="152"/>
    </i>
    <i r="1">
      <x v="1245"/>
      <x v="8"/>
      <x/>
    </i>
    <i r="4">
      <x v="5"/>
    </i>
    <i r="5">
      <x v="152"/>
    </i>
    <i r="1">
      <x v="1246"/>
      <x v="8"/>
      <x/>
    </i>
    <i r="4">
      <x v="5"/>
    </i>
    <i r="5">
      <x v="152"/>
    </i>
    <i r="1">
      <x v="1267"/>
      <x v="8"/>
      <x/>
    </i>
    <i r="4">
      <x v="5"/>
    </i>
    <i r="5">
      <x v="152"/>
    </i>
    <i r="1">
      <x v="1273"/>
      <x v="16"/>
      <x/>
    </i>
    <i r="4">
      <x v="6"/>
    </i>
    <i r="5">
      <x v="182"/>
    </i>
    <i r="1">
      <x v="1303"/>
      <x v="13"/>
      <x/>
    </i>
    <i r="4">
      <x v="5"/>
    </i>
    <i r="5">
      <x v="152"/>
    </i>
    <i r="1">
      <x v="1306"/>
      <x v="10"/>
      <x/>
    </i>
    <i r="4">
      <x v="4"/>
    </i>
    <i r="5">
      <x v="120"/>
    </i>
    <i>
      <x v="25"/>
      <x v="80"/>
      <x v="12"/>
      <x/>
    </i>
    <i r="4">
      <x v="6"/>
    </i>
    <i r="5">
      <x v="174"/>
    </i>
    <i r="1">
      <x v="249"/>
      <x v="16"/>
      <x/>
    </i>
    <i r="4">
      <x v="6"/>
    </i>
    <i r="5">
      <x v="180"/>
    </i>
    <i r="1">
      <x v="306"/>
      <x v="10"/>
      <x/>
    </i>
    <i r="4">
      <x v="1"/>
    </i>
    <i r="5">
      <x v="16"/>
    </i>
    <i r="1">
      <x v="319"/>
      <x v="10"/>
      <x/>
    </i>
    <i r="4">
      <x v="1"/>
    </i>
    <i r="5">
      <x v="3"/>
    </i>
    <i r="1">
      <x v="534"/>
      <x v="10"/>
      <x/>
    </i>
    <i r="4">
      <x v="1"/>
    </i>
    <i r="5">
      <x v="9"/>
    </i>
    <i r="1">
      <x v="535"/>
      <x v="10"/>
      <x/>
    </i>
    <i r="4">
      <x v="1"/>
    </i>
    <i r="5">
      <x v="9"/>
    </i>
    <i r="1">
      <x v="1100"/>
      <x v="10"/>
      <x/>
    </i>
    <i r="4">
      <x v="1"/>
    </i>
    <i r="5">
      <x v="11"/>
    </i>
    <i r="1">
      <x v="1101"/>
      <x v="10"/>
      <x/>
    </i>
    <i r="4">
      <x v="1"/>
    </i>
    <i r="5">
      <x v="11"/>
    </i>
    <i r="1">
      <x v="1117"/>
      <x v="10"/>
      <x/>
    </i>
    <i r="4">
      <x v="1"/>
    </i>
    <i r="5">
      <x v="23"/>
    </i>
    <i r="1">
      <x v="1119"/>
      <x v="10"/>
      <x/>
    </i>
    <i r="4">
      <x v="1"/>
    </i>
    <i r="5">
      <x v="25"/>
    </i>
    <i r="4">
      <x v="2"/>
    </i>
    <i r="5">
      <x v="32"/>
    </i>
    <i r="1">
      <x v="1123"/>
      <x v="10"/>
      <x/>
    </i>
    <i r="4">
      <x v="1"/>
    </i>
    <i r="5">
      <x v="31"/>
    </i>
    <i r="1">
      <x v="1125"/>
      <x v="10"/>
      <x/>
    </i>
    <i r="4">
      <x v="1"/>
    </i>
    <i r="5">
      <x v="30"/>
    </i>
    <i r="1">
      <x v="1126"/>
      <x v="10"/>
      <x/>
    </i>
    <i r="4">
      <x v="1"/>
    </i>
    <i r="5">
      <x v="30"/>
    </i>
    <i r="1">
      <x v="1127"/>
      <x v="10"/>
      <x/>
    </i>
    <i r="4">
      <x v="1"/>
    </i>
    <i r="5">
      <x v="30"/>
    </i>
    <i r="1">
      <x v="1128"/>
      <x v="10"/>
      <x/>
    </i>
    <i r="4">
      <x v="1"/>
    </i>
    <i r="5">
      <x v="30"/>
    </i>
    <i r="1">
      <x v="1134"/>
      <x v="10"/>
      <x/>
    </i>
    <i r="4">
      <x v="4"/>
    </i>
    <i r="5">
      <x v="121"/>
    </i>
    <i r="1">
      <x v="1135"/>
      <x v="10"/>
      <x/>
    </i>
    <i r="4">
      <x v="1"/>
    </i>
    <i r="5">
      <x v="30"/>
    </i>
    <i r="1">
      <x v="1137"/>
      <x v="10"/>
      <x/>
    </i>
    <i r="4">
      <x v="1"/>
    </i>
    <i r="5">
      <x v="31"/>
    </i>
    <i r="1">
      <x v="1139"/>
      <x v="13"/>
      <x/>
    </i>
    <i r="4">
      <x v="2"/>
    </i>
    <i r="5">
      <x v="32"/>
    </i>
    <i r="1">
      <x v="1141"/>
      <x v="10"/>
      <x/>
    </i>
    <i r="4">
      <x v="2"/>
    </i>
    <i r="5">
      <x v="35"/>
    </i>
    <i r="1">
      <x v="1142"/>
      <x v="10"/>
      <x/>
    </i>
    <i r="4">
      <x v="2"/>
    </i>
    <i r="5">
      <x v="35"/>
    </i>
    <i r="1">
      <x v="1143"/>
      <x v="10"/>
      <x/>
    </i>
    <i r="4">
      <x v="2"/>
    </i>
    <i r="5">
      <x v="35"/>
    </i>
    <i r="1">
      <x v="1144"/>
      <x v="10"/>
      <x/>
    </i>
    <i r="4">
      <x v="2"/>
    </i>
    <i r="5">
      <x v="36"/>
    </i>
    <i r="1">
      <x v="1145"/>
      <x v="22"/>
      <x/>
    </i>
    <i r="4">
      <x v="5"/>
    </i>
    <i r="5">
      <x v="148"/>
    </i>
    <i r="1">
      <x v="1146"/>
      <x v="13"/>
      <x/>
    </i>
    <i r="4">
      <x v="2"/>
    </i>
    <i r="5">
      <x v="59"/>
    </i>
    <i r="1">
      <x v="1147"/>
      <x v="10"/>
      <x/>
    </i>
    <i r="4">
      <x v="2"/>
    </i>
    <i r="5">
      <x v="37"/>
    </i>
    <i r="1">
      <x v="1153"/>
      <x v="10"/>
      <x/>
    </i>
    <i r="4">
      <x v="2"/>
    </i>
    <i r="5">
      <x v="37"/>
    </i>
    <i r="1">
      <x v="1155"/>
      <x v="10"/>
      <x/>
    </i>
    <i r="4">
      <x v="2"/>
    </i>
    <i r="5">
      <x v="42"/>
    </i>
    <i r="1">
      <x v="1156"/>
      <x v="10"/>
      <x/>
    </i>
    <i r="4">
      <x v="2"/>
    </i>
    <i r="5">
      <x v="42"/>
    </i>
    <i r="1">
      <x v="1161"/>
      <x v="10"/>
      <x/>
    </i>
    <i r="4">
      <x v="2"/>
    </i>
    <i r="5">
      <x v="44"/>
    </i>
    <i r="1">
      <x v="1162"/>
      <x v="13"/>
      <x/>
    </i>
    <i r="4">
      <x v="2"/>
    </i>
    <i r="5">
      <x v="44"/>
    </i>
    <i r="1">
      <x v="1163"/>
      <x v="10"/>
      <x/>
    </i>
    <i r="4">
      <x v="2"/>
    </i>
    <i r="5">
      <x v="44"/>
    </i>
    <i r="1">
      <x v="1166"/>
      <x v="12"/>
      <x/>
    </i>
    <i r="4">
      <x v="6"/>
    </i>
    <i r="5">
      <x v="182"/>
    </i>
    <i r="1">
      <x v="1167"/>
      <x v="10"/>
      <x/>
    </i>
    <i r="4">
      <x v="2"/>
    </i>
    <i r="5">
      <x v="59"/>
    </i>
    <i r="1">
      <x v="1170"/>
      <x v="22"/>
      <x/>
    </i>
    <i r="4">
      <x v="2"/>
    </i>
    <i r="5">
      <x v="59"/>
    </i>
    <i r="1">
      <x v="1171"/>
      <x v="22"/>
      <x/>
    </i>
    <i r="4">
      <x v="5"/>
    </i>
    <i r="5">
      <x v="151"/>
    </i>
    <i r="1">
      <x v="1174"/>
      <x v="10"/>
      <x/>
    </i>
    <i r="4">
      <x v="2"/>
    </i>
    <i r="5">
      <x v="46"/>
    </i>
    <i r="1">
      <x v="1176"/>
      <x v="16"/>
      <x/>
    </i>
    <i r="4">
      <x v="5"/>
    </i>
    <i r="5">
      <x v="152"/>
    </i>
    <i r="1">
      <x v="1177"/>
      <x v="10"/>
      <x/>
    </i>
    <i r="4">
      <x v="2"/>
    </i>
    <i r="5">
      <x v="51"/>
    </i>
    <i r="1">
      <x v="1178"/>
      <x v="10"/>
      <x/>
    </i>
    <i r="4">
      <x v="2"/>
    </i>
    <i r="5">
      <x v="51"/>
    </i>
    <i r="1">
      <x v="1179"/>
      <x v="10"/>
      <x/>
    </i>
    <i r="4">
      <x v="2"/>
    </i>
    <i r="5">
      <x v="51"/>
    </i>
    <i r="1">
      <x v="1182"/>
      <x v="10"/>
      <x/>
    </i>
    <i r="4">
      <x v="2"/>
    </i>
    <i r="5">
      <x v="59"/>
    </i>
    <i r="1">
      <x v="1184"/>
      <x v="10"/>
      <x/>
    </i>
    <i r="4">
      <x v="2"/>
    </i>
    <i r="5">
      <x v="56"/>
    </i>
    <i r="1">
      <x v="1188"/>
      <x v="8"/>
      <x/>
    </i>
    <i r="4">
      <x v="3"/>
    </i>
    <i r="5">
      <x v="61"/>
    </i>
    <i r="1">
      <x v="1189"/>
      <x v="13"/>
      <x/>
    </i>
    <i r="4">
      <x v="2"/>
    </i>
    <i r="5">
      <x v="59"/>
    </i>
    <i r="1">
      <x v="1191"/>
      <x v="10"/>
      <x/>
    </i>
    <i r="4">
      <x v="2"/>
    </i>
    <i r="5">
      <x v="58"/>
    </i>
    <i r="1">
      <x v="1195"/>
      <x v="10"/>
      <x/>
    </i>
    <i r="4">
      <x v="3"/>
    </i>
    <i r="5">
      <x v="65"/>
    </i>
    <i r="1">
      <x v="1197"/>
      <x v="10"/>
      <x/>
    </i>
    <i r="4">
      <x v="3"/>
    </i>
    <i r="5">
      <x v="66"/>
    </i>
    <i r="1">
      <x v="1202"/>
      <x v="16"/>
      <x/>
    </i>
    <i r="4">
      <x v="5"/>
    </i>
    <i r="5">
      <x v="152"/>
    </i>
    <i r="1">
      <x v="1212"/>
      <x v="10"/>
      <x/>
    </i>
    <i r="4">
      <x v="5"/>
    </i>
    <i r="5">
      <x v="152"/>
    </i>
    <i r="1">
      <x v="1228"/>
      <x v="10"/>
      <x/>
    </i>
    <i r="4">
      <x v="3"/>
    </i>
    <i r="5">
      <x v="80"/>
    </i>
    <i r="1">
      <x v="1232"/>
      <x v="10"/>
      <x/>
    </i>
    <i r="4">
      <x v="3"/>
    </i>
    <i r="5">
      <x v="91"/>
    </i>
    <i r="4">
      <x v="4"/>
    </i>
    <i r="5">
      <x v="101"/>
    </i>
    <i r="1">
      <x v="1233"/>
      <x v="10"/>
      <x/>
    </i>
    <i r="4">
      <x v="3"/>
    </i>
    <i r="5">
      <x v="91"/>
    </i>
    <i r="1">
      <x v="1234"/>
      <x v="10"/>
      <x/>
    </i>
    <i r="4">
      <x v="4"/>
    </i>
    <i r="5">
      <x v="121"/>
    </i>
    <i r="1">
      <x v="1238"/>
      <x v="13"/>
      <x/>
    </i>
    <i r="4">
      <x v="3"/>
    </i>
    <i r="5">
      <x v="91"/>
    </i>
    <i r="1">
      <x v="1239"/>
      <x v="10"/>
      <x/>
    </i>
    <i r="4">
      <x v="3"/>
    </i>
    <i r="5">
      <x v="91"/>
    </i>
    <i r="1">
      <x v="1240"/>
      <x v="8"/>
      <x/>
    </i>
    <i r="4">
      <x v="5"/>
    </i>
    <i r="5">
      <x v="152"/>
    </i>
    <i r="1">
      <x v="1241"/>
      <x v="10"/>
      <x/>
    </i>
    <i r="4">
      <x v="3"/>
    </i>
    <i r="5">
      <x v="87"/>
    </i>
    <i r="1">
      <x v="1242"/>
      <x v="13"/>
      <x/>
    </i>
    <i r="4">
      <x v="3"/>
    </i>
    <i r="5">
      <x v="89"/>
    </i>
    <i r="1">
      <x v="1248"/>
      <x v="10"/>
      <x/>
    </i>
    <i r="4">
      <x v="3"/>
    </i>
    <i r="5">
      <x v="89"/>
    </i>
    <i r="1">
      <x v="1249"/>
      <x v="10"/>
      <x/>
    </i>
    <i r="4">
      <x v="3"/>
    </i>
    <i r="5">
      <x v="89"/>
    </i>
    <i r="1">
      <x v="1251"/>
      <x v="10"/>
      <x/>
    </i>
    <i r="4">
      <x v="4"/>
    </i>
    <i r="5">
      <x v="92"/>
    </i>
    <i r="1">
      <x v="1254"/>
      <x v="10"/>
      <x/>
    </i>
    <i r="4">
      <x v="4"/>
    </i>
    <i r="5">
      <x v="95"/>
    </i>
    <i r="1">
      <x v="1255"/>
      <x v="10"/>
      <x/>
    </i>
    <i r="4">
      <x v="4"/>
    </i>
    <i r="5">
      <x v="96"/>
    </i>
    <i r="1">
      <x v="1258"/>
      <x v="11"/>
      <x/>
    </i>
    <i r="4">
      <x v="5"/>
    </i>
    <i r="5">
      <x v="152"/>
    </i>
    <i r="1">
      <x v="1259"/>
      <x v="8"/>
      <x/>
    </i>
    <i r="4">
      <x v="4"/>
    </i>
    <i r="5">
      <x v="121"/>
    </i>
    <i r="1">
      <x v="1264"/>
      <x v="10"/>
      <x/>
    </i>
    <i r="4">
      <x v="4"/>
    </i>
    <i r="5">
      <x v="103"/>
    </i>
    <i r="1">
      <x v="1269"/>
      <x v="11"/>
      <x/>
    </i>
    <i r="4">
      <x v="5"/>
    </i>
    <i r="5">
      <x v="152"/>
    </i>
    <i r="1">
      <x v="1270"/>
      <x v="16"/>
      <x/>
    </i>
    <i r="4">
      <x v="5"/>
    </i>
    <i r="5">
      <x v="152"/>
    </i>
    <i r="1">
      <x v="1277"/>
      <x v="10"/>
      <x/>
    </i>
    <i r="4">
      <x v="4"/>
    </i>
    <i r="5">
      <x v="103"/>
    </i>
    <i r="1">
      <x v="1278"/>
      <x v="10"/>
      <x/>
    </i>
    <i r="4">
      <x v="4"/>
    </i>
    <i r="5">
      <x v="101"/>
    </i>
    <i r="1">
      <x v="1281"/>
      <x v="10"/>
      <x/>
    </i>
    <i r="4">
      <x v="4"/>
    </i>
    <i r="5">
      <x v="103"/>
    </i>
    <i r="1">
      <x v="1283"/>
      <x v="10"/>
      <x/>
    </i>
    <i r="4">
      <x v="4"/>
    </i>
    <i r="5">
      <x v="107"/>
    </i>
    <i r="1">
      <x v="1285"/>
      <x v="8"/>
      <x/>
    </i>
    <i r="4">
      <x v="5"/>
    </i>
    <i r="5">
      <x v="152"/>
    </i>
    <i r="1">
      <x v="1290"/>
      <x v="10"/>
      <x/>
    </i>
    <i r="4">
      <x v="4"/>
    </i>
    <i r="5">
      <x v="109"/>
    </i>
    <i r="1">
      <x v="1292"/>
      <x v="8"/>
      <x/>
    </i>
    <i r="4">
      <x v="5"/>
    </i>
    <i r="5">
      <x v="152"/>
    </i>
    <i r="1">
      <x v="1293"/>
      <x v="10"/>
      <x/>
    </i>
    <i r="4">
      <x v="4"/>
    </i>
    <i r="5">
      <x v="114"/>
    </i>
    <i r="1">
      <x v="1304"/>
      <x v="22"/>
      <x/>
    </i>
    <i r="4">
      <x v="4"/>
    </i>
    <i r="5">
      <x v="116"/>
    </i>
    <i r="1">
      <x v="1319"/>
      <x v="10"/>
      <x/>
    </i>
    <i r="4">
      <x v="5"/>
    </i>
    <i r="5">
      <x v="152"/>
    </i>
    <i r="1">
      <x v="1320"/>
      <x v="13"/>
      <x/>
    </i>
    <i r="4">
      <x v="5"/>
    </i>
    <i r="5">
      <x v="152"/>
    </i>
    <i>
      <x v="26"/>
      <x v="80"/>
      <x v="11"/>
      <x/>
    </i>
    <i r="4">
      <x v="10"/>
    </i>
    <i r="5">
      <x v="305"/>
    </i>
    <i r="1">
      <x v="262"/>
      <x v="8"/>
      <x/>
    </i>
    <i r="4">
      <x v="5"/>
    </i>
    <i r="5">
      <x v="148"/>
    </i>
    <i r="1">
      <x v="273"/>
      <x v="8"/>
      <x/>
    </i>
    <i r="4">
      <x v="6"/>
    </i>
    <i r="5">
      <x v="182"/>
    </i>
    <i r="1">
      <x v="1139"/>
      <x v="22"/>
      <x/>
    </i>
    <i r="4">
      <x v="2"/>
    </i>
    <i r="5">
      <x v="46"/>
    </i>
    <i>
      <x v="27"/>
      <x v="1102"/>
      <x v="10"/>
      <x/>
    </i>
    <i r="4">
      <x v="1"/>
    </i>
    <i r="5">
      <x v="31"/>
    </i>
    <i>
      <x v="29"/>
      <x v="193"/>
      <x v="10"/>
      <x/>
    </i>
    <i r="4">
      <x v="1"/>
    </i>
    <i r="5">
      <x v="2"/>
    </i>
    <i r="1">
      <x v="202"/>
      <x v="13"/>
      <x/>
    </i>
    <i r="4">
      <x v="5"/>
    </i>
    <i r="5">
      <x v="152"/>
    </i>
    <i r="1">
      <x v="295"/>
      <x v="13"/>
      <x/>
    </i>
    <i r="4">
      <x v="1"/>
    </i>
    <i r="5">
      <x v="31"/>
    </i>
    <i>
      <x v="30"/>
      <x v="80"/>
      <x v="16"/>
      <x/>
    </i>
    <i r="4">
      <x v="6"/>
    </i>
    <i r="5">
      <x v="162"/>
    </i>
    <i r="1">
      <x v="309"/>
      <x v="22"/>
      <x/>
    </i>
    <i r="4">
      <x v="3"/>
    </i>
    <i r="5">
      <x v="91"/>
    </i>
    <i r="1">
      <x v="1157"/>
      <x v="10"/>
      <x/>
    </i>
    <i r="4">
      <x v="2"/>
    </i>
    <i r="5">
      <x v="42"/>
    </i>
    <i r="1">
      <x v="1271"/>
      <x v="22"/>
      <x/>
    </i>
    <i r="4">
      <x v="4"/>
    </i>
    <i r="5">
      <x v="121"/>
    </i>
    <i>
      <x v="32"/>
      <x v="90"/>
      <x v="14"/>
      <x/>
    </i>
    <i r="4">
      <x v="12"/>
    </i>
    <i r="5">
      <x v="366"/>
    </i>
    <i r="1">
      <x v="92"/>
      <x v="14"/>
      <x/>
    </i>
    <i r="4">
      <x v="12"/>
    </i>
    <i r="5">
      <x v="366"/>
    </i>
    <i r="1">
      <x v="106"/>
      <x v="10"/>
      <x/>
    </i>
    <i r="4">
      <x v="2"/>
    </i>
    <i r="5">
      <x v="44"/>
    </i>
    <i r="1">
      <x v="226"/>
      <x v="10"/>
      <x/>
    </i>
    <i r="4">
      <x v="1"/>
    </i>
    <i r="5">
      <x v="30"/>
    </i>
    <i r="1">
      <x v="279"/>
      <x v="10"/>
      <x/>
    </i>
    <i r="4">
      <x v="12"/>
    </i>
    <i r="5">
      <x v="366"/>
    </i>
    <i r="1">
      <x v="280"/>
      <x v="8"/>
      <x/>
    </i>
    <i r="4">
      <x v="12"/>
    </i>
    <i r="5">
      <x v="366"/>
    </i>
    <i r="1">
      <x v="527"/>
      <x v="10"/>
      <x/>
    </i>
    <i r="4">
      <x v="3"/>
    </i>
    <i r="5">
      <x v="80"/>
    </i>
    <i r="1">
      <x v="1111"/>
      <x v="10"/>
      <x/>
    </i>
    <i r="4">
      <x v="1"/>
    </i>
    <i r="5">
      <x v="16"/>
    </i>
    <i r="1">
      <x v="1122"/>
      <x v="10"/>
      <x/>
    </i>
    <i r="4">
      <x v="1"/>
    </i>
    <i r="5">
      <x v="28"/>
    </i>
    <i r="1">
      <x v="1130"/>
      <x v="10"/>
      <x/>
    </i>
    <i r="4">
      <x v="2"/>
    </i>
    <i r="5">
      <x v="59"/>
    </i>
    <i r="1">
      <x v="1154"/>
      <x v="10"/>
      <x/>
    </i>
    <i r="4">
      <x v="2"/>
    </i>
    <i r="5">
      <x v="39"/>
    </i>
    <i r="1">
      <x v="1164"/>
      <x v="10"/>
      <x/>
    </i>
    <i r="4">
      <x v="2"/>
    </i>
    <i r="5">
      <x v="44"/>
    </i>
    <i r="1">
      <x v="1192"/>
      <x v="10"/>
      <x/>
    </i>
    <i r="4">
      <x v="2"/>
    </i>
    <i r="5">
      <x v="59"/>
    </i>
    <i r="1">
      <x v="1236"/>
      <x v="10"/>
      <x/>
    </i>
    <i r="4">
      <x v="3"/>
    </i>
    <i r="5">
      <x v="87"/>
    </i>
    <i r="1">
      <x v="1252"/>
      <x v="13"/>
      <x/>
    </i>
    <i r="4">
      <x v="4"/>
    </i>
    <i r="5">
      <x v="92"/>
    </i>
    <i r="1">
      <x v="1256"/>
      <x v="10"/>
      <x/>
    </i>
    <i r="4">
      <x v="4"/>
    </i>
    <i r="5">
      <x v="96"/>
    </i>
    <i r="1">
      <x v="1288"/>
      <x v="10"/>
      <x/>
    </i>
    <i r="4">
      <x v="4"/>
    </i>
    <i r="5">
      <x v="108"/>
    </i>
    <i r="1">
      <x v="1307"/>
      <x v="10"/>
      <x/>
    </i>
    <i r="4">
      <x v="4"/>
    </i>
    <i r="5">
      <x v="120"/>
    </i>
    <i>
      <x v="33"/>
      <x v="80"/>
      <x v="13"/>
      <x/>
    </i>
    <i r="4">
      <x v="3"/>
    </i>
    <i r="5">
      <x v="89"/>
    </i>
    <i r="1">
      <x v="193"/>
      <x v="10"/>
      <x/>
    </i>
    <i r="4">
      <x v="2"/>
    </i>
    <i r="5">
      <x v="39"/>
    </i>
    <i r="1">
      <x v="1225"/>
      <x v="10"/>
      <x/>
    </i>
    <i r="4">
      <x v="3"/>
    </i>
    <i r="5">
      <x v="74"/>
    </i>
    <i>
      <x v="34"/>
      <x v="80"/>
      <x v="12"/>
      <x/>
    </i>
    <i r="4">
      <x v="9"/>
    </i>
    <i r="5">
      <x v="274"/>
    </i>
    <i r="1">
      <x v="1208"/>
      <x v="13"/>
      <x/>
    </i>
    <i r="4">
      <x v="5"/>
    </i>
    <i r="5">
      <x v="152"/>
    </i>
    <i>
      <x v="37"/>
      <x v="1216"/>
      <x v="13"/>
      <x/>
    </i>
    <i r="4">
      <x v="3"/>
    </i>
    <i r="5">
      <x v="71"/>
    </i>
    <i r="1">
      <x v="1315"/>
      <x v="8"/>
      <x/>
    </i>
    <i r="4">
      <x v="5"/>
    </i>
    <i r="5">
      <x v="138"/>
    </i>
    <i r="1">
      <x v="1321"/>
      <x v="8"/>
      <x/>
    </i>
    <i r="4">
      <x v="5"/>
    </i>
    <i r="5">
      <x v="152"/>
    </i>
    <i>
      <x v="39"/>
      <x v="80"/>
      <x v="24"/>
      <x/>
    </i>
    <i r="4">
      <x v="3"/>
    </i>
    <i r="5">
      <x v="82"/>
    </i>
    <i r="1">
      <x v="224"/>
      <x v="13"/>
      <x/>
    </i>
    <i r="4">
      <x v="5"/>
    </i>
    <i r="5">
      <x v="122"/>
    </i>
    <i r="1">
      <x v="249"/>
      <x v="10"/>
      <x/>
    </i>
    <i r="4">
      <x v="4"/>
    </i>
    <i r="5">
      <x v="98"/>
    </i>
    <i r="1">
      <x v="527"/>
      <x v="10"/>
      <x/>
    </i>
    <i r="4">
      <x v="4"/>
    </i>
    <i r="5">
      <x v="120"/>
    </i>
    <i r="1">
      <x v="1140"/>
      <x v="10"/>
      <x/>
    </i>
    <i r="4">
      <x v="2"/>
    </i>
    <i r="5">
      <x v="32"/>
    </i>
    <i r="1">
      <x v="1186"/>
      <x v="13"/>
      <x/>
    </i>
    <i r="4">
      <x v="2"/>
    </i>
    <i r="5">
      <x v="59"/>
    </i>
    <i r="1">
      <x v="1313"/>
      <x v="8"/>
      <x/>
    </i>
    <i r="4">
      <x v="5"/>
    </i>
    <i r="5">
      <x v="122"/>
    </i>
    <i>
      <x v="40"/>
      <x v="236"/>
      <x v="10"/>
      <x/>
    </i>
    <i r="4">
      <x v="4"/>
    </i>
    <i r="5">
      <x v="98"/>
    </i>
    <i>
      <x v="44"/>
      <x v="80"/>
      <x v="12"/>
      <x/>
    </i>
    <i r="4">
      <x v="8"/>
    </i>
    <i r="5">
      <x v="243"/>
    </i>
    <i r="1">
      <x v="94"/>
      <x v="10"/>
      <x/>
    </i>
    <i r="4">
      <x v="3"/>
    </i>
    <i r="5">
      <x v="91"/>
    </i>
    <i r="1">
      <x v="277"/>
      <x v="15"/>
      <x/>
    </i>
    <i r="4">
      <x v="5"/>
    </i>
    <i r="5">
      <x v="152"/>
    </i>
    <i r="1">
      <x v="532"/>
      <x v="10"/>
      <x/>
    </i>
    <i r="4">
      <x v="1"/>
    </i>
    <i r="5">
      <x v="7"/>
    </i>
    <i r="1">
      <x v="1196"/>
      <x v="10"/>
      <x/>
    </i>
    <i r="4">
      <x v="3"/>
    </i>
    <i r="5">
      <x v="66"/>
    </i>
    <i r="1">
      <x v="1199"/>
      <x v="10"/>
      <x/>
    </i>
    <i r="4">
      <x v="3"/>
    </i>
    <i r="5">
      <x v="91"/>
    </i>
    <i r="1">
      <x v="1213"/>
      <x v="13"/>
      <x/>
    </i>
    <i r="4">
      <x v="4"/>
    </i>
    <i r="5">
      <x v="121"/>
    </i>
    <i r="1">
      <x v="1219"/>
      <x v="10"/>
      <x/>
    </i>
    <i r="4">
      <x v="3"/>
    </i>
    <i r="5">
      <x v="78"/>
    </i>
    <i r="1">
      <x v="1229"/>
      <x v="15"/>
      <x/>
    </i>
    <i r="4">
      <x v="3"/>
    </i>
    <i r="5">
      <x v="87"/>
    </i>
    <i r="1">
      <x v="1235"/>
      <x v="8"/>
      <x/>
    </i>
    <i r="4">
      <x v="11"/>
    </i>
    <i r="5">
      <x v="335"/>
    </i>
    <i r="1">
      <x v="1272"/>
      <x v="10"/>
      <x/>
    </i>
    <i r="4">
      <x v="4"/>
    </i>
    <i r="5">
      <x v="102"/>
    </i>
    <i>
      <x v="45"/>
      <x v="272"/>
      <x v="16"/>
      <x/>
    </i>
    <i r="4">
      <x v="5"/>
    </i>
    <i r="5">
      <x v="152"/>
    </i>
    <i r="1">
      <x v="282"/>
      <x v="14"/>
      <x/>
    </i>
    <i r="4">
      <x v="3"/>
    </i>
    <i r="5">
      <x v="91"/>
    </i>
    <i r="1">
      <x v="307"/>
      <x v="22"/>
      <x/>
    </i>
    <i r="4">
      <x v="2"/>
    </i>
    <i r="5">
      <x v="59"/>
    </i>
    <i r="1">
      <x v="314"/>
      <x v="13"/>
      <x/>
    </i>
    <i r="4">
      <x v="3"/>
    </i>
    <i r="5">
      <x v="91"/>
    </i>
    <i r="1">
      <x v="1322"/>
      <x v="8"/>
      <x/>
    </i>
    <i r="4">
      <x v="5"/>
    </i>
    <i r="5">
      <x v="152"/>
    </i>
    <i>
      <x v="46"/>
      <x v="93"/>
      <x v="23"/>
      <x/>
    </i>
    <i r="4">
      <x v="6"/>
    </i>
    <i r="5">
      <x v="174"/>
    </i>
    <i r="1">
      <x v="281"/>
      <x v="8"/>
      <x/>
    </i>
    <i r="4">
      <x v="12"/>
    </i>
    <i r="5">
      <x v="366"/>
    </i>
    <i r="1">
      <x v="1110"/>
      <x v="10"/>
      <x/>
    </i>
    <i r="4">
      <x v="1"/>
    </i>
    <i r="5">
      <x v="16"/>
    </i>
    <i r="1">
      <x v="1136"/>
      <x v="10"/>
      <x/>
    </i>
    <i r="4">
      <x v="1"/>
    </i>
    <i r="5">
      <x v="30"/>
    </i>
    <i r="1">
      <x v="1217"/>
      <x v="10"/>
      <x/>
    </i>
    <i r="4">
      <x v="3"/>
    </i>
    <i r="5">
      <x v="74"/>
    </i>
    <i>
      <x v="47"/>
      <x v="193"/>
      <x v="10"/>
      <x/>
    </i>
    <i r="4">
      <x v="5"/>
    </i>
    <i r="5">
      <x v="152"/>
    </i>
    <i r="1">
      <x v="234"/>
      <x v="10"/>
      <x/>
    </i>
    <i r="4">
      <x v="4"/>
    </i>
    <i r="5">
      <x v="92"/>
    </i>
    <i r="1">
      <x v="260"/>
      <x v="10"/>
      <x/>
    </i>
    <i r="4">
      <x v="3"/>
    </i>
    <i r="5">
      <x v="73"/>
    </i>
    <i r="1">
      <x v="316"/>
      <x v="10"/>
      <x/>
    </i>
    <i r="4">
      <x v="1"/>
    </i>
    <i r="5">
      <x v="2"/>
    </i>
    <i r="1">
      <x v="1150"/>
      <x v="22"/>
      <x/>
    </i>
    <i r="4">
      <x v="3"/>
    </i>
    <i r="5">
      <x v="91"/>
    </i>
    <i r="1">
      <x v="1173"/>
      <x v="22"/>
      <x/>
    </i>
    <i r="4">
      <x v="3"/>
    </i>
    <i r="5">
      <x v="91"/>
    </i>
    <i r="1">
      <x v="1218"/>
      <x v="10"/>
      <x/>
    </i>
    <i r="4">
      <x v="3"/>
    </i>
    <i r="5">
      <x v="75"/>
    </i>
    <i r="2">
      <x v="12"/>
      <x/>
    </i>
    <i r="4">
      <x v="5"/>
    </i>
    <i r="5">
      <x v="152"/>
    </i>
    <i r="1">
      <x v="1325"/>
      <x v="8"/>
      <x/>
    </i>
    <i r="4">
      <x v="6"/>
    </i>
    <i r="5">
      <x v="182"/>
    </i>
    <i>
      <x v="48"/>
      <x v="80"/>
      <x v="10"/>
      <x/>
    </i>
    <i r="4">
      <x v="1"/>
    </i>
    <i r="5">
      <x v="28"/>
    </i>
    <i r="1">
      <x v="275"/>
      <x v="8"/>
      <x/>
    </i>
    <i r="4">
      <x v="12"/>
    </i>
    <i r="5">
      <x v="366"/>
    </i>
    <i r="1">
      <x v="279"/>
      <x v="13"/>
      <x/>
    </i>
    <i r="4">
      <x v="3"/>
    </i>
    <i r="5">
      <x v="91"/>
    </i>
    <i>
      <x v="50"/>
      <x v="1108"/>
      <x v="11"/>
      <x/>
    </i>
    <i r="4">
      <x v="6"/>
    </i>
    <i r="5">
      <x v="167"/>
    </i>
    <i r="1">
      <x v="1109"/>
      <x v="11"/>
      <x/>
    </i>
    <i r="4">
      <x v="8"/>
    </i>
    <i r="5">
      <x v="228"/>
    </i>
    <i r="1">
      <x v="1132"/>
      <x v="10"/>
      <x/>
    </i>
    <i r="4">
      <x v="4"/>
    </i>
    <i r="5">
      <x v="121"/>
    </i>
    <i r="1">
      <x v="1133"/>
      <x v="10"/>
      <x/>
    </i>
    <i r="4">
      <x v="4"/>
    </i>
    <i r="5">
      <x v="121"/>
    </i>
    <i r="1">
      <x v="1308"/>
      <x v="10"/>
      <x/>
    </i>
    <i r="4">
      <x v="4"/>
    </i>
    <i r="5">
      <x v="120"/>
    </i>
    <i>
      <x v="54"/>
      <x v="60"/>
      <x v="7"/>
      <x v="3"/>
    </i>
    <i r="4">
      <x/>
    </i>
    <i r="5">
      <x/>
    </i>
    <i>
      <x v="55"/>
      <x v="238"/>
      <x v="22"/>
      <x/>
    </i>
    <i r="4">
      <x v="1"/>
    </i>
    <i r="5">
      <x v="31"/>
    </i>
    <i>
      <x v="57"/>
      <x v="80"/>
      <x v="16"/>
      <x/>
    </i>
    <i r="4">
      <x v="7"/>
    </i>
    <i r="5">
      <x v="190"/>
    </i>
    <i r="1">
      <x v="1159"/>
      <x v="10"/>
      <x/>
    </i>
    <i r="4">
      <x v="2"/>
    </i>
    <i r="5">
      <x v="44"/>
    </i>
    <i r="1">
      <x v="1187"/>
      <x v="10"/>
      <x/>
    </i>
    <i r="4">
      <x v="2"/>
    </i>
    <i r="5">
      <x v="59"/>
    </i>
    <i>
      <x v="59"/>
      <x v="192"/>
      <x v="13"/>
      <x/>
    </i>
    <i r="4">
      <x v="9"/>
    </i>
    <i r="5">
      <x v="274"/>
    </i>
    <i r="1">
      <x v="309"/>
      <x v="10"/>
      <x/>
    </i>
    <i r="4">
      <x v="3"/>
    </i>
    <i r="5">
      <x v="89"/>
    </i>
    <i r="1">
      <x v="1253"/>
      <x v="10"/>
      <x/>
    </i>
    <i r="4">
      <x v="4"/>
    </i>
    <i r="5">
      <x v="92"/>
    </i>
    <i r="1">
      <x v="1295"/>
      <x v="10"/>
      <x/>
    </i>
    <i r="4">
      <x v="4"/>
    </i>
    <i r="5">
      <x v="115"/>
    </i>
    <i>
      <x v="60"/>
      <x v="1298"/>
      <x v="8"/>
      <x/>
    </i>
    <i r="4">
      <x v="5"/>
    </i>
    <i r="5">
      <x v="152"/>
    </i>
    <i r="1">
      <x v="1301"/>
      <x v="13"/>
      <x/>
    </i>
    <i r="4">
      <x v="5"/>
    </i>
    <i r="5">
      <x v="152"/>
    </i>
    <i>
      <x v="61"/>
      <x v="1138"/>
      <x v="22"/>
      <x/>
    </i>
    <i r="4">
      <x v="2"/>
    </i>
    <i r="5">
      <x v="32"/>
    </i>
    <i r="1">
      <x v="1224"/>
      <x v="10"/>
      <x/>
    </i>
    <i r="4">
      <x v="4"/>
    </i>
    <i r="5">
      <x v="108"/>
    </i>
    <i r="1">
      <x v="1275"/>
      <x v="8"/>
      <x/>
    </i>
    <i r="4">
      <x v="5"/>
    </i>
    <i r="5">
      <x v="152"/>
    </i>
    <i r="1">
      <x v="1296"/>
      <x v="10"/>
      <x/>
    </i>
    <i r="4">
      <x v="4"/>
    </i>
    <i r="5">
      <x v="117"/>
    </i>
    <i>
      <x v="62"/>
      <x v="79"/>
      <x v="11"/>
      <x/>
    </i>
    <i r="4">
      <x v="8"/>
    </i>
    <i r="5">
      <x v="244"/>
    </i>
    <i r="1">
      <x v="201"/>
      <x v="10"/>
      <x/>
    </i>
    <i r="4">
      <x v="3"/>
    </i>
    <i r="5">
      <x v="91"/>
    </i>
    <i r="1">
      <x v="280"/>
      <x v="8"/>
      <x/>
    </i>
    <i r="4">
      <x v="5"/>
    </i>
    <i r="5">
      <x v="152"/>
    </i>
    <i r="1">
      <x v="315"/>
      <x v="22"/>
      <x/>
    </i>
    <i r="4">
      <x v="1"/>
    </i>
    <i r="5">
      <x v="2"/>
    </i>
    <i r="1">
      <x v="320"/>
      <x v="10"/>
      <x/>
    </i>
    <i r="4">
      <x v="1"/>
    </i>
    <i r="5">
      <x v="4"/>
    </i>
    <i r="1">
      <x v="1129"/>
      <x v="10"/>
      <x/>
    </i>
    <i r="4">
      <x v="2"/>
    </i>
    <i r="5">
      <x v="40"/>
    </i>
    <i r="1">
      <x v="1189"/>
      <x v="10"/>
      <x/>
    </i>
    <i r="4">
      <x v="3"/>
    </i>
    <i r="5">
      <x v="75"/>
    </i>
    <i r="1">
      <x v="1227"/>
      <x v="10"/>
      <x/>
    </i>
    <i r="4">
      <x v="3"/>
    </i>
    <i r="5">
      <x v="78"/>
    </i>
    <i r="1">
      <x v="1261"/>
      <x v="22"/>
      <x/>
    </i>
    <i r="4">
      <x v="4"/>
    </i>
    <i r="5">
      <x v="121"/>
    </i>
    <i r="1">
      <x v="1262"/>
      <x v="10"/>
      <x/>
    </i>
    <i r="4">
      <x v="4"/>
    </i>
    <i r="5">
      <x v="99"/>
    </i>
    <i>
      <x v="63"/>
      <x v="205"/>
      <x v="12"/>
      <x/>
    </i>
    <i r="4">
      <x v="12"/>
    </i>
    <i r="5">
      <x v="366"/>
    </i>
    <i r="1">
      <x v="317"/>
      <x v="10"/>
      <x/>
    </i>
    <i r="4">
      <x v="1"/>
    </i>
    <i r="5">
      <x v="31"/>
    </i>
    <i>
      <x v="64"/>
      <x v="80"/>
      <x v="16"/>
      <x/>
    </i>
    <i r="4">
      <x v="5"/>
    </i>
    <i r="5">
      <x v="143"/>
    </i>
    <i r="1">
      <x v="273"/>
      <x v="15"/>
      <x/>
    </i>
    <i r="4">
      <x v="5"/>
    </i>
    <i r="5">
      <x v="152"/>
    </i>
    <i r="1">
      <x v="303"/>
      <x v="22"/>
      <x/>
    </i>
    <i r="4">
      <x v="2"/>
    </i>
    <i r="5">
      <x v="59"/>
    </i>
    <i r="1">
      <x v="304"/>
      <x v="10"/>
      <x/>
    </i>
    <i r="4">
      <x v="4"/>
    </i>
    <i r="5">
      <x v="121"/>
    </i>
    <i>
      <x v="65"/>
      <x v="273"/>
      <x v="8"/>
      <x/>
    </i>
    <i r="4">
      <x v="2"/>
    </i>
    <i r="5">
      <x v="59"/>
    </i>
    <i r="1">
      <x v="1194"/>
      <x v="10"/>
      <x/>
    </i>
    <i r="4">
      <x v="3"/>
    </i>
    <i r="5">
      <x v="64"/>
    </i>
    <i>
      <x v="66"/>
      <x v="224"/>
      <x v="10"/>
      <x/>
    </i>
    <i r="4">
      <x v="1"/>
    </i>
    <i r="5">
      <x v="16"/>
    </i>
    <i>
      <x v="67"/>
      <x v="1214"/>
      <x v="10"/>
      <x/>
    </i>
    <i r="4">
      <x v="3"/>
    </i>
    <i r="5">
      <x v="91"/>
    </i>
    <i r="1">
      <x v="1215"/>
      <x v="10"/>
      <x/>
    </i>
    <i r="4">
      <x v="3"/>
    </i>
    <i r="5">
      <x v="71"/>
    </i>
    <i r="1">
      <x v="1226"/>
      <x v="10"/>
      <x/>
    </i>
    <i r="4">
      <x v="3"/>
    </i>
    <i r="5">
      <x v="75"/>
    </i>
    <i>
      <x v="69"/>
      <x v="313"/>
      <x v="12"/>
      <x/>
    </i>
    <i r="4">
      <x v="4"/>
    </i>
    <i r="5">
      <x v="121"/>
    </i>
    <i>
      <x v="71"/>
      <x v="272"/>
      <x v="13"/>
      <x/>
    </i>
    <i r="4">
      <x v="5"/>
    </i>
    <i r="5">
      <x v="152"/>
    </i>
    <i r="1">
      <x v="283"/>
      <x v="13"/>
      <x/>
    </i>
    <i r="4">
      <x v="5"/>
    </i>
    <i r="5">
      <x v="152"/>
    </i>
    <i r="1">
      <x v="284"/>
      <x v="13"/>
      <x/>
    </i>
    <i r="4">
      <x v="5"/>
    </i>
    <i r="5">
      <x v="152"/>
    </i>
    <i r="1">
      <x v="1115"/>
      <x v="22"/>
      <x/>
    </i>
    <i r="4">
      <x v="1"/>
    </i>
    <i r="5">
      <x v="31"/>
    </i>
    <i r="1">
      <x v="1312"/>
      <x v="8"/>
      <x/>
    </i>
    <i r="4">
      <x v="5"/>
    </i>
    <i r="5">
      <x v="122"/>
    </i>
    <i>
      <x v="72"/>
      <x v="66"/>
      <x v="8"/>
      <x/>
    </i>
    <i r="4">
      <x v="5"/>
    </i>
    <i r="5">
      <x v="122"/>
    </i>
    <i r="1">
      <x v="80"/>
      <x v="8"/>
      <x/>
    </i>
    <i r="4">
      <x v="6"/>
    </i>
    <i r="5">
      <x v="182"/>
    </i>
    <i r="1">
      <x v="1302"/>
      <x v="10"/>
      <x/>
    </i>
    <i r="4">
      <x v="4"/>
    </i>
    <i r="5">
      <x v="121"/>
    </i>
    <i r="1">
      <x v="1310"/>
      <x v="10"/>
      <x/>
    </i>
    <i r="4">
      <x v="4"/>
    </i>
    <i r="5">
      <x v="121"/>
    </i>
    <i>
      <x v="73"/>
      <x v="80"/>
      <x v="10"/>
      <x/>
    </i>
    <i r="4">
      <x v="3"/>
    </i>
    <i r="5">
      <x v="91"/>
    </i>
    <i r="1">
      <x v="292"/>
      <x v="14"/>
      <x/>
    </i>
    <i r="4">
      <x v="6"/>
    </i>
    <i r="5">
      <x v="160"/>
    </i>
    <i r="1">
      <x v="527"/>
      <x v="10"/>
      <x/>
    </i>
    <i r="4">
      <x v="4"/>
    </i>
    <i r="5">
      <x v="121"/>
    </i>
    <i r="1">
      <x v="1190"/>
      <x v="13"/>
      <x/>
    </i>
    <i r="4">
      <x v="2"/>
    </i>
    <i r="5">
      <x v="59"/>
    </i>
    <i r="1">
      <x v="1220"/>
      <x v="10"/>
      <x/>
    </i>
    <i r="4">
      <x v="3"/>
    </i>
    <i r="5">
      <x v="91"/>
    </i>
    <i r="1">
      <x v="1257"/>
      <x v="10"/>
      <x/>
    </i>
    <i r="4">
      <x v="4"/>
    </i>
    <i r="5">
      <x v="103"/>
    </i>
    <i r="1">
      <x v="1279"/>
      <x v="10"/>
      <x/>
    </i>
    <i r="4">
      <x v="4"/>
    </i>
    <i r="5">
      <x v="110"/>
    </i>
    <i r="1">
      <x v="1287"/>
      <x v="13"/>
      <x/>
    </i>
    <i r="4">
      <x v="5"/>
    </i>
    <i r="5">
      <x v="152"/>
    </i>
    <i>
      <x v="74"/>
      <x v="294"/>
      <x v="10"/>
      <x/>
    </i>
    <i r="4">
      <x v="1"/>
    </i>
    <i r="5">
      <x v="1"/>
    </i>
    <i>
      <x v="76"/>
      <x v="80"/>
      <x v="22"/>
      <x/>
    </i>
    <i r="4">
      <x v="3"/>
    </i>
    <i r="5">
      <x v="91"/>
    </i>
    <i>
      <x v="287"/>
      <x v="1282"/>
      <x v="16"/>
      <x/>
    </i>
    <i r="4">
      <x v="5"/>
    </i>
    <i r="5">
      <x v="152"/>
    </i>
    <i>
      <x v="288"/>
      <x v="1149"/>
      <x v="8"/>
      <x/>
    </i>
    <i r="4">
      <x v="2"/>
    </i>
    <i r="5">
      <x v="59"/>
    </i>
    <i r="1">
      <x v="1318"/>
      <x v="16"/>
      <x/>
    </i>
    <i r="4">
      <x v="5"/>
    </i>
    <i r="5">
      <x v="152"/>
    </i>
    <i>
      <x v="289"/>
      <x v="1193"/>
      <x v="10"/>
      <x/>
    </i>
    <i r="4">
      <x v="3"/>
    </i>
    <i r="5">
      <x v="64"/>
    </i>
    <i r="1">
      <x v="1204"/>
      <x v="22"/>
      <x/>
    </i>
    <i r="4">
      <x v="3"/>
    </i>
    <i r="5">
      <x v="91"/>
    </i>
    <i>
      <x v="290"/>
      <x v="1200"/>
      <x v="13"/>
      <x/>
    </i>
    <i r="4">
      <x v="3"/>
    </i>
    <i r="5">
      <x v="91"/>
    </i>
    <i r="4">
      <x v="5"/>
    </i>
    <i r="5">
      <x v="148"/>
    </i>
    <i>
      <x v="291"/>
      <x v="900"/>
      <x v="8"/>
      <x/>
    </i>
    <i r="4">
      <x v="4"/>
    </i>
    <i r="5">
      <x v="118"/>
    </i>
    <i r="1">
      <x v="1230"/>
      <x v="8"/>
      <x/>
    </i>
    <i r="4">
      <x v="6"/>
    </i>
    <i r="5">
      <x v="182"/>
    </i>
    <i r="1">
      <x v="1231"/>
      <x v="8"/>
      <x/>
    </i>
    <i r="4">
      <x v="5"/>
    </i>
    <i r="5">
      <x v="152"/>
    </i>
    <i r="1">
      <x v="1237"/>
      <x v="8"/>
      <x/>
    </i>
    <i r="4">
      <x v="6"/>
    </i>
    <i r="5">
      <x v="182"/>
    </i>
    <i r="1">
      <x v="1250"/>
      <x v="10"/>
      <x/>
    </i>
    <i r="4">
      <x v="4"/>
    </i>
    <i r="5">
      <x v="92"/>
    </i>
    <i>
      <x v="292"/>
      <x v="1260"/>
      <x v="9"/>
      <x/>
    </i>
    <i r="4">
      <x v="5"/>
    </i>
    <i r="5">
      <x v="152"/>
    </i>
    <i>
      <x v="293"/>
      <x v="1324"/>
      <x v="8"/>
      <x/>
    </i>
    <i r="4">
      <x v="5"/>
    </i>
    <i r="5">
      <x v="152"/>
    </i>
    <i>
      <x v="294"/>
      <x v="1286"/>
      <x v="8"/>
      <x/>
    </i>
    <i r="4">
      <x v="4"/>
    </i>
    <i r="5">
      <x v="121"/>
    </i>
    <i>
      <x v="295"/>
      <x v="281"/>
      <x v="8"/>
      <x/>
    </i>
    <i r="4">
      <x v="12"/>
    </i>
    <i r="5">
      <x v="366"/>
    </i>
    <i>
      <x v="296"/>
      <x v="250"/>
      <x v="10"/>
      <x/>
    </i>
    <i r="4">
      <x v="4"/>
    </i>
    <i r="5">
      <x v="120"/>
    </i>
    <i r="1">
      <x v="1289"/>
      <x v="10"/>
      <x/>
    </i>
    <i r="4">
      <x v="4"/>
    </i>
    <i r="5">
      <x v="109"/>
    </i>
    <i r="1">
      <x v="1299"/>
      <x v="10"/>
      <x/>
    </i>
    <i r="4">
      <x v="4"/>
    </i>
    <i r="5">
      <x v="121"/>
    </i>
    <i>
      <x v="297"/>
      <x v="1291"/>
      <x v="10"/>
      <x/>
    </i>
    <i r="4">
      <x v="4"/>
    </i>
    <i r="5">
      <x v="113"/>
    </i>
    <i>
      <x v="298"/>
      <x v="1294"/>
      <x v="8"/>
      <x/>
    </i>
    <i r="4">
      <x v="4"/>
    </i>
    <i r="5">
      <x v="114"/>
    </i>
    <i r="1">
      <x v="1314"/>
      <x v="10"/>
      <x/>
    </i>
    <i r="4">
      <x v="5"/>
    </i>
    <i r="5">
      <x v="122"/>
    </i>
    <i r="1">
      <x v="1323"/>
      <x v="16"/>
      <x/>
    </i>
    <i r="4">
      <x v="5"/>
    </i>
    <i r="5">
      <x v="152"/>
    </i>
    <i t="grand">
      <x/>
    </i>
  </rowItems>
  <colItems count="1">
    <i/>
  </colItems>
  <dataFields count="1">
    <dataField name="Sum of Revenue" fld="9" baseField="0" baseItem="0" numFmtId="164"/>
  </dataFields>
  <formats count="11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field="8" type="button" dataOnly="0" labelOnly="1" outline="0" axis="axisRow" fieldPosition="1"/>
    </format>
    <format dxfId="16">
      <pivotArea field="13" type="button" dataOnly="0" labelOnly="1" outline="0" axis="axisRow" fieldPosition="2"/>
    </format>
    <format dxfId="15">
      <pivotArea field="5" type="button" dataOnly="0" labelOnly="1" outline="0" axis="axisRow" fieldPosition="5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65" firstHeaderRow="1" firstDataRow="1" firstDataCol="4"/>
  <pivotFields count="45">
    <pivotField subtotalTop="0" showAll="0"/>
    <pivotField showAll="0"/>
    <pivotField subtotalTop="0" showAll="0"/>
    <pivotField subtotalTop="0" showAll="0"/>
    <pivotField subtotalTop="0" showAll="0"/>
    <pivotField axis="axisRow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/>
    <pivotField axis="axisRow" outline="0" subtotalTop="0" showAll="0" defaultSubtotal="0">
      <items count="299">
        <item x="7"/>
        <item x="26"/>
        <item x="31"/>
        <item m="1" x="159"/>
        <item x="33"/>
        <item x="40"/>
        <item x="24"/>
        <item m="1" x="277"/>
        <item m="1" x="290"/>
        <item m="1" x="176"/>
        <item x="29"/>
        <item x="2"/>
        <item x="32"/>
        <item x="14"/>
        <item x="3"/>
        <item x="39"/>
        <item x="19"/>
        <item x="47"/>
        <item m="1" x="70"/>
        <item m="1" x="279"/>
        <item m="1" x="103"/>
        <item m="1" x="253"/>
        <item x="4"/>
        <item m="1" x="220"/>
        <item m="1" x="174"/>
        <item x="8"/>
        <item x="28"/>
        <item x="36"/>
        <item m="1" x="185"/>
        <item x="1"/>
        <item x="20"/>
        <item m="1" x="181"/>
        <item x="34"/>
        <item x="17"/>
        <item x="27"/>
        <item m="1" x="97"/>
        <item m="1" x="146"/>
        <item x="46"/>
        <item m="1" x="201"/>
        <item x="16"/>
        <item x="51"/>
        <item m="1" x="152"/>
        <item m="1" x="262"/>
        <item m="1" x="194"/>
        <item x="23"/>
        <item x="43"/>
        <item x="21"/>
        <item x="30"/>
        <item x="49"/>
        <item m="1" x="207"/>
        <item x="15"/>
        <item m="1" x="293"/>
        <item m="1" x="240"/>
        <item m="1" x="287"/>
        <item x="61"/>
        <item x="38"/>
        <item m="1" x="71"/>
        <item x="22"/>
        <item m="1" x="132"/>
        <item x="48"/>
        <item x="56"/>
        <item x="10"/>
        <item x="25"/>
        <item x="37"/>
        <item x="6"/>
        <item x="42"/>
        <item x="35"/>
        <item x="45"/>
        <item m="1" x="217"/>
        <item x="11"/>
        <item m="1" x="205"/>
        <item x="13"/>
        <item x="12"/>
        <item x="9"/>
        <item x="0"/>
        <item m="1" x="222"/>
        <item x="18"/>
        <item m="1" x="66"/>
        <item m="1" x="208"/>
        <item m="1" x="100"/>
        <item m="1" x="64"/>
        <item m="1" x="113"/>
        <item m="1" x="161"/>
        <item m="1" x="131"/>
        <item m="1" x="94"/>
        <item m="1" x="263"/>
        <item m="1" x="88"/>
        <item m="1" x="183"/>
        <item m="1" x="170"/>
        <item m="1" x="294"/>
        <item m="1" x="147"/>
        <item m="1" x="67"/>
        <item m="1" x="111"/>
        <item m="1" x="255"/>
        <item m="1" x="246"/>
        <item m="1" x="284"/>
        <item m="1" x="162"/>
        <item m="1" x="227"/>
        <item m="1" x="241"/>
        <item m="1" x="202"/>
        <item m="1" x="108"/>
        <item m="1" x="281"/>
        <item m="1" x="90"/>
        <item m="1" x="296"/>
        <item m="1" x="76"/>
        <item m="1" x="204"/>
        <item m="1" x="80"/>
        <item m="1" x="182"/>
        <item m="1" x="62"/>
        <item m="1" x="180"/>
        <item m="1" x="216"/>
        <item m="1" x="193"/>
        <item m="1" x="196"/>
        <item m="1" x="254"/>
        <item m="1" x="142"/>
        <item m="1" x="214"/>
        <item m="1" x="95"/>
        <item m="1" x="186"/>
        <item m="1" x="171"/>
        <item m="1" x="184"/>
        <item m="1" x="139"/>
        <item m="1" x="257"/>
        <item m="1" x="198"/>
        <item m="1" x="286"/>
        <item m="1" x="99"/>
        <item m="1" x="145"/>
        <item m="1" x="75"/>
        <item m="1" x="252"/>
        <item m="1" x="166"/>
        <item m="1" x="109"/>
        <item m="1" x="128"/>
        <item m="1" x="117"/>
        <item m="1" x="273"/>
        <item m="1" x="63"/>
        <item m="1" x="110"/>
        <item m="1" x="225"/>
        <item m="1" x="121"/>
        <item m="1" x="271"/>
        <item m="1" x="259"/>
        <item m="1" x="168"/>
        <item m="1" x="239"/>
        <item m="1" x="86"/>
        <item m="1" x="291"/>
        <item m="1" x="206"/>
        <item m="1" x="199"/>
        <item m="1" x="231"/>
        <item m="1" x="84"/>
        <item m="1" x="256"/>
        <item m="1" x="221"/>
        <item m="1" x="119"/>
        <item m="1" x="148"/>
        <item m="1" x="93"/>
        <item m="1" x="264"/>
        <item m="1" x="238"/>
        <item m="1" x="244"/>
        <item m="1" x="77"/>
        <item m="1" x="228"/>
        <item m="1" x="79"/>
        <item m="1" x="266"/>
        <item m="1" x="261"/>
        <item m="1" x="169"/>
        <item m="1" x="153"/>
        <item m="1" x="120"/>
        <item m="1" x="223"/>
        <item m="1" x="160"/>
        <item m="1" x="164"/>
        <item m="1" x="233"/>
        <item m="1" x="249"/>
        <item m="1" x="134"/>
        <item m="1" x="232"/>
        <item m="1" x="151"/>
        <item m="1" x="105"/>
        <item m="1" x="85"/>
        <item m="1" x="215"/>
        <item m="1" x="298"/>
        <item m="1" x="265"/>
        <item m="1" x="65"/>
        <item m="1" x="297"/>
        <item m="1" x="130"/>
        <item m="1" x="190"/>
        <item m="1" x="102"/>
        <item m="1" x="236"/>
        <item m="1" x="87"/>
        <item m="1" x="91"/>
        <item m="1" x="292"/>
        <item m="1" x="260"/>
        <item m="1" x="230"/>
        <item m="1" x="177"/>
        <item m="1" x="137"/>
        <item m="1" x="218"/>
        <item m="1" x="118"/>
        <item m="1" x="122"/>
        <item m="1" x="144"/>
        <item m="1" x="141"/>
        <item m="1" x="126"/>
        <item m="1" x="295"/>
        <item m="1" x="154"/>
        <item m="1" x="81"/>
        <item m="1" x="101"/>
        <item m="1" x="242"/>
        <item m="1" x="197"/>
        <item m="1" x="127"/>
        <item m="1" x="251"/>
        <item m="1" x="172"/>
        <item m="1" x="125"/>
        <item m="1" x="98"/>
        <item m="1" x="274"/>
        <item m="1" x="237"/>
        <item m="1" x="179"/>
        <item m="1" x="200"/>
        <item m="1" x="107"/>
        <item m="1" x="123"/>
        <item m="1" x="69"/>
        <item m="1" x="209"/>
        <item m="1" x="289"/>
        <item m="1" x="278"/>
        <item m="1" x="224"/>
        <item m="1" x="96"/>
        <item m="1" x="82"/>
        <item m="1" x="247"/>
        <item m="1" x="195"/>
        <item m="1" x="124"/>
        <item m="1" x="243"/>
        <item m="1" x="245"/>
        <item m="1" x="163"/>
        <item m="1" x="258"/>
        <item m="1" x="272"/>
        <item m="1" x="116"/>
        <item m="1" x="165"/>
        <item m="1" x="280"/>
        <item m="1" x="73"/>
        <item m="1" x="250"/>
        <item m="1" x="140"/>
        <item m="1" x="210"/>
        <item m="1" x="268"/>
        <item m="1" x="189"/>
        <item m="1" x="234"/>
        <item m="1" x="155"/>
        <item m="1" x="248"/>
        <item m="1" x="150"/>
        <item m="1" x="188"/>
        <item m="1" x="203"/>
        <item m="1" x="213"/>
        <item m="1" x="276"/>
        <item m="1" x="178"/>
        <item m="1" x="72"/>
        <item m="1" x="219"/>
        <item m="1" x="226"/>
        <item m="1" x="112"/>
        <item m="1" x="283"/>
        <item m="1" x="191"/>
        <item m="1" x="135"/>
        <item m="1" x="267"/>
        <item m="1" x="74"/>
        <item m="1" x="211"/>
        <item m="1" x="78"/>
        <item m="1" x="149"/>
        <item m="1" x="106"/>
        <item m="1" x="167"/>
        <item m="1" x="282"/>
        <item m="1" x="115"/>
        <item m="1" x="129"/>
        <item m="1" x="89"/>
        <item m="1" x="269"/>
        <item m="1" x="275"/>
        <item m="1" x="158"/>
        <item m="1" x="285"/>
        <item m="1" x="156"/>
        <item m="1" x="157"/>
        <item m="1" x="143"/>
        <item m="1" x="114"/>
        <item m="1" x="212"/>
        <item m="1" x="138"/>
        <item m="1" x="92"/>
        <item m="1" x="173"/>
        <item m="1" x="187"/>
        <item m="1" x="175"/>
        <item m="1" x="104"/>
        <item m="1" x="192"/>
        <item m="1" x="68"/>
        <item m="1" x="235"/>
        <item m="1" x="270"/>
        <item m="1" x="133"/>
        <item m="1" x="136"/>
        <item m="1" x="229"/>
        <item m="1" x="83"/>
        <item m="1" x="288"/>
        <item x="57"/>
        <item x="41"/>
        <item x="44"/>
        <item x="5"/>
        <item x="50"/>
        <item x="58"/>
        <item x="59"/>
        <item x="55"/>
        <item x="60"/>
        <item x="52"/>
        <item x="53"/>
        <item x="54"/>
      </items>
    </pivotField>
    <pivotField axis="axisRow" outline="0" subtotalTop="0" showAll="0" defaultSubtotal="0">
      <items count="1326">
        <item m="1" x="643"/>
        <item m="1" x="281"/>
        <item m="1" x="595"/>
        <item m="1" x="1204"/>
        <item m="1" x="699"/>
        <item m="1" x="795"/>
        <item m="1" x="679"/>
        <item m="1" x="502"/>
        <item m="1" x="1238"/>
        <item m="1" x="311"/>
        <item m="1" x="362"/>
        <item m="1" x="487"/>
        <item m="1" x="1201"/>
        <item m="1" x="548"/>
        <item m="1" x="532"/>
        <item m="1" x="1258"/>
        <item m="1" x="638"/>
        <item m="1" x="1188"/>
        <item m="1" x="701"/>
        <item m="1" x="370"/>
        <item m="1" x="323"/>
        <item m="1" x="1230"/>
        <item m="1" x="675"/>
        <item m="1" x="613"/>
        <item m="1" x="707"/>
        <item m="1" x="289"/>
        <item m="1" x="948"/>
        <item m="1" x="1265"/>
        <item m="1" x="578"/>
        <item m="1" x="888"/>
        <item m="1" x="833"/>
        <item m="1" x="594"/>
        <item m="1" x="435"/>
        <item m="1" x="612"/>
        <item m="1" x="619"/>
        <item m="1" x="626"/>
        <item m="1" x="422"/>
        <item m="1" x="895"/>
        <item m="1" x="1015"/>
        <item m="1" x="621"/>
        <item m="1" x="599"/>
        <item m="1" x="1096"/>
        <item m="1" x="672"/>
        <item m="1" x="697"/>
        <item m="1" x="698"/>
        <item m="1" x="350"/>
        <item m="1" x="1056"/>
        <item m="1" x="499"/>
        <item m="1" x="665"/>
        <item m="1" x="549"/>
        <item m="1" x="1033"/>
        <item m="1" x="1192"/>
        <item m="1" x="1321"/>
        <item m="1" x="287"/>
        <item m="1" x="432"/>
        <item m="1" x="564"/>
        <item m="1" x="587"/>
        <item x="266"/>
        <item m="1" x="469"/>
        <item m="1" x="1189"/>
        <item m="1" x="283"/>
        <item m="1" x="521"/>
        <item m="1" x="1030"/>
        <item m="1" x="1177"/>
        <item m="1" x="738"/>
        <item m="1" x="865"/>
        <item x="198"/>
        <item m="1" x="535"/>
        <item m="1" x="606"/>
        <item m="1" x="727"/>
        <item x="263"/>
        <item m="1" x="781"/>
        <item m="1" x="914"/>
        <item x="262"/>
        <item m="1" x="1158"/>
        <item m="1" x="872"/>
        <item m="1" x="974"/>
        <item m="1" x="778"/>
        <item m="1" x="967"/>
        <item x="16"/>
        <item x="17"/>
        <item m="1" x="1053"/>
        <item m="1" x="762"/>
        <item m="1" x="885"/>
        <item m="1" x="770"/>
        <item x="20"/>
        <item m="1" x="604"/>
        <item m="1" x="424"/>
        <item m="1" x="1229"/>
        <item m="1" x="607"/>
        <item x="264"/>
        <item m="1" x="568"/>
        <item x="265"/>
        <item x="23"/>
        <item x="259"/>
        <item m="1" x="456"/>
        <item m="1" x="368"/>
        <item m="1" x="1028"/>
        <item m="1" x="520"/>
        <item m="1" x="1314"/>
        <item m="1" x="774"/>
        <item m="1" x="577"/>
        <item m="1" x="878"/>
        <item m="1" x="655"/>
        <item x="183"/>
        <item m="1" x="748"/>
        <item x="82"/>
        <item m="1" x="474"/>
        <item m="1" x="331"/>
        <item m="1" x="500"/>
        <item m="1" x="660"/>
        <item m="1" x="1277"/>
        <item m="1" x="306"/>
        <item m="1" x="309"/>
        <item m="1" x="464"/>
        <item m="1" x="1058"/>
        <item m="1" x="718"/>
        <item m="1" x="931"/>
        <item m="1" x="1286"/>
        <item m="1" x="351"/>
        <item m="1" x="687"/>
        <item m="1" x="285"/>
        <item m="1" x="1021"/>
        <item m="1" x="1292"/>
        <item m="1" x="868"/>
        <item m="1" x="1162"/>
        <item m="1" x="1235"/>
        <item m="1" x="797"/>
        <item m="1" x="360"/>
        <item m="1" x="760"/>
        <item m="1" x="763"/>
        <item m="1" x="793"/>
        <item m="1" x="359"/>
        <item m="1" x="308"/>
        <item m="1" x="661"/>
        <item m="1" x="721"/>
        <item m="1" x="353"/>
        <item m="1" x="1260"/>
        <item m="1" x="647"/>
        <item m="1" x="953"/>
        <item m="1" x="369"/>
        <item m="1" x="455"/>
        <item m="1" x="305"/>
        <item m="1" x="912"/>
        <item m="1" x="1101"/>
        <item m="1" x="1051"/>
        <item m="1" x="1092"/>
        <item m="1" x="546"/>
        <item m="1" x="1312"/>
        <item m="1" x="999"/>
        <item m="1" x="994"/>
        <item m="1" x="942"/>
        <item m="1" x="1194"/>
        <item m="1" x="1114"/>
        <item m="1" x="559"/>
        <item m="1" x="860"/>
        <item m="1" x="504"/>
        <item m="1" x="505"/>
        <item m="1" x="1261"/>
        <item m="1" x="380"/>
        <item m="1" x="680"/>
        <item m="1" x="409"/>
        <item m="1" x="935"/>
        <item m="1" x="951"/>
        <item m="1" x="625"/>
        <item m="1" x="1244"/>
        <item m="1" x="757"/>
        <item m="1" x="1268"/>
        <item m="1" x="298"/>
        <item m="1" x="857"/>
        <item m="1" x="1197"/>
        <item m="1" x="658"/>
        <item m="1" x="407"/>
        <item m="1" x="1013"/>
        <item m="1" x="534"/>
        <item m="1" x="640"/>
        <item m="1" x="496"/>
        <item m="1" x="900"/>
        <item m="1" x="330"/>
        <item m="1" x="788"/>
        <item m="1" x="834"/>
        <item x="2"/>
        <item m="1" x="1276"/>
        <item m="1" x="649"/>
        <item m="1" x="980"/>
        <item m="1" x="328"/>
        <item m="1" x="903"/>
        <item m="1" x="1036"/>
        <item m="1" x="1218"/>
        <item m="1" x="570"/>
        <item m="1" x="533"/>
        <item m="1" x="801"/>
        <item x="252"/>
        <item x="24"/>
        <item m="1" x="998"/>
        <item m="1" x="386"/>
        <item m="1" x="1054"/>
        <item m="1" x="617"/>
        <item m="1" x="299"/>
        <item m="1" x="952"/>
        <item m="1" x="755"/>
        <item x="137"/>
        <item x="234"/>
        <item m="1" x="316"/>
        <item m="1" x="819"/>
        <item x="257"/>
        <item m="1" x="358"/>
        <item m="1" x="450"/>
        <item m="1" x="1151"/>
        <item m="1" x="494"/>
        <item m="1" x="629"/>
        <item m="1" x="1029"/>
        <item m="1" x="1187"/>
        <item m="1" x="1203"/>
        <item m="1" x="295"/>
        <item x="251"/>
        <item m="1" x="560"/>
        <item m="1" x="804"/>
        <item m="1" x="1090"/>
        <item m="1" x="517"/>
        <item m="1" x="317"/>
        <item m="1" x="582"/>
        <item m="1" x="1223"/>
        <item m="1" x="513"/>
        <item x="41"/>
        <item m="1" x="1251"/>
        <item x="53"/>
        <item m="1" x="950"/>
        <item m="1" x="382"/>
        <item m="1" x="867"/>
        <item m="1" x="688"/>
        <item m="1" x="307"/>
        <item m="1" x="376"/>
        <item m="1" x="938"/>
        <item x="37"/>
        <item m="1" x="541"/>
        <item x="157"/>
        <item m="1" x="637"/>
        <item x="61"/>
        <item m="1" x="1034"/>
        <item m="1" x="512"/>
        <item m="1" x="695"/>
        <item m="1" x="1148"/>
        <item m="1" x="779"/>
        <item m="1" x="356"/>
        <item m="1" x="773"/>
        <item m="1" x="956"/>
        <item m="1" x="523"/>
        <item m="1" x="828"/>
        <item x="117"/>
        <item x="179"/>
        <item m="1" x="1299"/>
        <item m="1" x="1274"/>
        <item m="1" x="831"/>
        <item x="254"/>
        <item m="1" x="983"/>
        <item m="1" x="892"/>
        <item m="1" x="555"/>
        <item m="1" x="632"/>
        <item m="1" x="572"/>
        <item x="115"/>
        <item m="1" x="1234"/>
        <item x="204"/>
        <item m="1" x="786"/>
        <item m="1" x="395"/>
        <item m="1" x="1240"/>
        <item m="1" x="385"/>
        <item m="1" x="787"/>
        <item m="1" x="683"/>
        <item m="1" x="794"/>
        <item m="1" x="1297"/>
        <item m="1" x="824"/>
        <item x="15"/>
        <item x="101"/>
        <item m="1" x="268"/>
        <item x="258"/>
        <item x="248"/>
        <item x="238"/>
        <item x="255"/>
        <item x="149"/>
        <item x="212"/>
        <item x="256"/>
        <item x="146"/>
        <item x="214"/>
        <item x="213"/>
        <item m="1" x="1224"/>
        <item m="1" x="1207"/>
        <item m="1" x="915"/>
        <item m="1" x="1040"/>
        <item m="1" x="965"/>
        <item m="1" x="1091"/>
        <item m="1" x="501"/>
        <item x="242"/>
        <item m="1" x="475"/>
        <item x="0"/>
        <item x="1"/>
        <item m="1" x="1176"/>
        <item m="1" x="1111"/>
        <item m="1" x="630"/>
        <item m="1" x="949"/>
        <item m="1" x="636"/>
        <item m="1" x="1310"/>
        <item m="1" x="877"/>
        <item x="7"/>
        <item x="184"/>
        <item m="1" x="498"/>
        <item x="38"/>
        <item x="106"/>
        <item m="1" x="693"/>
        <item x="93"/>
        <item m="1" x="1095"/>
        <item m="1" x="1005"/>
        <item m="1" x="1165"/>
        <item x="12"/>
        <item x="145"/>
        <item x="25"/>
        <item x="26"/>
        <item x="60"/>
        <item m="1" x="744"/>
        <item x="27"/>
        <item x="28"/>
        <item m="1" x="446"/>
        <item m="1" x="605"/>
        <item m="1" x="1026"/>
        <item m="1" x="889"/>
        <item m="1" x="300"/>
        <item m="1" x="1282"/>
        <item m="1" x="472"/>
        <item m="1" x="312"/>
        <item m="1" x="413"/>
        <item m="1" x="282"/>
        <item m="1" x="486"/>
        <item m="1" x="700"/>
        <item m="1" x="558"/>
        <item m="1" x="471"/>
        <item m="1" x="724"/>
        <item m="1" x="1128"/>
        <item m="1" x="1239"/>
        <item m="1" x="551"/>
        <item m="1" x="1025"/>
        <item m="1" x="401"/>
        <item m="1" x="393"/>
        <item m="1" x="916"/>
        <item m="1" x="406"/>
        <item m="1" x="439"/>
        <item m="1" x="1012"/>
        <item m="1" x="1271"/>
        <item m="1" x="1087"/>
        <item m="1" x="985"/>
        <item m="1" x="529"/>
        <item m="1" x="1241"/>
        <item m="1" x="1129"/>
        <item m="1" x="837"/>
        <item m="1" x="1106"/>
        <item m="1" x="1152"/>
        <item m="1" x="754"/>
        <item m="1" x="1001"/>
        <item m="1" x="737"/>
        <item m="1" x="576"/>
        <item m="1" x="1243"/>
        <item m="1" x="547"/>
        <item m="1" x="692"/>
        <item m="1" x="1167"/>
        <item m="1" x="1084"/>
        <item m="1" x="414"/>
        <item m="1" x="1154"/>
        <item m="1" x="1252"/>
        <item m="1" x="808"/>
        <item m="1" x="1308"/>
        <item m="1" x="1269"/>
        <item m="1" x="934"/>
        <item m="1" x="1085"/>
        <item m="1" x="1023"/>
        <item m="1" x="686"/>
        <item m="1" x="495"/>
        <item m="1" x="434"/>
        <item m="1" x="273"/>
        <item m="1" x="476"/>
        <item m="1" x="926"/>
        <item m="1" x="644"/>
        <item m="1" x="1262"/>
        <item m="1" x="367"/>
        <item m="1" x="869"/>
        <item m="1" x="392"/>
        <item m="1" x="623"/>
        <item m="1" x="491"/>
        <item m="1" x="633"/>
        <item m="1" x="1116"/>
        <item m="1" x="691"/>
        <item m="1" x="862"/>
        <item m="1" x="725"/>
        <item m="1" x="310"/>
        <item m="1" x="1180"/>
        <item m="1" x="371"/>
        <item m="1" x="274"/>
        <item m="1" x="1044"/>
        <item m="1" x="812"/>
        <item m="1" x="853"/>
        <item m="1" x="944"/>
        <item m="1" x="1103"/>
        <item m="1" x="1317"/>
        <item m="1" x="1170"/>
        <item m="1" x="278"/>
        <item m="1" x="465"/>
        <item m="1" x="1130"/>
        <item m="1" x="515"/>
        <item m="1" x="1290"/>
        <item m="1" x="1055"/>
        <item m="1" x="1155"/>
        <item m="1" x="290"/>
        <item m="1" x="510"/>
        <item m="1" x="473"/>
        <item m="1" x="1208"/>
        <item m="1" x="989"/>
        <item m="1" x="849"/>
        <item m="1" x="598"/>
        <item m="1" x="830"/>
        <item m="1" x="859"/>
        <item m="1" x="280"/>
        <item m="1" x="780"/>
        <item m="1" x="525"/>
        <item m="1" x="522"/>
        <item m="1" x="454"/>
        <item m="1" x="303"/>
        <item m="1" x="1156"/>
        <item m="1" x="1017"/>
        <item m="1" x="436"/>
        <item m="1" x="341"/>
        <item m="1" x="657"/>
        <item m="1" x="387"/>
        <item m="1" x="388"/>
        <item m="1" x="508"/>
        <item m="1" x="791"/>
        <item m="1" x="1202"/>
        <item m="1" x="373"/>
        <item m="1" x="650"/>
        <item m="1" x="628"/>
        <item m="1" x="799"/>
        <item m="1" x="349"/>
        <item m="1" x="674"/>
        <item m="1" x="745"/>
        <item m="1" x="671"/>
        <item x="29"/>
        <item m="1" x="405"/>
        <item m="1" x="1245"/>
        <item m="1" x="1057"/>
        <item m="1" x="1149"/>
        <item m="1" x="1064"/>
        <item m="1" x="978"/>
        <item m="1" x="503"/>
        <item m="1" x="783"/>
        <item m="1" x="1213"/>
        <item m="1" x="1304"/>
        <item m="1" x="292"/>
        <item m="1" x="815"/>
        <item m="1" x="1193"/>
        <item m="1" x="410"/>
        <item m="1" x="518"/>
        <item m="1" x="1014"/>
        <item m="1" x="343"/>
        <item m="1" x="1081"/>
        <item m="1" x="539"/>
        <item m="1" x="1185"/>
        <item m="1" x="366"/>
        <item m="1" x="313"/>
        <item m="1" x="333"/>
        <item m="1" x="876"/>
        <item m="1" x="443"/>
        <item m="1" x="805"/>
        <item m="1" x="524"/>
        <item m="1" x="557"/>
        <item m="1" x="425"/>
        <item m="1" x="1037"/>
        <item m="1" x="337"/>
        <item m="1" x="1102"/>
        <item m="1" x="684"/>
        <item m="1" x="293"/>
        <item m="1" x="1035"/>
        <item x="116"/>
        <item m="1" x="668"/>
        <item m="1" x="1119"/>
        <item m="1" x="345"/>
        <item m="1" x="681"/>
        <item m="1" x="461"/>
        <item m="1" x="527"/>
        <item m="1" x="1273"/>
        <item m="1" x="653"/>
        <item m="1" x="740"/>
        <item m="1" x="408"/>
        <item m="1" x="635"/>
        <item m="1" x="1291"/>
        <item m="1" x="286"/>
        <item m="1" x="1267"/>
        <item x="92"/>
        <item m="1" x="825"/>
        <item m="1" x="1281"/>
        <item m="1" x="1319"/>
        <item m="1" x="961"/>
        <item m="1" x="670"/>
        <item m="1" x="676"/>
        <item m="1" x="1160"/>
        <item m="1" x="1163"/>
        <item m="1" x="470"/>
        <item m="1" x="348"/>
        <item m="1" x="803"/>
        <item m="1" x="736"/>
        <item m="1" x="969"/>
        <item x="84"/>
        <item m="1" x="886"/>
        <item m="1" x="492"/>
        <item m="1" x="772"/>
        <item m="1" x="696"/>
        <item m="1" x="1000"/>
        <item m="1" x="590"/>
        <item m="1" x="591"/>
        <item m="1" x="347"/>
        <item m="1" x="1283"/>
        <item m="1" x="1296"/>
        <item m="1" x="1249"/>
        <item m="1" x="1004"/>
        <item m="1" x="269"/>
        <item m="1" x="710"/>
        <item m="1" x="374"/>
        <item m="1" x="620"/>
        <item m="1" x="920"/>
        <item m="1" x="1022"/>
        <item m="1" x="1174"/>
        <item x="125"/>
        <item m="1" x="855"/>
        <item m="1" x="457"/>
        <item m="1" x="479"/>
        <item m="1" x="764"/>
        <item x="30"/>
        <item x="31"/>
        <item x="33"/>
        <item x="34"/>
        <item m="1" x="711"/>
        <item m="1" x="714"/>
        <item m="1" x="751"/>
        <item m="1" x="431"/>
        <item m="1" x="1298"/>
        <item m="1" x="1219"/>
        <item m="1" x="1150"/>
        <item m="1" x="416"/>
        <item m="1" x="1078"/>
        <item m="1" x="963"/>
        <item m="1" x="1257"/>
        <item m="1" x="1209"/>
        <item m="1" x="879"/>
        <item m="1" x="1135"/>
        <item m="1" x="304"/>
        <item m="1" x="908"/>
        <item m="1" x="631"/>
        <item m="1" x="941"/>
        <item m="1" x="1061"/>
        <item m="1" x="1264"/>
        <item m="1" x="509"/>
        <item m="1" x="1072"/>
        <item m="1" x="437"/>
        <item m="1" x="1272"/>
        <item m="1" x="1143"/>
        <item m="1" x="1178"/>
        <item m="1" x="991"/>
        <item m="1" x="646"/>
        <item m="1" x="506"/>
        <item m="1" x="384"/>
        <item m="1" x="1138"/>
        <item m="1" x="796"/>
        <item m="1" x="1169"/>
        <item m="1" x="394"/>
        <item m="1" x="1210"/>
        <item m="1" x="1043"/>
        <item m="1" x="1123"/>
        <item m="1" x="1048"/>
        <item m="1" x="1303"/>
        <item m="1" x="1045"/>
        <item m="1" x="642"/>
        <item m="1" x="678"/>
        <item m="1" x="851"/>
        <item m="1" x="1237"/>
        <item m="1" x="902"/>
        <item m="1" x="1315"/>
        <item m="1" x="585"/>
        <item m="1" x="1284"/>
        <item m="1" x="753"/>
        <item m="1" x="896"/>
        <item m="1" x="756"/>
        <item m="1" x="1133"/>
        <item m="1" x="1134"/>
        <item m="1" x="968"/>
        <item m="1" x="396"/>
        <item m="1" x="1309"/>
        <item m="1" x="1206"/>
        <item m="1" x="1127"/>
        <item m="1" x="497"/>
        <item m="1" x="363"/>
        <item m="1" x="673"/>
        <item m="1" x="426"/>
        <item m="1" x="516"/>
        <item m="1" x="761"/>
        <item m="1" x="1089"/>
        <item m="1" x="1293"/>
        <item m="1" x="923"/>
        <item m="1" x="866"/>
        <item m="1" x="706"/>
        <item m="1" x="297"/>
        <item m="1" x="810"/>
        <item m="1" x="690"/>
        <item m="1" x="777"/>
        <item m="1" x="1227"/>
        <item m="1" x="1082"/>
        <item m="1" x="545"/>
        <item m="1" x="990"/>
        <item m="1" x="1042"/>
        <item m="1" x="340"/>
        <item m="1" x="354"/>
        <item m="1" x="1306"/>
        <item m="1" x="1016"/>
        <item m="1" x="602"/>
        <item m="1" x="882"/>
        <item m="1" x="784"/>
        <item m="1" x="1171"/>
        <item m="1" x="897"/>
        <item m="1" x="732"/>
        <item m="1" x="728"/>
        <item m="1" x="1067"/>
        <item m="1" x="1068"/>
        <item m="1" x="1046"/>
        <item m="1" x="820"/>
        <item m="1" x="713"/>
        <item m="1" x="601"/>
        <item m="1" x="863"/>
        <item m="1" x="430"/>
        <item m="1" x="973"/>
        <item m="1" x="543"/>
        <item m="1" x="832"/>
        <item m="1" x="881"/>
        <item m="1" x="429"/>
        <item m="1" x="1222"/>
        <item m="1" x="987"/>
        <item m="1" x="821"/>
        <item m="1" x="1077"/>
        <item m="1" x="1181"/>
        <item m="1" x="1287"/>
        <item m="1" x="1302"/>
        <item m="1" x="746"/>
        <item m="1" x="1195"/>
        <item m="1" x="669"/>
        <item m="1" x="917"/>
        <item m="1" x="627"/>
        <item m="1" x="1038"/>
        <item m="1" x="1190"/>
        <item m="1" x="417"/>
        <item m="1" x="540"/>
        <item m="1" x="519"/>
        <item m="1" x="1250"/>
        <item m="1" x="992"/>
        <item m="1" x="615"/>
        <item m="1" x="873"/>
        <item m="1" x="792"/>
        <item m="1" x="478"/>
        <item m="1" x="1099"/>
        <item m="1" x="1247"/>
        <item m="1" x="1278"/>
        <item m="1" x="449"/>
        <item m="1" x="702"/>
        <item m="1" x="1115"/>
        <item m="1" x="767"/>
        <item m="1" x="919"/>
        <item m="1" x="1246"/>
        <item m="1" x="800"/>
        <item m="1" x="933"/>
        <item m="1" x="664"/>
        <item m="1" x="809"/>
        <item m="1" x="1320"/>
        <item m="1" x="1039"/>
        <item m="1" x="440"/>
        <item m="1" x="1254"/>
        <item m="1" x="1216"/>
        <item m="1" x="1007"/>
        <item m="1" x="326"/>
        <item m="1" x="1232"/>
        <item m="1" x="654"/>
        <item m="1" x="925"/>
        <item m="1" x="378"/>
        <item m="1" x="704"/>
        <item m="1" x="729"/>
        <item m="1" x="928"/>
        <item m="1" x="270"/>
        <item m="1" x="1066"/>
        <item m="1" x="611"/>
        <item m="1" x="856"/>
        <item m="1" x="447"/>
        <item m="1" x="301"/>
        <item m="1" x="361"/>
        <item m="1" x="947"/>
        <item m="1" x="921"/>
        <item m="1" x="891"/>
        <item m="1" x="1220"/>
        <item m="1" x="703"/>
        <item m="1" x="742"/>
        <item m="1" x="375"/>
        <item m="1" x="566"/>
        <item m="1" x="1137"/>
        <item m="1" x="663"/>
        <item m="1" x="444"/>
        <item m="1" x="379"/>
        <item m="1" x="279"/>
        <item m="1" x="883"/>
        <item m="1" x="322"/>
        <item m="1" x="964"/>
        <item m="1" x="946"/>
        <item m="1" x="798"/>
        <item m="1" x="477"/>
        <item m="1" x="624"/>
        <item m="1" x="383"/>
        <item m="1" x="272"/>
        <item m="1" x="1076"/>
        <item m="1" x="959"/>
        <item m="1" x="451"/>
        <item m="1" x="616"/>
        <item m="1" x="1289"/>
        <item m="1" x="1110"/>
        <item m="1" x="1065"/>
        <item m="1" x="567"/>
        <item m="1" x="927"/>
        <item m="1" x="614"/>
        <item m="1" x="939"/>
        <item m="1" x="1285"/>
        <item m="1" x="1139"/>
        <item m="1" x="648"/>
        <item m="1" x="1010"/>
        <item m="1" x="1002"/>
        <item m="1" x="593"/>
        <item m="1" x="1027"/>
        <item m="1" x="565"/>
        <item m="1" x="1069"/>
        <item m="1" x="334"/>
        <item m="1" x="609"/>
        <item m="1" x="899"/>
        <item m="1" x="1242"/>
        <item m="1" x="954"/>
        <item m="1" x="735"/>
        <item m="1" x="1126"/>
        <item m="1" x="554"/>
        <item m="1" x="1079"/>
        <item m="1" x="1175"/>
        <item m="1" x="981"/>
        <item m="1" x="722"/>
        <item m="1" x="1214"/>
        <item m="1" x="267"/>
        <item m="1" x="827"/>
        <item m="1" x="537"/>
        <item m="1" x="1120"/>
        <item m="1" x="335"/>
        <item m="1" x="677"/>
        <item m="1" x="482"/>
        <item m="1" x="466"/>
        <item m="1" x="932"/>
        <item m="1" x="1211"/>
        <item m="1" x="743"/>
        <item m="1" x="1228"/>
        <item m="1" x="419"/>
        <item m="1" x="1118"/>
        <item m="1" x="976"/>
        <item m="1" x="542"/>
        <item m="1" x="589"/>
        <item m="1" x="490"/>
        <item m="1" x="1225"/>
        <item m="1" x="843"/>
        <item m="1" x="1107"/>
        <item m="1" x="1093"/>
        <item m="1" x="639"/>
        <item m="1" x="1182"/>
        <item m="1" x="460"/>
        <item m="1" x="979"/>
        <item m="1" x="972"/>
        <item m="1" x="418"/>
        <item m="1" x="1086"/>
        <item m="1" x="1020"/>
        <item m="1" x="776"/>
        <item m="1" x="845"/>
        <item m="1" x="574"/>
        <item m="1" x="694"/>
        <item m="1" x="1248"/>
        <item m="1" x="563"/>
        <item m="1" x="480"/>
        <item m="1" x="847"/>
        <item m="1" x="782"/>
        <item m="1" x="1259"/>
        <item m="1" x="1270"/>
        <item m="1" x="807"/>
        <item m="1" x="1147"/>
        <item m="1" x="398"/>
        <item m="1" x="765"/>
        <item m="1" x="1307"/>
        <item m="1" x="320"/>
        <item m="1" x="1144"/>
        <item m="1" x="1212"/>
        <item m="1" x="645"/>
        <item m="1" x="922"/>
        <item m="1" x="1191"/>
        <item m="1" x="276"/>
        <item m="1" x="1113"/>
        <item m="1" x="1112"/>
        <item m="1" x="1059"/>
        <item m="1" x="544"/>
        <item m="1" x="586"/>
        <item m="1" x="733"/>
        <item m="1" x="271"/>
        <item m="1" x="823"/>
        <item m="1" x="651"/>
        <item m="1" x="734"/>
        <item m="1" x="1183"/>
        <item m="1" x="411"/>
        <item m="1" x="528"/>
        <item m="1" x="826"/>
        <item m="1" x="811"/>
        <item m="1" x="816"/>
        <item m="1" x="1117"/>
        <item m="1" x="538"/>
        <item m="1" x="420"/>
        <item m="1" x="423"/>
        <item m="1" x="569"/>
        <item m="1" x="433"/>
        <item m="1" x="716"/>
        <item m="1" x="445"/>
        <item m="1" x="468"/>
        <item m="1" x="288"/>
        <item m="1" x="1024"/>
        <item m="1" x="1316"/>
        <item m="1" x="1159"/>
        <item m="1" x="802"/>
        <item m="1" x="709"/>
        <item m="1" x="462"/>
        <item m="1" x="364"/>
        <item m="1" x="1173"/>
        <item m="1" x="818"/>
        <item m="1" x="850"/>
        <item m="1" x="1052"/>
        <item m="1" x="975"/>
        <item m="1" x="822"/>
        <item m="1" x="705"/>
        <item m="1" x="1008"/>
        <item m="1" x="402"/>
        <item m="1" x="1157"/>
        <item m="1" x="1083"/>
        <item m="1" x="656"/>
        <item m="1" x="685"/>
        <item m="1" x="1253"/>
        <item m="1" x="937"/>
        <item m="1" x="789"/>
        <item m="1" x="1184"/>
        <item m="1" x="641"/>
        <item m="1" x="1161"/>
        <item m="1" x="552"/>
        <item m="1" x="929"/>
        <item m="1" x="1050"/>
        <item m="1" x="720"/>
        <item m="1" x="1198"/>
        <item m="1" x="1186"/>
        <item m="1" x="1164"/>
        <item m="1" x="579"/>
        <item m="1" x="1105"/>
        <item m="1" x="314"/>
        <item m="1" x="1104"/>
        <item m="1" x="467"/>
        <item m="1" x="493"/>
        <item m="1" x="1108"/>
        <item m="1" x="848"/>
        <item m="1" x="321"/>
        <item m="1" x="945"/>
        <item m="1" x="556"/>
        <item m="1" x="339"/>
        <item m="1" x="412"/>
        <item m="1" x="864"/>
        <item m="1" x="428"/>
        <item m="1" x="1063"/>
        <item m="1" x="971"/>
        <item m="1" x="988"/>
        <item m="1" x="1153"/>
        <item m="1" x="854"/>
        <item m="1" x="553"/>
        <item m="1" x="712"/>
        <item m="1" x="875"/>
        <item m="1" x="1075"/>
        <item m="1" x="514"/>
        <item m="1" x="930"/>
        <item m="1" x="1166"/>
        <item m="1" x="1236"/>
        <item m="1" x="1140"/>
        <item m="1" x="489"/>
        <item m="1" x="562"/>
        <item m="1" x="1275"/>
        <item m="1" x="324"/>
        <item m="1" x="1100"/>
        <item m="1" x="581"/>
        <item m="1" x="399"/>
        <item m="1" x="1325"/>
        <item m="1" x="870"/>
        <item x="178"/>
        <item m="1" x="1324"/>
        <item m="1" x="993"/>
        <item m="1" x="1073"/>
        <item m="1" x="901"/>
        <item m="1" x="381"/>
        <item m="1" x="448"/>
        <item m="1" x="1047"/>
        <item m="1" x="1311"/>
        <item m="1" x="352"/>
        <item m="1" x="1280"/>
        <item m="1" x="608"/>
        <item m="1" x="726"/>
        <item m="1" x="1122"/>
        <item m="1" x="846"/>
        <item m="1" x="536"/>
        <item m="1" x="284"/>
        <item m="1" x="355"/>
        <item m="1" x="484"/>
        <item m="1" x="483"/>
        <item m="1" x="829"/>
        <item m="1" x="1313"/>
        <item m="1" x="1226"/>
        <item m="1" x="940"/>
        <item m="1" x="758"/>
        <item m="1" x="898"/>
        <item m="1" x="575"/>
        <item m="1" x="731"/>
        <item m="1" x="294"/>
        <item m="1" x="277"/>
        <item m="1" x="1125"/>
        <item m="1" x="1094"/>
        <item m="1" x="838"/>
        <item m="1" x="723"/>
        <item m="1" x="404"/>
        <item m="1" x="752"/>
        <item m="1" x="739"/>
        <item m="1" x="531"/>
        <item m="1" x="790"/>
        <item m="1" x="458"/>
        <item m="1" x="1318"/>
        <item m="1" x="1279"/>
        <item m="1" x="618"/>
        <item m="1" x="1132"/>
        <item m="1" x="1097"/>
        <item m="1" x="391"/>
        <item m="1" x="452"/>
        <item m="1" x="958"/>
        <item m="1" x="319"/>
        <item m="1" x="296"/>
        <item m="1" x="357"/>
        <item m="1" x="741"/>
        <item m="1" x="275"/>
        <item m="1" x="511"/>
        <item m="1" x="861"/>
        <item m="1" x="453"/>
        <item m="1" x="1071"/>
        <item m="1" x="583"/>
        <item m="1" x="874"/>
        <item m="1" x="839"/>
        <item m="1" x="924"/>
        <item m="1" x="1200"/>
        <item m="1" x="1288"/>
        <item m="1" x="769"/>
        <item m="1" x="1124"/>
        <item m="1" x="1018"/>
        <item m="1" x="910"/>
        <item m="1" x="365"/>
        <item m="1" x="749"/>
        <item m="1" x="1074"/>
        <item m="1" x="842"/>
        <item m="1" x="652"/>
        <item m="1" x="708"/>
        <item m="1" x="1011"/>
        <item m="1" x="909"/>
        <item m="1" x="403"/>
        <item m="1" x="488"/>
        <item m="1" x="984"/>
        <item m="1" x="960"/>
        <item m="1" x="1146"/>
        <item m="1" x="550"/>
        <item m="1" x="719"/>
        <item m="1" x="666"/>
        <item m="1" x="1131"/>
        <item m="1" x="750"/>
        <item m="1" x="913"/>
        <item m="1" x="1145"/>
        <item m="1" x="871"/>
        <item m="1" x="943"/>
        <item m="1" x="884"/>
        <item m="1" x="397"/>
        <item m="1" x="880"/>
        <item m="1" x="573"/>
        <item m="1" x="377"/>
        <item m="1" x="887"/>
        <item m="1" x="390"/>
        <item m="1" x="603"/>
        <item m="1" x="561"/>
        <item m="1" x="997"/>
        <item m="1" x="315"/>
        <item m="1" x="1088"/>
        <item m="1" x="1266"/>
        <item m="1" x="571"/>
        <item m="1" x="459"/>
        <item m="1" x="588"/>
        <item m="1" x="977"/>
        <item m="1" x="1305"/>
        <item m="1" x="1301"/>
        <item m="1" x="600"/>
        <item m="1" x="302"/>
        <item m="1" x="530"/>
        <item m="1" x="1217"/>
        <item m="1" x="955"/>
        <item m="1" x="715"/>
        <item m="1" x="747"/>
        <item m="1" x="893"/>
        <item m="1" x="1031"/>
        <item m="1" x="682"/>
        <item m="1" x="325"/>
        <item m="1" x="775"/>
        <item m="1" x="911"/>
        <item m="1" x="907"/>
        <item m="1" x="1098"/>
        <item m="1" x="936"/>
        <item m="1" x="996"/>
        <item m="1" x="768"/>
        <item m="1" x="634"/>
        <item m="1" x="1136"/>
        <item m="1" x="1060"/>
        <item m="1" x="918"/>
        <item m="1" x="346"/>
        <item m="1" x="438"/>
        <item m="1" x="1062"/>
        <item m="1" x="814"/>
        <item m="1" x="1233"/>
        <item m="1" x="858"/>
        <item m="1" x="1300"/>
        <item m="1" x="904"/>
        <item m="1" x="580"/>
        <item m="1" x="1196"/>
        <item m="1" x="1179"/>
        <item m="1" x="1049"/>
        <item m="1" x="966"/>
        <item m="1" x="1003"/>
        <item m="1" x="905"/>
        <item m="1" x="332"/>
        <item m="1" x="336"/>
        <item m="1" x="318"/>
        <item m="1" x="327"/>
        <item m="1" x="596"/>
        <item m="1" x="1172"/>
        <item m="1" x="1070"/>
        <item m="1" x="441"/>
        <item m="1" x="1215"/>
        <item m="1" x="962"/>
        <item m="1" x="1009"/>
        <item m="1" x="890"/>
        <item m="1" x="982"/>
        <item m="1" x="1231"/>
        <item m="1" x="1323"/>
        <item m="1" x="592"/>
        <item m="1" x="1295"/>
        <item m="1" x="485"/>
        <item m="1" x="852"/>
        <item m="1" x="806"/>
        <item m="1" x="389"/>
        <item m="1" x="771"/>
        <item m="1" x="894"/>
        <item m="1" x="1256"/>
        <item m="1" x="481"/>
        <item m="1" x="1294"/>
        <item m="1" x="342"/>
        <item m="1" x="689"/>
        <item m="1" x="1032"/>
        <item m="1" x="421"/>
        <item m="1" x="667"/>
        <item m="1" x="329"/>
        <item m="1" x="1121"/>
        <item m="1" x="1263"/>
        <item m="1" x="1221"/>
        <item m="1" x="1080"/>
        <item m="1" x="1109"/>
        <item m="1" x="970"/>
        <item m="1" x="1019"/>
        <item m="1" x="785"/>
        <item m="1" x="427"/>
        <item m="1" x="1006"/>
        <item m="1" x="957"/>
        <item m="1" x="1142"/>
        <item m="1" x="840"/>
        <item m="1" x="817"/>
        <item m="1" x="507"/>
        <item m="1" x="463"/>
        <item m="1" x="662"/>
        <item m="1" x="344"/>
        <item m="1" x="730"/>
        <item m="1" x="442"/>
        <item m="1" x="836"/>
        <item m="1" x="1141"/>
        <item x="32"/>
        <item x="35"/>
        <item x="36"/>
        <item x="59"/>
        <item m="1" x="995"/>
        <item m="1" x="841"/>
        <item m="1" x="1041"/>
        <item m="1" x="835"/>
        <item x="55"/>
        <item x="18"/>
        <item x="19"/>
        <item x="40"/>
        <item x="39"/>
        <item x="42"/>
        <item x="43"/>
        <item m="1" x="597"/>
        <item x="56"/>
        <item m="1" x="1199"/>
        <item x="44"/>
        <item x="45"/>
        <item x="46"/>
        <item m="1" x="986"/>
        <item x="139"/>
        <item x="47"/>
        <item x="57"/>
        <item m="1" x="622"/>
        <item x="48"/>
        <item x="50"/>
        <item x="51"/>
        <item x="52"/>
        <item x="72"/>
        <item x="102"/>
        <item m="1" x="526"/>
        <item x="6"/>
        <item x="194"/>
        <item x="260"/>
        <item x="49"/>
        <item x="54"/>
        <item x="58"/>
        <item x="62"/>
        <item x="63"/>
        <item x="64"/>
        <item x="65"/>
        <item x="66"/>
        <item x="67"/>
        <item x="68"/>
        <item x="203"/>
        <item x="99"/>
        <item x="69"/>
        <item m="1" x="717"/>
        <item x="95"/>
        <item x="147"/>
        <item m="1" x="1168"/>
        <item x="22"/>
        <item x="70"/>
        <item x="71"/>
        <item x="73"/>
        <item x="74"/>
        <item x="75"/>
        <item x="132"/>
        <item x="76"/>
        <item x="77"/>
        <item x="78"/>
        <item x="79"/>
        <item x="80"/>
        <item x="81"/>
        <item x="8"/>
        <item x="246"/>
        <item x="96"/>
        <item m="1" x="1205"/>
        <item m="1" x="813"/>
        <item x="98"/>
        <item x="14"/>
        <item m="1" x="1255"/>
        <item x="148"/>
        <item x="83"/>
        <item m="1" x="400"/>
        <item x="224"/>
        <item x="86"/>
        <item x="87"/>
        <item x="88"/>
        <item x="3"/>
        <item m="1" x="759"/>
        <item x="97"/>
        <item x="85"/>
        <item x="89"/>
        <item x="90"/>
        <item x="104"/>
        <item x="94"/>
        <item x="107"/>
        <item x="100"/>
        <item x="105"/>
        <item x="91"/>
        <item x="103"/>
        <item x="108"/>
        <item x="109"/>
        <item x="110"/>
        <item x="112"/>
        <item x="111"/>
        <item m="1" x="415"/>
        <item x="144"/>
        <item x="5"/>
        <item m="1" x="906"/>
        <item x="228"/>
        <item m="1" x="766"/>
        <item x="136"/>
        <item x="134"/>
        <item x="133"/>
        <item x="135"/>
        <item x="235"/>
        <item m="1" x="610"/>
        <item m="1" x="584"/>
        <item m="1" x="291"/>
        <item x="226"/>
        <item x="193"/>
        <item x="143"/>
        <item x="113"/>
        <item x="114"/>
        <item x="119"/>
        <item x="121"/>
        <item x="123"/>
        <item x="10"/>
        <item m="1" x="338"/>
        <item x="4"/>
        <item m="1" x="1322"/>
        <item x="11"/>
        <item x="118"/>
        <item x="120"/>
        <item x="122"/>
        <item x="124"/>
        <item x="128"/>
        <item x="243"/>
        <item x="209"/>
        <item x="140"/>
        <item x="9"/>
        <item x="190"/>
        <item x="253"/>
        <item x="127"/>
        <item x="244"/>
        <item x="141"/>
        <item x="142"/>
        <item x="222"/>
        <item x="126"/>
        <item x="129"/>
        <item x="138"/>
        <item x="219"/>
        <item x="220"/>
        <item x="221"/>
        <item m="1" x="844"/>
        <item x="130"/>
        <item x="131"/>
        <item x="150"/>
        <item x="151"/>
        <item x="152"/>
        <item x="153"/>
        <item x="154"/>
        <item x="155"/>
        <item x="156"/>
        <item x="165"/>
        <item x="231"/>
        <item x="191"/>
        <item x="233"/>
        <item x="185"/>
        <item x="158"/>
        <item x="159"/>
        <item x="162"/>
        <item x="207"/>
        <item m="1" x="659"/>
        <item x="218"/>
        <item m="1" x="372"/>
        <item x="225"/>
        <item x="232"/>
        <item x="192"/>
        <item x="161"/>
        <item x="245"/>
        <item x="261"/>
        <item x="210"/>
        <item x="205"/>
        <item x="163"/>
        <item x="160"/>
        <item x="170"/>
        <item x="249"/>
        <item x="164"/>
        <item x="217"/>
        <item x="166"/>
        <item x="250"/>
        <item x="230"/>
        <item x="187"/>
        <item x="237"/>
        <item x="167"/>
        <item x="168"/>
        <item x="169"/>
        <item x="171"/>
        <item x="223"/>
        <item x="172"/>
        <item x="173"/>
        <item x="174"/>
        <item x="176"/>
        <item x="196"/>
        <item x="215"/>
        <item x="188"/>
        <item x="201"/>
        <item x="216"/>
        <item x="13"/>
        <item x="21"/>
        <item x="175"/>
        <item x="177"/>
        <item x="180"/>
        <item x="181"/>
        <item x="182"/>
        <item x="186"/>
        <item x="189"/>
        <item x="195"/>
        <item x="197"/>
        <item x="199"/>
        <item x="200"/>
        <item x="202"/>
        <item x="206"/>
        <item x="208"/>
        <item x="211"/>
        <item x="227"/>
        <item x="229"/>
        <item x="236"/>
        <item x="239"/>
        <item x="240"/>
        <item x="241"/>
        <item x="247"/>
      </items>
    </pivotField>
    <pivotField dataField="1" subtotalTop="0" showAll="0"/>
    <pivotField subtotalTop="0" showAll="0"/>
    <pivotField subtotalTop="0" showAll="0"/>
    <pivotField subtotalTop="0" showAll="0"/>
    <pivotField axis="axisRow" subtotalTop="0" showAll="0">
      <items count="26">
        <item m="1" x="15"/>
        <item m="1" x="18"/>
        <item m="1" x="13"/>
        <item m="1" x="20"/>
        <item m="1" x="14"/>
        <item m="1" x="24"/>
        <item m="1" x="17"/>
        <item x="12"/>
        <item x="8"/>
        <item x="11"/>
        <item x="0"/>
        <item x="5"/>
        <item x="3"/>
        <item x="1"/>
        <item x="10"/>
        <item x="9"/>
        <item x="4"/>
        <item m="1" x="22"/>
        <item m="1" x="19"/>
        <item m="1" x="23"/>
        <item m="1" x="16"/>
        <item m="1" x="21"/>
        <item x="2"/>
        <item x="7"/>
        <item x="6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6">
    <field x="7"/>
    <field x="8"/>
    <field x="44"/>
    <field x="43"/>
    <field x="5"/>
    <field x="13"/>
  </rowFields>
  <rowItems count="962">
    <i>
      <x/>
      <x v="79"/>
      <x/>
    </i>
    <i r="3">
      <x v="8"/>
    </i>
    <i r="4">
      <x v="244"/>
      <x v="16"/>
    </i>
    <i r="1">
      <x v="193"/>
      <x/>
    </i>
    <i r="3">
      <x v="2"/>
    </i>
    <i r="4">
      <x v="51"/>
      <x v="10"/>
    </i>
    <i r="3">
      <x v="3"/>
    </i>
    <i r="4">
      <x v="73"/>
      <x v="10"/>
    </i>
    <i r="1">
      <x v="493"/>
      <x/>
    </i>
    <i r="3">
      <x v="2"/>
    </i>
    <i r="4">
      <x v="59"/>
      <x v="22"/>
    </i>
    <i r="1">
      <x v="507"/>
      <x/>
    </i>
    <i r="3">
      <x v="2"/>
    </i>
    <i r="4">
      <x v="49"/>
      <x v="10"/>
    </i>
    <i r="1">
      <x v="1112"/>
      <x/>
    </i>
    <i r="3">
      <x v="1"/>
    </i>
    <i r="4">
      <x v="21"/>
      <x v="10"/>
    </i>
    <i r="1">
      <x v="1158"/>
      <x/>
    </i>
    <i r="3">
      <x v="3"/>
    </i>
    <i r="4">
      <x v="91"/>
      <x v="10"/>
    </i>
    <i r="1">
      <x v="1165"/>
      <x/>
    </i>
    <i r="3">
      <x v="3"/>
    </i>
    <i r="4">
      <x v="73"/>
      <x v="10"/>
    </i>
    <i r="1">
      <x v="1205"/>
      <x/>
    </i>
    <i r="3">
      <x v="3"/>
    </i>
    <i r="4">
      <x v="91"/>
      <x v="10"/>
    </i>
    <i r="1">
      <x v="1206"/>
      <x/>
    </i>
    <i r="3">
      <x v="3"/>
    </i>
    <i r="4">
      <x v="91"/>
      <x v="10"/>
    </i>
    <i r="1">
      <x v="1207"/>
      <x/>
    </i>
    <i r="3">
      <x v="3"/>
    </i>
    <i r="4">
      <x v="91"/>
      <x v="10"/>
    </i>
    <i r="1">
      <x v="1265"/>
      <x/>
    </i>
    <i r="3">
      <x v="5"/>
    </i>
    <i r="4">
      <x v="152"/>
      <x v="16"/>
    </i>
    <i r="1">
      <x v="1276"/>
      <x/>
    </i>
    <i r="3">
      <x v="5"/>
    </i>
    <i r="4">
      <x v="152"/>
      <x v="8"/>
    </i>
    <i r="1">
      <x v="1311"/>
      <x/>
    </i>
    <i r="3">
      <x v="5"/>
    </i>
    <i r="4">
      <x v="122"/>
      <x v="10"/>
    </i>
    <i r="1">
      <x v="1316"/>
      <x/>
    </i>
    <i r="3">
      <x v="5"/>
    </i>
    <i r="4">
      <x v="152"/>
      <x v="16"/>
    </i>
    <i r="1">
      <x v="1317"/>
      <x/>
    </i>
    <i r="3">
      <x v="5"/>
    </i>
    <i r="4">
      <x v="152"/>
      <x v="16"/>
    </i>
    <i>
      <x v="1"/>
      <x v="80"/>
      <x/>
    </i>
    <i r="3">
      <x v="9"/>
    </i>
    <i r="4">
      <x v="264"/>
      <x v="16"/>
    </i>
    <i r="1">
      <x v="193"/>
      <x/>
    </i>
    <i r="3">
      <x v="4"/>
    </i>
    <i r="4">
      <x v="120"/>
      <x v="10"/>
    </i>
    <i r="1">
      <x v="1107"/>
      <x/>
    </i>
    <i r="3">
      <x v="1"/>
    </i>
    <i r="4">
      <x v="31"/>
      <x v="22"/>
    </i>
    <i r="1">
      <x v="1297"/>
      <x/>
    </i>
    <i r="3">
      <x v="5"/>
    </i>
    <i r="4">
      <x v="122"/>
      <x v="16"/>
    </i>
    <i>
      <x v="2"/>
      <x v="442"/>
      <x/>
    </i>
    <i r="3">
      <x v="1"/>
    </i>
    <i r="4">
      <x v="7"/>
      <x v="10"/>
    </i>
    <i r="1">
      <x v="1099"/>
      <x/>
    </i>
    <i r="3">
      <x v="1"/>
    </i>
    <i r="4">
      <x v="9"/>
      <x v="10"/>
    </i>
    <i r="1">
      <x v="1118"/>
      <x/>
    </i>
    <i r="3">
      <x v="1"/>
    </i>
    <i r="4">
      <x v="24"/>
      <x v="10"/>
    </i>
    <i>
      <x v="4"/>
      <x v="193"/>
      <x/>
    </i>
    <i r="3">
      <x v="3"/>
    </i>
    <i r="4">
      <x v="73"/>
      <x v="10"/>
    </i>
    <i r="1">
      <x v="234"/>
      <x/>
    </i>
    <i r="3">
      <x v="1"/>
    </i>
    <i r="4">
      <x v="12"/>
      <x v="10"/>
    </i>
    <i>
      <x v="5"/>
      <x v="104"/>
      <x/>
    </i>
    <i r="3">
      <x v="4"/>
    </i>
    <i r="4">
      <x v="121"/>
      <x v="10"/>
    </i>
    <i r="1">
      <x v="193"/>
      <x/>
    </i>
    <i r="3">
      <x v="5"/>
    </i>
    <i r="4">
      <x v="122"/>
      <x v="10"/>
    </i>
    <i r="1">
      <x v="507"/>
      <x/>
    </i>
    <i r="3">
      <x v="2"/>
    </i>
    <i r="4">
      <x v="49"/>
      <x v="10"/>
    </i>
    <i>
      <x v="6"/>
      <x v="79"/>
      <x/>
    </i>
    <i r="3">
      <x v="8"/>
    </i>
    <i r="4">
      <x v="244"/>
      <x v="16"/>
    </i>
    <i r="1">
      <x v="193"/>
      <x/>
    </i>
    <i r="3">
      <x v="3"/>
    </i>
    <i r="4">
      <x v="73"/>
      <x v="10"/>
    </i>
    <i r="1">
      <x v="236"/>
      <x/>
    </i>
    <i r="3">
      <x v="4"/>
    </i>
    <i r="4">
      <x v="99"/>
      <x v="10"/>
    </i>
    <i r="1">
      <x v="309"/>
      <x/>
    </i>
    <i r="3">
      <x v="2"/>
    </i>
    <i r="4">
      <x v="59"/>
      <x v="10"/>
    </i>
    <i>
      <x v="10"/>
      <x v="193"/>
      <x/>
    </i>
    <i r="3">
      <x v="1"/>
    </i>
    <i r="4">
      <x v="2"/>
      <x v="10"/>
    </i>
    <i>
      <x v="11"/>
      <x v="85"/>
      <x/>
    </i>
    <i r="3">
      <x v="5"/>
    </i>
    <i r="4">
      <x v="152"/>
      <x v="13"/>
    </i>
    <i r="1">
      <x v="181"/>
      <x/>
    </i>
    <i r="3">
      <x v="3"/>
    </i>
    <i r="4">
      <x v="91"/>
      <x v="10"/>
    </i>
    <i r="1">
      <x v="254"/>
      <x/>
    </i>
    <i r="3">
      <x v="12"/>
    </i>
    <i r="4">
      <x v="366"/>
      <x v="13"/>
    </i>
    <i r="1">
      <x v="276"/>
      <x/>
    </i>
    <i r="3">
      <x v="8"/>
    </i>
    <i r="4">
      <x v="243"/>
      <x v="15"/>
    </i>
    <i r="1">
      <x v="1113"/>
      <x/>
    </i>
    <i r="3">
      <x v="1"/>
    </i>
    <i r="4">
      <x v="21"/>
      <x v="10"/>
    </i>
    <i r="1">
      <x v="1280"/>
      <x/>
    </i>
    <i r="3">
      <x v="8"/>
    </i>
    <i r="4">
      <x v="244"/>
      <x v="8"/>
    </i>
    <i r="1">
      <x v="1284"/>
      <x/>
    </i>
    <i r="3">
      <x v="8"/>
    </i>
    <i r="4">
      <x v="244"/>
      <x v="8"/>
    </i>
    <i>
      <x v="12"/>
      <x v="533"/>
      <x/>
    </i>
    <i r="3">
      <x v="1"/>
    </i>
    <i r="4">
      <x v="8"/>
      <x v="10"/>
    </i>
    <i r="1">
      <x v="1300"/>
      <x/>
    </i>
    <i r="3">
      <x v="5"/>
    </i>
    <i r="4">
      <x v="138"/>
      <x v="8"/>
    </i>
    <i r="1">
      <x v="1309"/>
      <x/>
    </i>
    <i r="3">
      <x v="4"/>
    </i>
    <i r="4">
      <x v="121"/>
      <x v="10"/>
    </i>
    <i>
      <x v="13"/>
      <x v="70"/>
      <x/>
    </i>
    <i r="3">
      <x v="7"/>
    </i>
    <i r="4">
      <x v="213"/>
      <x v="12"/>
    </i>
    <i r="1">
      <x v="79"/>
      <x/>
    </i>
    <i r="3">
      <x v="6"/>
    </i>
    <i r="4">
      <x v="182"/>
      <x v="12"/>
    </i>
    <i r="1">
      <x v="215"/>
      <x/>
    </i>
    <i r="3">
      <x v="8"/>
    </i>
    <i r="4">
      <x v="244"/>
      <x v="12"/>
    </i>
    <i r="1">
      <x v="507"/>
      <x/>
    </i>
    <i r="3">
      <x v="2"/>
    </i>
    <i r="4">
      <x v="49"/>
      <x v="10"/>
    </i>
    <i r="1">
      <x v="1160"/>
      <x/>
    </i>
    <i r="3">
      <x v="2"/>
    </i>
    <i r="4">
      <x v="44"/>
      <x v="10"/>
    </i>
    <i r="1">
      <x v="1185"/>
      <x/>
    </i>
    <i r="3">
      <x v="2"/>
    </i>
    <i r="4">
      <x v="57"/>
      <x v="10"/>
    </i>
    <i r="1">
      <x v="1243"/>
      <x/>
    </i>
    <i r="3">
      <x v="3"/>
    </i>
    <i r="4">
      <x v="91"/>
      <x v="10"/>
    </i>
    <i r="1">
      <x v="1263"/>
      <x/>
    </i>
    <i r="3">
      <x v="4"/>
    </i>
    <i r="4">
      <x v="101"/>
      <x v="10"/>
    </i>
    <i r="1">
      <x v="1305"/>
      <x/>
    </i>
    <i r="3">
      <x v="4"/>
    </i>
    <i r="4">
      <x v="117"/>
      <x v="10"/>
    </i>
    <i>
      <x v="14"/>
      <x v="85"/>
      <x/>
    </i>
    <i r="3">
      <x v="7"/>
    </i>
    <i r="4">
      <x v="213"/>
      <x v="12"/>
    </i>
    <i r="1">
      <x v="193"/>
      <x/>
    </i>
    <i r="3">
      <x v="1"/>
    </i>
    <i r="4">
      <x v="14"/>
      <x v="10"/>
    </i>
    <i r="1">
      <x v="1121"/>
      <x/>
    </i>
    <i r="3">
      <x v="3"/>
    </i>
    <i r="4">
      <x v="91"/>
      <x v="22"/>
    </i>
    <i r="1">
      <x v="1180"/>
      <x/>
    </i>
    <i r="3">
      <x v="3"/>
    </i>
    <i r="4">
      <x v="91"/>
      <x v="10"/>
    </i>
    <i>
      <x v="15"/>
      <x v="478"/>
      <x/>
    </i>
    <i r="3">
      <x v="3"/>
    </i>
    <i r="4">
      <x v="74"/>
      <x v="10"/>
    </i>
    <i r="4">
      <x v="87"/>
      <x v="10"/>
    </i>
    <i r="1">
      <x v="1117"/>
      <x/>
    </i>
    <i r="3">
      <x v="2"/>
    </i>
    <i r="4">
      <x v="44"/>
      <x v="10"/>
    </i>
    <i r="1">
      <x v="1183"/>
      <x/>
    </i>
    <i r="3">
      <x v="2"/>
    </i>
    <i r="4">
      <x v="49"/>
      <x v="13"/>
    </i>
    <i r="1">
      <x v="1274"/>
      <x/>
    </i>
    <i r="3">
      <x v="5"/>
    </i>
    <i r="4">
      <x v="152"/>
      <x v="13"/>
    </i>
    <i>
      <x v="16"/>
      <x v="85"/>
      <x/>
    </i>
    <i r="3">
      <x v="4"/>
    </i>
    <i r="4">
      <x v="121"/>
      <x v="13"/>
    </i>
    <i r="3">
      <x v="7"/>
    </i>
    <i r="4">
      <x v="213"/>
      <x v="13"/>
    </i>
    <i r="1">
      <x v="273"/>
      <x/>
    </i>
    <i r="3">
      <x v="12"/>
    </i>
    <i r="4">
      <x v="366"/>
      <x v="8"/>
    </i>
    <i r="1">
      <x v="278"/>
      <x/>
    </i>
    <i r="3">
      <x v="12"/>
    </i>
    <i r="4">
      <x v="366"/>
      <x v="8"/>
    </i>
    <i>
      <x v="17"/>
      <x v="249"/>
      <x/>
    </i>
    <i r="3">
      <x v="3"/>
    </i>
    <i r="4">
      <x v="74"/>
      <x v="10"/>
    </i>
    <i>
      <x v="22"/>
      <x v="73"/>
      <x/>
    </i>
    <i r="3">
      <x v="7"/>
    </i>
    <i r="4">
      <x v="190"/>
      <x v="8"/>
    </i>
    <i r="1">
      <x v="1132"/>
      <x/>
    </i>
    <i r="3">
      <x v="7"/>
    </i>
    <i r="4">
      <x v="190"/>
      <x v="13"/>
    </i>
    <i r="1">
      <x v="1152"/>
      <x/>
    </i>
    <i r="3">
      <x v="5"/>
    </i>
    <i r="4">
      <x v="152"/>
      <x v="22"/>
    </i>
    <i r="1">
      <x v="1222"/>
      <x/>
    </i>
    <i r="3">
      <x v="3"/>
    </i>
    <i r="4">
      <x v="91"/>
      <x v="10"/>
    </i>
    <i r="1">
      <x v="1244"/>
      <x/>
    </i>
    <i r="3">
      <x v="5"/>
    </i>
    <i r="4">
      <x v="152"/>
      <x v="10"/>
    </i>
    <i r="1">
      <x v="1245"/>
      <x/>
    </i>
    <i r="3">
      <x v="5"/>
    </i>
    <i r="4">
      <x v="152"/>
      <x v="8"/>
    </i>
    <i r="1">
      <x v="1246"/>
      <x/>
    </i>
    <i r="3">
      <x v="5"/>
    </i>
    <i r="4">
      <x v="152"/>
      <x v="8"/>
    </i>
    <i r="1">
      <x v="1267"/>
      <x/>
    </i>
    <i r="3">
      <x v="5"/>
    </i>
    <i r="4">
      <x v="152"/>
      <x v="8"/>
    </i>
    <i r="1">
      <x v="1273"/>
      <x/>
    </i>
    <i r="3">
      <x v="6"/>
    </i>
    <i r="4">
      <x v="182"/>
      <x v="16"/>
    </i>
    <i r="1">
      <x v="1303"/>
      <x/>
    </i>
    <i r="3">
      <x v="5"/>
    </i>
    <i r="4">
      <x v="152"/>
      <x v="13"/>
    </i>
    <i r="1">
      <x v="1306"/>
      <x/>
    </i>
    <i r="3">
      <x v="4"/>
    </i>
    <i r="4">
      <x v="120"/>
      <x v="10"/>
    </i>
    <i>
      <x v="25"/>
      <x v="80"/>
      <x/>
    </i>
    <i r="3">
      <x v="6"/>
    </i>
    <i r="4">
      <x v="174"/>
      <x v="12"/>
    </i>
    <i r="1">
      <x v="249"/>
      <x/>
    </i>
    <i r="3">
      <x v="6"/>
    </i>
    <i r="4">
      <x v="180"/>
      <x v="16"/>
    </i>
    <i r="1">
      <x v="306"/>
      <x/>
    </i>
    <i r="3">
      <x v="1"/>
    </i>
    <i r="4">
      <x v="16"/>
      <x v="10"/>
    </i>
    <i r="1">
      <x v="319"/>
      <x/>
    </i>
    <i r="3">
      <x v="1"/>
    </i>
    <i r="4">
      <x v="3"/>
      <x v="10"/>
    </i>
    <i r="1">
      <x v="534"/>
      <x/>
    </i>
    <i r="3">
      <x v="1"/>
    </i>
    <i r="4">
      <x v="9"/>
      <x v="10"/>
    </i>
    <i r="1">
      <x v="535"/>
      <x/>
    </i>
    <i r="3">
      <x v="1"/>
    </i>
    <i r="4">
      <x v="9"/>
      <x v="10"/>
    </i>
    <i r="1">
      <x v="1100"/>
      <x/>
    </i>
    <i r="3">
      <x v="1"/>
    </i>
    <i r="4">
      <x v="11"/>
      <x v="10"/>
    </i>
    <i r="1">
      <x v="1101"/>
      <x/>
    </i>
    <i r="3">
      <x v="1"/>
    </i>
    <i r="4">
      <x v="11"/>
      <x v="10"/>
    </i>
    <i r="1">
      <x v="1117"/>
      <x/>
    </i>
    <i r="3">
      <x v="1"/>
    </i>
    <i r="4">
      <x v="23"/>
      <x v="10"/>
    </i>
    <i r="1">
      <x v="1119"/>
      <x/>
    </i>
    <i r="3">
      <x v="1"/>
    </i>
    <i r="4">
      <x v="25"/>
      <x v="10"/>
    </i>
    <i r="3">
      <x v="2"/>
    </i>
    <i r="4">
      <x v="32"/>
      <x v="10"/>
    </i>
    <i r="1">
      <x v="1123"/>
      <x/>
    </i>
    <i r="3">
      <x v="1"/>
    </i>
    <i r="4">
      <x v="31"/>
      <x v="10"/>
    </i>
    <i r="1">
      <x v="1125"/>
      <x/>
    </i>
    <i r="3">
      <x v="1"/>
    </i>
    <i r="4">
      <x v="30"/>
      <x v="10"/>
    </i>
    <i r="1">
      <x v="1126"/>
      <x/>
    </i>
    <i r="3">
      <x v="1"/>
    </i>
    <i r="4">
      <x v="30"/>
      <x v="10"/>
    </i>
    <i r="1">
      <x v="1127"/>
      <x/>
    </i>
    <i r="3">
      <x v="1"/>
    </i>
    <i r="4">
      <x v="30"/>
      <x v="10"/>
    </i>
    <i r="1">
      <x v="1128"/>
      <x/>
    </i>
    <i r="3">
      <x v="1"/>
    </i>
    <i r="4">
      <x v="30"/>
      <x v="10"/>
    </i>
    <i r="1">
      <x v="1134"/>
      <x/>
    </i>
    <i r="3">
      <x v="4"/>
    </i>
    <i r="4">
      <x v="121"/>
      <x v="10"/>
    </i>
    <i r="1">
      <x v="1135"/>
      <x/>
    </i>
    <i r="3">
      <x v="1"/>
    </i>
    <i r="4">
      <x v="30"/>
      <x v="10"/>
    </i>
    <i r="1">
      <x v="1137"/>
      <x/>
    </i>
    <i r="3">
      <x v="1"/>
    </i>
    <i r="4">
      <x v="31"/>
      <x v="10"/>
    </i>
    <i r="1">
      <x v="1139"/>
      <x/>
    </i>
    <i r="3">
      <x v="2"/>
    </i>
    <i r="4">
      <x v="32"/>
      <x v="13"/>
    </i>
    <i r="1">
      <x v="1141"/>
      <x/>
    </i>
    <i r="3">
      <x v="2"/>
    </i>
    <i r="4">
      <x v="35"/>
      <x v="10"/>
    </i>
    <i r="1">
      <x v="1142"/>
      <x/>
    </i>
    <i r="3">
      <x v="2"/>
    </i>
    <i r="4">
      <x v="35"/>
      <x v="10"/>
    </i>
    <i r="1">
      <x v="1143"/>
      <x/>
    </i>
    <i r="3">
      <x v="2"/>
    </i>
    <i r="4">
      <x v="35"/>
      <x v="10"/>
    </i>
    <i r="1">
      <x v="1144"/>
      <x/>
    </i>
    <i r="3">
      <x v="2"/>
    </i>
    <i r="4">
      <x v="36"/>
      <x v="10"/>
    </i>
    <i r="1">
      <x v="1145"/>
      <x/>
    </i>
    <i r="3">
      <x v="5"/>
    </i>
    <i r="4">
      <x v="148"/>
      <x v="22"/>
    </i>
    <i r="1">
      <x v="1146"/>
      <x/>
    </i>
    <i r="3">
      <x v="2"/>
    </i>
    <i r="4">
      <x v="59"/>
      <x v="13"/>
    </i>
    <i r="1">
      <x v="1147"/>
      <x/>
    </i>
    <i r="3">
      <x v="2"/>
    </i>
    <i r="4">
      <x v="37"/>
      <x v="10"/>
    </i>
    <i r="1">
      <x v="1153"/>
      <x/>
    </i>
    <i r="3">
      <x v="2"/>
    </i>
    <i r="4">
      <x v="37"/>
      <x v="10"/>
    </i>
    <i r="1">
      <x v="1155"/>
      <x/>
    </i>
    <i r="3">
      <x v="2"/>
    </i>
    <i r="4">
      <x v="42"/>
      <x v="10"/>
    </i>
    <i r="1">
      <x v="1156"/>
      <x/>
    </i>
    <i r="3">
      <x v="2"/>
    </i>
    <i r="4">
      <x v="42"/>
      <x v="10"/>
    </i>
    <i r="1">
      <x v="1161"/>
      <x/>
    </i>
    <i r="3">
      <x v="2"/>
    </i>
    <i r="4">
      <x v="44"/>
      <x v="10"/>
    </i>
    <i r="1">
      <x v="1162"/>
      <x/>
    </i>
    <i r="3">
      <x v="2"/>
    </i>
    <i r="4">
      <x v="44"/>
      <x v="13"/>
    </i>
    <i r="1">
      <x v="1163"/>
      <x/>
    </i>
    <i r="3">
      <x v="2"/>
    </i>
    <i r="4">
      <x v="44"/>
      <x v="10"/>
    </i>
    <i r="1">
      <x v="1166"/>
      <x/>
    </i>
    <i r="3">
      <x v="6"/>
    </i>
    <i r="4">
      <x v="182"/>
      <x v="12"/>
    </i>
    <i r="1">
      <x v="1167"/>
      <x/>
    </i>
    <i r="3">
      <x v="2"/>
    </i>
    <i r="4">
      <x v="59"/>
      <x v="10"/>
    </i>
    <i r="1">
      <x v="1170"/>
      <x/>
    </i>
    <i r="3">
      <x v="2"/>
    </i>
    <i r="4">
      <x v="59"/>
      <x v="22"/>
    </i>
    <i r="1">
      <x v="1171"/>
      <x/>
    </i>
    <i r="3">
      <x v="5"/>
    </i>
    <i r="4">
      <x v="151"/>
      <x v="22"/>
    </i>
    <i r="1">
      <x v="1174"/>
      <x/>
    </i>
    <i r="3">
      <x v="2"/>
    </i>
    <i r="4">
      <x v="46"/>
      <x v="10"/>
    </i>
    <i r="1">
      <x v="1176"/>
      <x/>
    </i>
    <i r="3">
      <x v="5"/>
    </i>
    <i r="4">
      <x v="152"/>
      <x v="16"/>
    </i>
    <i r="1">
      <x v="1177"/>
      <x/>
    </i>
    <i r="3">
      <x v="2"/>
    </i>
    <i r="4">
      <x v="51"/>
      <x v="10"/>
    </i>
    <i r="1">
      <x v="1178"/>
      <x/>
    </i>
    <i r="3">
      <x v="2"/>
    </i>
    <i r="4">
      <x v="51"/>
      <x v="10"/>
    </i>
    <i r="1">
      <x v="1179"/>
      <x/>
    </i>
    <i r="3">
      <x v="2"/>
    </i>
    <i r="4">
      <x v="51"/>
      <x v="10"/>
    </i>
    <i r="1">
      <x v="1182"/>
      <x/>
    </i>
    <i r="3">
      <x v="2"/>
    </i>
    <i r="4">
      <x v="59"/>
      <x v="10"/>
    </i>
    <i r="1">
      <x v="1184"/>
      <x/>
    </i>
    <i r="3">
      <x v="2"/>
    </i>
    <i r="4">
      <x v="56"/>
      <x v="10"/>
    </i>
    <i r="1">
      <x v="1188"/>
      <x/>
    </i>
    <i r="3">
      <x v="3"/>
    </i>
    <i r="4">
      <x v="61"/>
      <x v="8"/>
    </i>
    <i r="1">
      <x v="1189"/>
      <x/>
    </i>
    <i r="3">
      <x v="2"/>
    </i>
    <i r="4">
      <x v="59"/>
      <x v="13"/>
    </i>
    <i r="1">
      <x v="1191"/>
      <x/>
    </i>
    <i r="3">
      <x v="2"/>
    </i>
    <i r="4">
      <x v="58"/>
      <x v="10"/>
    </i>
    <i r="1">
      <x v="1195"/>
      <x/>
    </i>
    <i r="3">
      <x v="3"/>
    </i>
    <i r="4">
      <x v="65"/>
      <x v="10"/>
    </i>
    <i r="1">
      <x v="1197"/>
      <x/>
    </i>
    <i r="3">
      <x v="3"/>
    </i>
    <i r="4">
      <x v="66"/>
      <x v="10"/>
    </i>
    <i r="1">
      <x v="1202"/>
      <x/>
    </i>
    <i r="3">
      <x v="5"/>
    </i>
    <i r="4">
      <x v="152"/>
      <x v="16"/>
    </i>
    <i r="1">
      <x v="1212"/>
      <x/>
    </i>
    <i r="3">
      <x v="5"/>
    </i>
    <i r="4">
      <x v="152"/>
      <x v="10"/>
    </i>
    <i r="1">
      <x v="1228"/>
      <x/>
    </i>
    <i r="3">
      <x v="3"/>
    </i>
    <i r="4">
      <x v="80"/>
      <x v="10"/>
    </i>
    <i r="1">
      <x v="1232"/>
      <x/>
    </i>
    <i r="3">
      <x v="3"/>
    </i>
    <i r="4">
      <x v="91"/>
      <x v="10"/>
    </i>
    <i r="3">
      <x v="4"/>
    </i>
    <i r="4">
      <x v="101"/>
      <x v="10"/>
    </i>
    <i r="1">
      <x v="1233"/>
      <x/>
    </i>
    <i r="3">
      <x v="3"/>
    </i>
    <i r="4">
      <x v="91"/>
      <x v="10"/>
    </i>
    <i r="1">
      <x v="1234"/>
      <x/>
    </i>
    <i r="3">
      <x v="4"/>
    </i>
    <i r="4">
      <x v="121"/>
      <x v="10"/>
    </i>
    <i r="1">
      <x v="1238"/>
      <x/>
    </i>
    <i r="3">
      <x v="3"/>
    </i>
    <i r="4">
      <x v="91"/>
      <x v="13"/>
    </i>
    <i r="1">
      <x v="1239"/>
      <x/>
    </i>
    <i r="3">
      <x v="3"/>
    </i>
    <i r="4">
      <x v="91"/>
      <x v="10"/>
    </i>
    <i r="1">
      <x v="1240"/>
      <x/>
    </i>
    <i r="3">
      <x v="5"/>
    </i>
    <i r="4">
      <x v="152"/>
      <x v="8"/>
    </i>
    <i r="1">
      <x v="1241"/>
      <x/>
    </i>
    <i r="3">
      <x v="3"/>
    </i>
    <i r="4">
      <x v="87"/>
      <x v="10"/>
    </i>
    <i r="1">
      <x v="1242"/>
      <x/>
    </i>
    <i r="3">
      <x v="3"/>
    </i>
    <i r="4">
      <x v="89"/>
      <x v="13"/>
    </i>
    <i r="1">
      <x v="1248"/>
      <x/>
    </i>
    <i r="3">
      <x v="3"/>
    </i>
    <i r="4">
      <x v="89"/>
      <x v="10"/>
    </i>
    <i r="1">
      <x v="1249"/>
      <x/>
    </i>
    <i r="3">
      <x v="3"/>
    </i>
    <i r="4">
      <x v="89"/>
      <x v="10"/>
    </i>
    <i r="1">
      <x v="1251"/>
      <x/>
    </i>
    <i r="3">
      <x v="4"/>
    </i>
    <i r="4">
      <x v="92"/>
      <x v="10"/>
    </i>
    <i r="1">
      <x v="1254"/>
      <x/>
    </i>
    <i r="3">
      <x v="4"/>
    </i>
    <i r="4">
      <x v="95"/>
      <x v="10"/>
    </i>
    <i r="1">
      <x v="1255"/>
      <x/>
    </i>
    <i r="3">
      <x v="4"/>
    </i>
    <i r="4">
      <x v="96"/>
      <x v="10"/>
    </i>
    <i r="1">
      <x v="1258"/>
      <x/>
    </i>
    <i r="3">
      <x v="5"/>
    </i>
    <i r="4">
      <x v="152"/>
      <x v="11"/>
    </i>
    <i r="1">
      <x v="1259"/>
      <x/>
    </i>
    <i r="3">
      <x v="4"/>
    </i>
    <i r="4">
      <x v="121"/>
      <x v="8"/>
    </i>
    <i r="1">
      <x v="1264"/>
      <x/>
    </i>
    <i r="3">
      <x v="4"/>
    </i>
    <i r="4">
      <x v="103"/>
      <x v="10"/>
    </i>
    <i r="1">
      <x v="1269"/>
      <x/>
    </i>
    <i r="3">
      <x v="5"/>
    </i>
    <i r="4">
      <x v="152"/>
      <x v="11"/>
    </i>
    <i r="1">
      <x v="1270"/>
      <x/>
    </i>
    <i r="3">
      <x v="5"/>
    </i>
    <i r="4">
      <x v="152"/>
      <x v="16"/>
    </i>
    <i r="1">
      <x v="1277"/>
      <x/>
    </i>
    <i r="3">
      <x v="4"/>
    </i>
    <i r="4">
      <x v="103"/>
      <x v="10"/>
    </i>
    <i r="1">
      <x v="1278"/>
      <x/>
    </i>
    <i r="3">
      <x v="4"/>
    </i>
    <i r="4">
      <x v="101"/>
      <x v="10"/>
    </i>
    <i r="1">
      <x v="1281"/>
      <x/>
    </i>
    <i r="3">
      <x v="4"/>
    </i>
    <i r="4">
      <x v="103"/>
      <x v="10"/>
    </i>
    <i r="1">
      <x v="1283"/>
      <x/>
    </i>
    <i r="3">
      <x v="4"/>
    </i>
    <i r="4">
      <x v="107"/>
      <x v="10"/>
    </i>
    <i r="1">
      <x v="1285"/>
      <x/>
    </i>
    <i r="3">
      <x v="5"/>
    </i>
    <i r="4">
      <x v="152"/>
      <x v="8"/>
    </i>
    <i r="1">
      <x v="1290"/>
      <x/>
    </i>
    <i r="3">
      <x v="4"/>
    </i>
    <i r="4">
      <x v="109"/>
      <x v="10"/>
    </i>
    <i r="1">
      <x v="1292"/>
      <x/>
    </i>
    <i r="3">
      <x v="5"/>
    </i>
    <i r="4">
      <x v="152"/>
      <x v="8"/>
    </i>
    <i r="1">
      <x v="1293"/>
      <x/>
    </i>
    <i r="3">
      <x v="4"/>
    </i>
    <i r="4">
      <x v="114"/>
      <x v="10"/>
    </i>
    <i r="1">
      <x v="1304"/>
      <x/>
    </i>
    <i r="3">
      <x v="4"/>
    </i>
    <i r="4">
      <x v="116"/>
      <x v="22"/>
    </i>
    <i r="1">
      <x v="1319"/>
      <x/>
    </i>
    <i r="3">
      <x v="5"/>
    </i>
    <i r="4">
      <x v="152"/>
      <x v="10"/>
    </i>
    <i r="1">
      <x v="1320"/>
      <x/>
    </i>
    <i r="3">
      <x v="5"/>
    </i>
    <i r="4">
      <x v="152"/>
      <x v="13"/>
    </i>
    <i>
      <x v="26"/>
      <x v="80"/>
      <x/>
    </i>
    <i r="3">
      <x v="10"/>
    </i>
    <i r="4">
      <x v="305"/>
      <x v="11"/>
    </i>
    <i r="1">
      <x v="262"/>
      <x/>
    </i>
    <i r="3">
      <x v="5"/>
    </i>
    <i r="4">
      <x v="148"/>
      <x v="8"/>
    </i>
    <i r="1">
      <x v="273"/>
      <x/>
    </i>
    <i r="3">
      <x v="6"/>
    </i>
    <i r="4">
      <x v="182"/>
      <x v="8"/>
    </i>
    <i r="1">
      <x v="1139"/>
      <x/>
    </i>
    <i r="3">
      <x v="2"/>
    </i>
    <i r="4">
      <x v="46"/>
      <x v="22"/>
    </i>
    <i>
      <x v="27"/>
      <x v="1102"/>
      <x/>
    </i>
    <i r="3">
      <x v="1"/>
    </i>
    <i r="4">
      <x v="31"/>
      <x v="10"/>
    </i>
    <i>
      <x v="29"/>
      <x v="193"/>
      <x/>
    </i>
    <i r="3">
      <x v="1"/>
    </i>
    <i r="4">
      <x v="2"/>
      <x v="10"/>
    </i>
    <i r="1">
      <x v="202"/>
      <x/>
    </i>
    <i r="3">
      <x v="5"/>
    </i>
    <i r="4">
      <x v="152"/>
      <x v="13"/>
    </i>
    <i r="1">
      <x v="295"/>
      <x/>
    </i>
    <i r="3">
      <x v="1"/>
    </i>
    <i r="4">
      <x v="31"/>
      <x v="13"/>
    </i>
    <i>
      <x v="30"/>
      <x v="80"/>
      <x/>
    </i>
    <i r="3">
      <x v="6"/>
    </i>
    <i r="4">
      <x v="162"/>
      <x v="16"/>
    </i>
    <i r="1">
      <x v="309"/>
      <x/>
    </i>
    <i r="3">
      <x v="3"/>
    </i>
    <i r="4">
      <x v="91"/>
      <x v="22"/>
    </i>
    <i r="1">
      <x v="1157"/>
      <x/>
    </i>
    <i r="3">
      <x v="2"/>
    </i>
    <i r="4">
      <x v="42"/>
      <x v="10"/>
    </i>
    <i r="1">
      <x v="1271"/>
      <x/>
    </i>
    <i r="3">
      <x v="4"/>
    </i>
    <i r="4">
      <x v="121"/>
      <x v="22"/>
    </i>
    <i>
      <x v="32"/>
      <x v="90"/>
      <x/>
    </i>
    <i r="3">
      <x v="12"/>
    </i>
    <i r="4">
      <x v="366"/>
      <x v="14"/>
    </i>
    <i r="1">
      <x v="92"/>
      <x/>
    </i>
    <i r="3">
      <x v="12"/>
    </i>
    <i r="4">
      <x v="366"/>
      <x v="14"/>
    </i>
    <i r="1">
      <x v="106"/>
      <x/>
    </i>
    <i r="3">
      <x v="2"/>
    </i>
    <i r="4">
      <x v="44"/>
      <x v="10"/>
    </i>
    <i r="1">
      <x v="226"/>
      <x/>
    </i>
    <i r="3">
      <x v="1"/>
    </i>
    <i r="4">
      <x v="30"/>
      <x v="10"/>
    </i>
    <i r="1">
      <x v="279"/>
      <x/>
    </i>
    <i r="3">
      <x v="12"/>
    </i>
    <i r="4">
      <x v="366"/>
      <x v="10"/>
    </i>
    <i r="1">
      <x v="280"/>
      <x/>
    </i>
    <i r="3">
      <x v="12"/>
    </i>
    <i r="4">
      <x v="366"/>
      <x v="8"/>
    </i>
    <i r="1">
      <x v="527"/>
      <x/>
    </i>
    <i r="3">
      <x v="3"/>
    </i>
    <i r="4">
      <x v="80"/>
      <x v="10"/>
    </i>
    <i r="1">
      <x v="1111"/>
      <x/>
    </i>
    <i r="3">
      <x v="1"/>
    </i>
    <i r="4">
      <x v="16"/>
      <x v="10"/>
    </i>
    <i r="1">
      <x v="1122"/>
      <x/>
    </i>
    <i r="3">
      <x v="1"/>
    </i>
    <i r="4">
      <x v="28"/>
      <x v="10"/>
    </i>
    <i r="1">
      <x v="1130"/>
      <x/>
    </i>
    <i r="3">
      <x v="2"/>
    </i>
    <i r="4">
      <x v="59"/>
      <x v="10"/>
    </i>
    <i r="1">
      <x v="1154"/>
      <x/>
    </i>
    <i r="3">
      <x v="2"/>
    </i>
    <i r="4">
      <x v="39"/>
      <x v="10"/>
    </i>
    <i r="1">
      <x v="1164"/>
      <x/>
    </i>
    <i r="3">
      <x v="2"/>
    </i>
    <i r="4">
      <x v="44"/>
      <x v="10"/>
    </i>
    <i r="1">
      <x v="1192"/>
      <x/>
    </i>
    <i r="3">
      <x v="2"/>
    </i>
    <i r="4">
      <x v="59"/>
      <x v="10"/>
    </i>
    <i r="1">
      <x v="1236"/>
      <x/>
    </i>
    <i r="3">
      <x v="3"/>
    </i>
    <i r="4">
      <x v="87"/>
      <x v="10"/>
    </i>
    <i r="1">
      <x v="1252"/>
      <x/>
    </i>
    <i r="3">
      <x v="4"/>
    </i>
    <i r="4">
      <x v="92"/>
      <x v="13"/>
    </i>
    <i r="1">
      <x v="1256"/>
      <x/>
    </i>
    <i r="3">
      <x v="4"/>
    </i>
    <i r="4">
      <x v="96"/>
      <x v="10"/>
    </i>
    <i r="1">
      <x v="1288"/>
      <x/>
    </i>
    <i r="3">
      <x v="4"/>
    </i>
    <i r="4">
      <x v="108"/>
      <x v="10"/>
    </i>
    <i r="1">
      <x v="1307"/>
      <x/>
    </i>
    <i r="3">
      <x v="4"/>
    </i>
    <i r="4">
      <x v="120"/>
      <x v="10"/>
    </i>
    <i>
      <x v="33"/>
      <x v="80"/>
      <x/>
    </i>
    <i r="3">
      <x v="3"/>
    </i>
    <i r="4">
      <x v="89"/>
      <x v="13"/>
    </i>
    <i r="1">
      <x v="193"/>
      <x/>
    </i>
    <i r="3">
      <x v="2"/>
    </i>
    <i r="4">
      <x v="39"/>
      <x v="10"/>
    </i>
    <i r="1">
      <x v="1225"/>
      <x/>
    </i>
    <i r="3">
      <x v="3"/>
    </i>
    <i r="4">
      <x v="74"/>
      <x v="10"/>
    </i>
    <i>
      <x v="34"/>
      <x v="80"/>
      <x/>
    </i>
    <i r="3">
      <x v="9"/>
    </i>
    <i r="4">
      <x v="274"/>
      <x v="12"/>
    </i>
    <i r="1">
      <x v="1208"/>
      <x/>
    </i>
    <i r="3">
      <x v="5"/>
    </i>
    <i r="4">
      <x v="152"/>
      <x v="13"/>
    </i>
    <i>
      <x v="37"/>
      <x v="1216"/>
      <x/>
    </i>
    <i r="3">
      <x v="3"/>
    </i>
    <i r="4">
      <x v="71"/>
      <x v="13"/>
    </i>
    <i r="1">
      <x v="1315"/>
      <x/>
    </i>
    <i r="3">
      <x v="5"/>
    </i>
    <i r="4">
      <x v="138"/>
      <x v="8"/>
    </i>
    <i r="1">
      <x v="1321"/>
      <x/>
    </i>
    <i r="3">
      <x v="5"/>
    </i>
    <i r="4">
      <x v="152"/>
      <x v="8"/>
    </i>
    <i>
      <x v="39"/>
      <x v="80"/>
      <x/>
    </i>
    <i r="3">
      <x v="3"/>
    </i>
    <i r="4">
      <x v="82"/>
      <x v="24"/>
    </i>
    <i r="1">
      <x v="224"/>
      <x/>
    </i>
    <i r="3">
      <x v="5"/>
    </i>
    <i r="4">
      <x v="122"/>
      <x v="13"/>
    </i>
    <i r="1">
      <x v="249"/>
      <x/>
    </i>
    <i r="3">
      <x v="4"/>
    </i>
    <i r="4">
      <x v="98"/>
      <x v="10"/>
    </i>
    <i r="1">
      <x v="527"/>
      <x/>
    </i>
    <i r="3">
      <x v="4"/>
    </i>
    <i r="4">
      <x v="120"/>
      <x v="10"/>
    </i>
    <i r="1">
      <x v="1140"/>
      <x/>
    </i>
    <i r="3">
      <x v="2"/>
    </i>
    <i r="4">
      <x v="32"/>
      <x v="10"/>
    </i>
    <i r="1">
      <x v="1186"/>
      <x/>
    </i>
    <i r="3">
      <x v="2"/>
    </i>
    <i r="4">
      <x v="59"/>
      <x v="13"/>
    </i>
    <i r="1">
      <x v="1313"/>
      <x/>
    </i>
    <i r="3">
      <x v="5"/>
    </i>
    <i r="4">
      <x v="122"/>
      <x v="8"/>
    </i>
    <i>
      <x v="40"/>
      <x v="236"/>
      <x/>
    </i>
    <i r="3">
      <x v="4"/>
    </i>
    <i r="4">
      <x v="98"/>
      <x v="10"/>
    </i>
    <i>
      <x v="44"/>
      <x v="80"/>
      <x/>
    </i>
    <i r="3">
      <x v="8"/>
    </i>
    <i r="4">
      <x v="243"/>
      <x v="12"/>
    </i>
    <i r="1">
      <x v="94"/>
      <x/>
    </i>
    <i r="3">
      <x v="3"/>
    </i>
    <i r="4">
      <x v="91"/>
      <x v="10"/>
    </i>
    <i r="1">
      <x v="277"/>
      <x/>
    </i>
    <i r="3">
      <x v="5"/>
    </i>
    <i r="4">
      <x v="152"/>
      <x v="15"/>
    </i>
    <i r="1">
      <x v="532"/>
      <x/>
    </i>
    <i r="3">
      <x v="1"/>
    </i>
    <i r="4">
      <x v="7"/>
      <x v="10"/>
    </i>
    <i r="1">
      <x v="1196"/>
      <x/>
    </i>
    <i r="3">
      <x v="3"/>
    </i>
    <i r="4">
      <x v="66"/>
      <x v="10"/>
    </i>
    <i r="1">
      <x v="1199"/>
      <x/>
    </i>
    <i r="3">
      <x v="3"/>
    </i>
    <i r="4">
      <x v="91"/>
      <x v="10"/>
    </i>
    <i r="1">
      <x v="1213"/>
      <x/>
    </i>
    <i r="3">
      <x v="4"/>
    </i>
    <i r="4">
      <x v="121"/>
      <x v="13"/>
    </i>
    <i r="1">
      <x v="1219"/>
      <x/>
    </i>
    <i r="3">
      <x v="3"/>
    </i>
    <i r="4">
      <x v="78"/>
      <x v="10"/>
    </i>
    <i r="1">
      <x v="1229"/>
      <x/>
    </i>
    <i r="3">
      <x v="3"/>
    </i>
    <i r="4">
      <x v="87"/>
      <x v="15"/>
    </i>
    <i r="1">
      <x v="1235"/>
      <x/>
    </i>
    <i r="3">
      <x v="11"/>
    </i>
    <i r="4">
      <x v="335"/>
      <x v="8"/>
    </i>
    <i r="1">
      <x v="1272"/>
      <x/>
    </i>
    <i r="3">
      <x v="4"/>
    </i>
    <i r="4">
      <x v="102"/>
      <x v="10"/>
    </i>
    <i>
      <x v="45"/>
      <x v="272"/>
      <x/>
    </i>
    <i r="3">
      <x v="5"/>
    </i>
    <i r="4">
      <x v="152"/>
      <x v="16"/>
    </i>
    <i r="1">
      <x v="282"/>
      <x/>
    </i>
    <i r="3">
      <x v="3"/>
    </i>
    <i r="4">
      <x v="91"/>
      <x v="14"/>
    </i>
    <i r="1">
      <x v="307"/>
      <x/>
    </i>
    <i r="3">
      <x v="2"/>
    </i>
    <i r="4">
      <x v="59"/>
      <x v="22"/>
    </i>
    <i r="1">
      <x v="314"/>
      <x/>
    </i>
    <i r="3">
      <x v="3"/>
    </i>
    <i r="4">
      <x v="91"/>
      <x v="13"/>
    </i>
    <i r="1">
      <x v="1322"/>
      <x/>
    </i>
    <i r="3">
      <x v="5"/>
    </i>
    <i r="4">
      <x v="152"/>
      <x v="8"/>
    </i>
    <i>
      <x v="46"/>
      <x v="93"/>
      <x/>
    </i>
    <i r="3">
      <x v="6"/>
    </i>
    <i r="4">
      <x v="174"/>
      <x v="23"/>
    </i>
    <i r="1">
      <x v="281"/>
      <x/>
    </i>
    <i r="3">
      <x v="12"/>
    </i>
    <i r="4">
      <x v="366"/>
      <x v="8"/>
    </i>
    <i r="1">
      <x v="1110"/>
      <x/>
    </i>
    <i r="3">
      <x v="1"/>
    </i>
    <i r="4">
      <x v="16"/>
      <x v="10"/>
    </i>
    <i r="1">
      <x v="1136"/>
      <x/>
    </i>
    <i r="3">
      <x v="1"/>
    </i>
    <i r="4">
      <x v="30"/>
      <x v="10"/>
    </i>
    <i r="1">
      <x v="1217"/>
      <x/>
    </i>
    <i r="3">
      <x v="3"/>
    </i>
    <i r="4">
      <x v="74"/>
      <x v="10"/>
    </i>
    <i>
      <x v="47"/>
      <x v="193"/>
      <x/>
    </i>
    <i r="3">
      <x v="5"/>
    </i>
    <i r="4">
      <x v="152"/>
      <x v="10"/>
    </i>
    <i r="1">
      <x v="234"/>
      <x/>
    </i>
    <i r="3">
      <x v="4"/>
    </i>
    <i r="4">
      <x v="92"/>
      <x v="10"/>
    </i>
    <i r="1">
      <x v="260"/>
      <x/>
    </i>
    <i r="3">
      <x v="3"/>
    </i>
    <i r="4">
      <x v="73"/>
      <x v="10"/>
    </i>
    <i r="1">
      <x v="316"/>
      <x/>
    </i>
    <i r="3">
      <x v="1"/>
    </i>
    <i r="4">
      <x v="2"/>
      <x v="10"/>
    </i>
    <i r="1">
      <x v="1150"/>
      <x/>
    </i>
    <i r="3">
      <x v="3"/>
    </i>
    <i r="4">
      <x v="91"/>
      <x v="22"/>
    </i>
    <i r="1">
      <x v="1173"/>
      <x/>
    </i>
    <i r="3">
      <x v="3"/>
    </i>
    <i r="4">
      <x v="91"/>
      <x v="22"/>
    </i>
    <i r="1">
      <x v="1218"/>
      <x/>
    </i>
    <i r="3">
      <x v="3"/>
    </i>
    <i r="4">
      <x v="75"/>
      <x v="10"/>
    </i>
    <i r="3">
      <x v="5"/>
    </i>
    <i r="4">
      <x v="152"/>
      <x v="12"/>
    </i>
    <i r="1">
      <x v="1325"/>
      <x/>
    </i>
    <i r="3">
      <x v="6"/>
    </i>
    <i r="4">
      <x v="182"/>
      <x v="8"/>
    </i>
    <i>
      <x v="48"/>
      <x v="80"/>
      <x/>
    </i>
    <i r="3">
      <x v="1"/>
    </i>
    <i r="4">
      <x v="28"/>
      <x v="10"/>
    </i>
    <i r="1">
      <x v="275"/>
      <x/>
    </i>
    <i r="3">
      <x v="12"/>
    </i>
    <i r="4">
      <x v="366"/>
      <x v="8"/>
    </i>
    <i r="1">
      <x v="279"/>
      <x/>
    </i>
    <i r="3">
      <x v="3"/>
    </i>
    <i r="4">
      <x v="91"/>
      <x v="13"/>
    </i>
    <i>
      <x v="50"/>
      <x v="1108"/>
      <x/>
    </i>
    <i r="3">
      <x v="6"/>
    </i>
    <i r="4">
      <x v="167"/>
      <x v="11"/>
    </i>
    <i r="1">
      <x v="1109"/>
      <x/>
    </i>
    <i r="3">
      <x v="8"/>
    </i>
    <i r="4">
      <x v="228"/>
      <x v="11"/>
    </i>
    <i r="1">
      <x v="1132"/>
      <x/>
    </i>
    <i r="3">
      <x v="4"/>
    </i>
    <i r="4">
      <x v="121"/>
      <x v="10"/>
    </i>
    <i r="1">
      <x v="1133"/>
      <x/>
    </i>
    <i r="3">
      <x v="4"/>
    </i>
    <i r="4">
      <x v="121"/>
      <x v="10"/>
    </i>
    <i r="1">
      <x v="1308"/>
      <x/>
    </i>
    <i r="3">
      <x v="4"/>
    </i>
    <i r="4">
      <x v="120"/>
      <x v="10"/>
    </i>
    <i>
      <x v="54"/>
      <x v="57"/>
      <x v="3"/>
    </i>
    <i r="3">
      <x/>
    </i>
    <i r="4">
      <x/>
      <x v="7"/>
    </i>
    <i>
      <x v="55"/>
      <x v="238"/>
      <x/>
    </i>
    <i r="3">
      <x v="1"/>
    </i>
    <i r="4">
      <x v="31"/>
      <x v="22"/>
    </i>
    <i>
      <x v="57"/>
      <x v="80"/>
      <x/>
    </i>
    <i r="3">
      <x v="7"/>
    </i>
    <i r="4">
      <x v="190"/>
      <x v="16"/>
    </i>
    <i r="1">
      <x v="1159"/>
      <x/>
    </i>
    <i r="3">
      <x v="2"/>
    </i>
    <i r="4">
      <x v="44"/>
      <x v="10"/>
    </i>
    <i r="1">
      <x v="1187"/>
      <x/>
    </i>
    <i r="3">
      <x v="2"/>
    </i>
    <i r="4">
      <x v="59"/>
      <x v="10"/>
    </i>
    <i>
      <x v="59"/>
      <x v="192"/>
      <x/>
    </i>
    <i r="3">
      <x v="9"/>
    </i>
    <i r="4">
      <x v="274"/>
      <x v="13"/>
    </i>
    <i r="1">
      <x v="309"/>
      <x/>
    </i>
    <i r="3">
      <x v="3"/>
    </i>
    <i r="4">
      <x v="89"/>
      <x v="10"/>
    </i>
    <i r="1">
      <x v="1253"/>
      <x/>
    </i>
    <i r="3">
      <x v="4"/>
    </i>
    <i r="4">
      <x v="92"/>
      <x v="10"/>
    </i>
    <i r="1">
      <x v="1295"/>
      <x/>
    </i>
    <i r="3">
      <x v="4"/>
    </i>
    <i r="4">
      <x v="115"/>
      <x v="10"/>
    </i>
    <i>
      <x v="60"/>
      <x v="1298"/>
      <x/>
    </i>
    <i r="3">
      <x v="5"/>
    </i>
    <i r="4">
      <x v="152"/>
      <x v="8"/>
    </i>
    <i r="1">
      <x v="1301"/>
      <x/>
    </i>
    <i r="3">
      <x v="5"/>
    </i>
    <i r="4">
      <x v="152"/>
      <x v="13"/>
    </i>
    <i>
      <x v="61"/>
      <x v="1138"/>
      <x/>
    </i>
    <i r="3">
      <x v="2"/>
    </i>
    <i r="4">
      <x v="32"/>
      <x v="22"/>
    </i>
    <i r="1">
      <x v="1224"/>
      <x/>
    </i>
    <i r="3">
      <x v="4"/>
    </i>
    <i r="4">
      <x v="108"/>
      <x v="10"/>
    </i>
    <i r="1">
      <x v="1275"/>
      <x/>
    </i>
    <i r="3">
      <x v="5"/>
    </i>
    <i r="4">
      <x v="152"/>
      <x v="8"/>
    </i>
    <i r="1">
      <x v="1296"/>
      <x/>
    </i>
    <i r="3">
      <x v="4"/>
    </i>
    <i r="4">
      <x v="117"/>
      <x v="10"/>
    </i>
    <i>
      <x v="62"/>
      <x v="79"/>
      <x/>
    </i>
    <i r="3">
      <x v="8"/>
    </i>
    <i r="4">
      <x v="244"/>
      <x v="11"/>
    </i>
    <i r="1">
      <x v="201"/>
      <x/>
    </i>
    <i r="3">
      <x v="3"/>
    </i>
    <i r="4">
      <x v="91"/>
      <x v="10"/>
    </i>
    <i r="1">
      <x v="280"/>
      <x/>
    </i>
    <i r="3">
      <x v="5"/>
    </i>
    <i r="4">
      <x v="152"/>
      <x v="8"/>
    </i>
    <i r="1">
      <x v="315"/>
      <x/>
    </i>
    <i r="3">
      <x v="1"/>
    </i>
    <i r="4">
      <x v="2"/>
      <x v="22"/>
    </i>
    <i r="1">
      <x v="320"/>
      <x/>
    </i>
    <i r="3">
      <x v="1"/>
    </i>
    <i r="4">
      <x v="4"/>
      <x v="10"/>
    </i>
    <i r="1">
      <x v="1129"/>
      <x/>
    </i>
    <i r="3">
      <x v="2"/>
    </i>
    <i r="4">
      <x v="40"/>
      <x v="10"/>
    </i>
    <i r="1">
      <x v="1189"/>
      <x/>
    </i>
    <i r="3">
      <x v="3"/>
    </i>
    <i r="4">
      <x v="75"/>
      <x v="10"/>
    </i>
    <i r="1">
      <x v="1227"/>
      <x/>
    </i>
    <i r="3">
      <x v="3"/>
    </i>
    <i r="4">
      <x v="78"/>
      <x v="10"/>
    </i>
    <i r="1">
      <x v="1261"/>
      <x/>
    </i>
    <i r="3">
      <x v="4"/>
    </i>
    <i r="4">
      <x v="121"/>
      <x v="22"/>
    </i>
    <i r="1">
      <x v="1262"/>
      <x/>
    </i>
    <i r="3">
      <x v="4"/>
    </i>
    <i r="4">
      <x v="99"/>
      <x v="10"/>
    </i>
    <i>
      <x v="63"/>
      <x v="205"/>
      <x/>
    </i>
    <i r="3">
      <x v="12"/>
    </i>
    <i r="4">
      <x v="366"/>
      <x v="12"/>
    </i>
    <i r="1">
      <x v="317"/>
      <x/>
    </i>
    <i r="3">
      <x v="1"/>
    </i>
    <i r="4">
      <x v="31"/>
      <x v="10"/>
    </i>
    <i>
      <x v="64"/>
      <x v="80"/>
      <x/>
    </i>
    <i r="3">
      <x v="5"/>
    </i>
    <i r="4">
      <x v="143"/>
      <x v="16"/>
    </i>
    <i r="1">
      <x v="273"/>
      <x/>
    </i>
    <i r="3">
      <x v="5"/>
    </i>
    <i r="4">
      <x v="152"/>
      <x v="15"/>
    </i>
    <i r="1">
      <x v="303"/>
      <x/>
    </i>
    <i r="3">
      <x v="2"/>
    </i>
    <i r="4">
      <x v="59"/>
      <x v="22"/>
    </i>
    <i r="1">
      <x v="304"/>
      <x/>
    </i>
    <i r="3">
      <x v="4"/>
    </i>
    <i r="4">
      <x v="121"/>
      <x v="10"/>
    </i>
    <i>
      <x v="65"/>
      <x v="273"/>
      <x/>
    </i>
    <i r="3">
      <x v="2"/>
    </i>
    <i r="4">
      <x v="59"/>
      <x v="8"/>
    </i>
    <i r="1">
      <x v="1194"/>
      <x/>
    </i>
    <i r="3">
      <x v="3"/>
    </i>
    <i r="4">
      <x v="64"/>
      <x v="10"/>
    </i>
    <i>
      <x v="66"/>
      <x v="224"/>
      <x/>
    </i>
    <i r="3">
      <x v="1"/>
    </i>
    <i r="4">
      <x v="16"/>
      <x v="10"/>
    </i>
    <i>
      <x v="67"/>
      <x v="1214"/>
      <x/>
    </i>
    <i r="3">
      <x v="3"/>
    </i>
    <i r="4">
      <x v="91"/>
      <x v="10"/>
    </i>
    <i r="1">
      <x v="1215"/>
      <x/>
    </i>
    <i r="3">
      <x v="3"/>
    </i>
    <i r="4">
      <x v="71"/>
      <x v="10"/>
    </i>
    <i r="1">
      <x v="1226"/>
      <x/>
    </i>
    <i r="3">
      <x v="3"/>
    </i>
    <i r="4">
      <x v="75"/>
      <x v="10"/>
    </i>
    <i>
      <x v="69"/>
      <x v="313"/>
      <x/>
    </i>
    <i r="3">
      <x v="4"/>
    </i>
    <i r="4">
      <x v="121"/>
      <x v="12"/>
    </i>
    <i>
      <x v="71"/>
      <x v="272"/>
      <x/>
    </i>
    <i r="3">
      <x v="5"/>
    </i>
    <i r="4">
      <x v="152"/>
      <x v="13"/>
    </i>
    <i r="1">
      <x v="283"/>
      <x/>
    </i>
    <i r="3">
      <x v="5"/>
    </i>
    <i r="4">
      <x v="152"/>
      <x v="13"/>
    </i>
    <i r="1">
      <x v="284"/>
      <x/>
    </i>
    <i r="3">
      <x v="5"/>
    </i>
    <i r="4">
      <x v="152"/>
      <x v="13"/>
    </i>
    <i r="1">
      <x v="1115"/>
      <x/>
    </i>
    <i r="3">
      <x v="1"/>
    </i>
    <i r="4">
      <x v="31"/>
      <x v="22"/>
    </i>
    <i r="1">
      <x v="1312"/>
      <x/>
    </i>
    <i r="3">
      <x v="5"/>
    </i>
    <i r="4">
      <x v="122"/>
      <x v="8"/>
    </i>
    <i>
      <x v="72"/>
      <x v="66"/>
      <x/>
    </i>
    <i r="3">
      <x v="5"/>
    </i>
    <i r="4">
      <x v="122"/>
      <x v="8"/>
    </i>
    <i r="1">
      <x v="80"/>
      <x/>
    </i>
    <i r="3">
      <x v="6"/>
    </i>
    <i r="4">
      <x v="182"/>
      <x v="8"/>
    </i>
    <i r="1">
      <x v="1302"/>
      <x/>
    </i>
    <i r="3">
      <x v="4"/>
    </i>
    <i r="4">
      <x v="121"/>
      <x v="10"/>
    </i>
    <i r="1">
      <x v="1310"/>
      <x/>
    </i>
    <i r="3">
      <x v="4"/>
    </i>
    <i r="4">
      <x v="121"/>
      <x v="10"/>
    </i>
    <i>
      <x v="73"/>
      <x v="80"/>
      <x/>
    </i>
    <i r="3">
      <x v="3"/>
    </i>
    <i r="4">
      <x v="91"/>
      <x v="10"/>
    </i>
    <i r="1">
      <x v="292"/>
      <x/>
    </i>
    <i r="3">
      <x v="6"/>
    </i>
    <i r="4">
      <x v="160"/>
      <x v="14"/>
    </i>
    <i r="1">
      <x v="527"/>
      <x/>
    </i>
    <i r="3">
      <x v="4"/>
    </i>
    <i r="4">
      <x v="121"/>
      <x v="10"/>
    </i>
    <i r="1">
      <x v="1190"/>
      <x/>
    </i>
    <i r="3">
      <x v="2"/>
    </i>
    <i r="4">
      <x v="59"/>
      <x v="13"/>
    </i>
    <i r="1">
      <x v="1220"/>
      <x/>
    </i>
    <i r="3">
      <x v="3"/>
    </i>
    <i r="4">
      <x v="91"/>
      <x v="10"/>
    </i>
    <i r="1">
      <x v="1257"/>
      <x/>
    </i>
    <i r="3">
      <x v="4"/>
    </i>
    <i r="4">
      <x v="103"/>
      <x v="10"/>
    </i>
    <i r="1">
      <x v="1279"/>
      <x/>
    </i>
    <i r="3">
      <x v="4"/>
    </i>
    <i r="4">
      <x v="110"/>
      <x v="10"/>
    </i>
    <i r="1">
      <x v="1287"/>
      <x/>
    </i>
    <i r="3">
      <x v="5"/>
    </i>
    <i r="4">
      <x v="152"/>
      <x v="13"/>
    </i>
    <i>
      <x v="74"/>
      <x v="294"/>
      <x/>
    </i>
    <i r="3">
      <x v="1"/>
    </i>
    <i r="4">
      <x v="1"/>
      <x v="10"/>
    </i>
    <i>
      <x v="76"/>
      <x v="80"/>
      <x/>
    </i>
    <i r="3">
      <x v="3"/>
    </i>
    <i r="4">
      <x v="91"/>
      <x v="22"/>
    </i>
    <i>
      <x v="287"/>
      <x v="1282"/>
      <x/>
    </i>
    <i r="3">
      <x v="5"/>
    </i>
    <i r="4">
      <x v="152"/>
      <x v="16"/>
    </i>
    <i>
      <x v="288"/>
      <x v="1149"/>
      <x/>
    </i>
    <i r="3">
      <x v="2"/>
    </i>
    <i r="4">
      <x v="59"/>
      <x v="8"/>
    </i>
    <i r="1">
      <x v="1318"/>
      <x/>
    </i>
    <i r="3">
      <x v="5"/>
    </i>
    <i r="4">
      <x v="152"/>
      <x v="16"/>
    </i>
    <i>
      <x v="289"/>
      <x v="1193"/>
      <x/>
    </i>
    <i r="3">
      <x v="3"/>
    </i>
    <i r="4">
      <x v="64"/>
      <x v="10"/>
    </i>
    <i r="1">
      <x v="1204"/>
      <x/>
    </i>
    <i r="3">
      <x v="3"/>
    </i>
    <i r="4">
      <x v="91"/>
      <x v="22"/>
    </i>
    <i>
      <x v="290"/>
      <x v="1200"/>
      <x/>
    </i>
    <i r="3">
      <x v="3"/>
    </i>
    <i r="4">
      <x v="91"/>
      <x v="13"/>
    </i>
    <i r="3">
      <x v="5"/>
    </i>
    <i r="4">
      <x v="148"/>
      <x v="13"/>
    </i>
    <i>
      <x v="291"/>
      <x v="900"/>
      <x/>
    </i>
    <i r="3">
      <x v="4"/>
    </i>
    <i r="4">
      <x v="118"/>
      <x v="8"/>
    </i>
    <i r="1">
      <x v="1230"/>
      <x/>
    </i>
    <i r="3">
      <x v="6"/>
    </i>
    <i r="4">
      <x v="182"/>
      <x v="8"/>
    </i>
    <i r="1">
      <x v="1231"/>
      <x/>
    </i>
    <i r="3">
      <x v="5"/>
    </i>
    <i r="4">
      <x v="152"/>
      <x v="8"/>
    </i>
    <i r="1">
      <x v="1237"/>
      <x/>
    </i>
    <i r="3">
      <x v="6"/>
    </i>
    <i r="4">
      <x v="182"/>
      <x v="8"/>
    </i>
    <i r="1">
      <x v="1250"/>
      <x/>
    </i>
    <i r="3">
      <x v="4"/>
    </i>
    <i r="4">
      <x v="92"/>
      <x v="10"/>
    </i>
    <i>
      <x v="292"/>
      <x v="1260"/>
      <x/>
    </i>
    <i r="3">
      <x v="5"/>
    </i>
    <i r="4">
      <x v="152"/>
      <x v="9"/>
    </i>
    <i>
      <x v="293"/>
      <x v="1324"/>
      <x/>
    </i>
    <i r="3">
      <x v="5"/>
    </i>
    <i r="4">
      <x v="152"/>
      <x v="8"/>
    </i>
    <i>
      <x v="294"/>
      <x v="1286"/>
      <x/>
    </i>
    <i r="3">
      <x v="4"/>
    </i>
    <i r="4">
      <x v="121"/>
      <x v="8"/>
    </i>
    <i>
      <x v="295"/>
      <x v="281"/>
      <x/>
    </i>
    <i r="3">
      <x v="12"/>
    </i>
    <i r="4">
      <x v="366"/>
      <x v="8"/>
    </i>
    <i>
      <x v="296"/>
      <x v="250"/>
      <x/>
    </i>
    <i r="3">
      <x v="4"/>
    </i>
    <i r="4">
      <x v="120"/>
      <x v="10"/>
    </i>
    <i r="1">
      <x v="1289"/>
      <x/>
    </i>
    <i r="3">
      <x v="4"/>
    </i>
    <i r="4">
      <x v="109"/>
      <x v="10"/>
    </i>
    <i r="1">
      <x v="1299"/>
      <x/>
    </i>
    <i r="3">
      <x v="4"/>
    </i>
    <i r="4">
      <x v="121"/>
      <x v="10"/>
    </i>
    <i>
      <x v="297"/>
      <x v="1291"/>
      <x/>
    </i>
    <i r="3">
      <x v="4"/>
    </i>
    <i r="4">
      <x v="113"/>
      <x v="10"/>
    </i>
    <i>
      <x v="298"/>
      <x v="1294"/>
      <x/>
    </i>
    <i r="3">
      <x v="4"/>
    </i>
    <i r="4">
      <x v="114"/>
      <x v="8"/>
    </i>
    <i r="1">
      <x v="1314"/>
      <x/>
    </i>
    <i r="3">
      <x v="5"/>
    </i>
    <i r="4">
      <x v="122"/>
      <x v="10"/>
    </i>
    <i r="1">
      <x v="1323"/>
      <x/>
    </i>
    <i r="3">
      <x v="5"/>
    </i>
    <i r="4">
      <x v="152"/>
      <x v="16"/>
    </i>
    <i t="grand">
      <x/>
    </i>
  </rowItems>
  <colItems count="1">
    <i/>
  </colItems>
  <dataFields count="1">
    <dataField name="Sum of Revenue" fld="9" baseField="0" baseItem="0" numFmtId="164"/>
  </dataFields>
  <formats count="3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4F4D-D136-40ED-8406-73A9A04FA96C}">
  <sheetPr>
    <tabColor rgb="FFFF0000"/>
  </sheetPr>
  <dimension ref="A1:V174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4" sqref="H34"/>
    </sheetView>
  </sheetViews>
  <sheetFormatPr defaultRowHeight="14.6" x14ac:dyDescent="0.4"/>
  <cols>
    <col min="1" max="1" width="36.53515625" customWidth="1"/>
    <col min="2" max="2" width="40.3828125" customWidth="1"/>
    <col min="3" max="3" width="11.15234375" customWidth="1"/>
    <col min="4" max="4" width="12.3828125" customWidth="1"/>
    <col min="5" max="5" width="12.53515625" customWidth="1"/>
    <col min="6" max="6" width="14.84375" customWidth="1"/>
    <col min="7" max="7" width="19.15234375" customWidth="1"/>
    <col min="8" max="8" width="15" bestFit="1" customWidth="1"/>
    <col min="9" max="9" width="12.53515625" bestFit="1" customWidth="1"/>
    <col min="10" max="10" width="12.53515625" customWidth="1"/>
    <col min="11" max="11" width="12.53515625" style="72" customWidth="1"/>
    <col min="12" max="13" width="12.53515625" customWidth="1"/>
    <col min="14" max="14" width="12.69140625" customWidth="1"/>
    <col min="15" max="15" width="15.53515625" customWidth="1"/>
    <col min="16" max="16" width="13.3046875" style="3" bestFit="1" customWidth="1"/>
    <col min="17" max="17" width="13.3828125" bestFit="1" customWidth="1"/>
    <col min="18" max="18" width="13.3046875" bestFit="1" customWidth="1"/>
    <col min="19" max="19" width="14.53515625" customWidth="1"/>
    <col min="20" max="20" width="12.84375" bestFit="1" customWidth="1"/>
    <col min="21" max="21" width="12.15234375" bestFit="1" customWidth="1"/>
    <col min="22" max="25" width="11" bestFit="1" customWidth="1"/>
  </cols>
  <sheetData>
    <row r="1" spans="1:22" s="644" customFormat="1" ht="23.6" thickBot="1" x14ac:dyDescent="0.65">
      <c r="A1" s="642"/>
      <c r="B1" s="643"/>
      <c r="E1" s="645"/>
      <c r="F1" s="646"/>
      <c r="G1" s="668">
        <v>2026</v>
      </c>
      <c r="H1" s="668"/>
      <c r="I1" s="668"/>
      <c r="K1" s="647"/>
      <c r="L1" s="648"/>
      <c r="P1" s="649"/>
    </row>
    <row r="2" spans="1:22" ht="15" thickBot="1" x14ac:dyDescent="0.45">
      <c r="A2" s="669" t="s">
        <v>0</v>
      </c>
      <c r="B2" s="669"/>
      <c r="C2" s="622" t="s">
        <v>1</v>
      </c>
      <c r="D2" s="622" t="s">
        <v>2</v>
      </c>
      <c r="E2" s="622" t="s">
        <v>3</v>
      </c>
      <c r="F2" s="632" t="s">
        <v>4</v>
      </c>
      <c r="G2" s="622" t="s">
        <v>5</v>
      </c>
      <c r="H2" s="622" t="s">
        <v>6</v>
      </c>
      <c r="I2" s="622" t="s">
        <v>7</v>
      </c>
      <c r="J2" s="622" t="s">
        <v>8</v>
      </c>
      <c r="K2" s="622" t="s">
        <v>9</v>
      </c>
      <c r="L2" s="622" t="s">
        <v>10</v>
      </c>
      <c r="M2" s="622" t="s">
        <v>11</v>
      </c>
      <c r="N2" s="622" t="s">
        <v>12</v>
      </c>
      <c r="O2" s="554" t="s">
        <v>13</v>
      </c>
    </row>
    <row r="3" spans="1:22" ht="15.75" customHeight="1" thickBot="1" x14ac:dyDescent="0.45">
      <c r="A3" s="555" t="s">
        <v>14</v>
      </c>
      <c r="B3" s="77" t="s">
        <v>15</v>
      </c>
      <c r="C3" s="79">
        <v>294517</v>
      </c>
      <c r="D3" s="269">
        <v>287630</v>
      </c>
      <c r="E3" s="556">
        <v>296845</v>
      </c>
      <c r="F3" s="269">
        <v>197915</v>
      </c>
      <c r="G3" s="269"/>
      <c r="H3" s="269"/>
      <c r="I3" s="269"/>
      <c r="J3" s="269"/>
      <c r="K3" s="269"/>
      <c r="L3" s="269"/>
      <c r="M3" s="269"/>
      <c r="N3" s="269"/>
      <c r="O3" s="78">
        <f>SUM(C3:N3)</f>
        <v>1076907</v>
      </c>
      <c r="Q3" s="255" t="s">
        <v>16</v>
      </c>
      <c r="S3" s="623"/>
      <c r="T3" s="623"/>
      <c r="U3" s="623"/>
      <c r="V3" s="623"/>
    </row>
    <row r="4" spans="1:22" ht="15" customHeight="1" x14ac:dyDescent="0.4">
      <c r="A4" s="557"/>
      <c r="B4" s="77" t="s">
        <v>17</v>
      </c>
      <c r="C4" s="69"/>
      <c r="D4" s="131"/>
      <c r="E4" s="131"/>
      <c r="F4" s="131"/>
      <c r="G4" s="131"/>
      <c r="H4" s="76"/>
      <c r="I4" s="131"/>
      <c r="J4" s="131"/>
      <c r="K4" s="131"/>
      <c r="L4" s="491"/>
      <c r="M4" s="414"/>
      <c r="N4" s="131"/>
      <c r="O4" s="78">
        <f>SUM(C4:N4)</f>
        <v>0</v>
      </c>
      <c r="Q4" s="256" t="s">
        <v>18</v>
      </c>
      <c r="S4" s="623"/>
      <c r="T4" s="623"/>
      <c r="U4" s="623"/>
      <c r="V4" s="623"/>
    </row>
    <row r="5" spans="1:22" ht="15" customHeight="1" x14ac:dyDescent="0.4">
      <c r="A5" s="557"/>
      <c r="B5" s="77" t="s">
        <v>19</v>
      </c>
      <c r="C5" s="69"/>
      <c r="D5" s="69"/>
      <c r="E5" s="69"/>
      <c r="F5" s="69"/>
      <c r="G5" s="69"/>
      <c r="H5" s="79"/>
      <c r="I5" s="69"/>
      <c r="J5" s="69"/>
      <c r="K5" s="69"/>
      <c r="L5" s="492"/>
      <c r="M5" s="306"/>
      <c r="N5" s="133"/>
      <c r="O5" s="534">
        <f>SUM(C5:N5)</f>
        <v>0</v>
      </c>
      <c r="Q5" s="255" t="s">
        <v>20</v>
      </c>
      <c r="S5" s="623"/>
      <c r="T5" s="623"/>
      <c r="U5" s="623"/>
      <c r="V5" s="623"/>
    </row>
    <row r="6" spans="1:22" ht="15" customHeight="1" x14ac:dyDescent="0.4">
      <c r="A6" s="557"/>
      <c r="B6" s="77" t="s">
        <v>21</v>
      </c>
      <c r="C6" s="69"/>
      <c r="D6" s="69"/>
      <c r="E6" s="69"/>
      <c r="F6" s="69"/>
      <c r="G6" s="69"/>
      <c r="H6" s="79"/>
      <c r="I6" s="69"/>
      <c r="J6" s="69"/>
      <c r="K6" s="69"/>
      <c r="L6" s="492"/>
      <c r="M6" s="306"/>
      <c r="N6" s="79"/>
      <c r="O6" s="306">
        <f>SUM(F6:N6)</f>
        <v>0</v>
      </c>
      <c r="P6" s="58"/>
      <c r="Q6" s="255" t="s">
        <v>22</v>
      </c>
      <c r="S6" s="623"/>
      <c r="T6" s="623"/>
      <c r="U6" s="623"/>
      <c r="V6" s="623"/>
    </row>
    <row r="7" spans="1:22" ht="15.75" customHeight="1" thickBot="1" x14ac:dyDescent="0.45">
      <c r="A7" s="558"/>
      <c r="B7" s="80" t="s">
        <v>23</v>
      </c>
      <c r="C7" s="69"/>
      <c r="D7" s="167"/>
      <c r="E7" s="167"/>
      <c r="F7" s="167"/>
      <c r="G7" s="167"/>
      <c r="H7" s="88"/>
      <c r="I7" s="88"/>
      <c r="J7" s="167"/>
      <c r="K7" s="167"/>
      <c r="L7" s="493"/>
      <c r="M7" s="415"/>
      <c r="N7" s="121"/>
      <c r="O7" s="559">
        <f>SUM(C7:N7)</f>
        <v>0</v>
      </c>
      <c r="Q7" s="255" t="s">
        <v>24</v>
      </c>
      <c r="S7" s="623"/>
      <c r="T7" s="623"/>
      <c r="U7" s="623"/>
      <c r="V7" s="623"/>
    </row>
    <row r="8" spans="1:22" ht="15.75" customHeight="1" thickBot="1" x14ac:dyDescent="0.45">
      <c r="A8" s="560"/>
      <c r="B8" s="367" t="s">
        <v>25</v>
      </c>
      <c r="C8" s="69"/>
      <c r="D8" s="89"/>
      <c r="E8" s="89"/>
      <c r="F8" s="89"/>
      <c r="G8" s="89"/>
      <c r="H8" s="82"/>
      <c r="I8" s="89"/>
      <c r="J8" s="89"/>
      <c r="K8" s="89"/>
      <c r="L8" s="494"/>
      <c r="M8" s="416"/>
      <c r="N8" s="75"/>
      <c r="O8" s="82">
        <f>SUM(C8:N8)</f>
        <v>0</v>
      </c>
      <c r="Q8" s="255"/>
      <c r="S8" s="623"/>
      <c r="T8" s="623"/>
      <c r="U8" s="623"/>
      <c r="V8" s="623"/>
    </row>
    <row r="9" spans="1:22" ht="14.5" customHeight="1" thickBot="1" x14ac:dyDescent="0.45">
      <c r="A9" s="561"/>
      <c r="B9" s="3"/>
      <c r="C9" s="158"/>
      <c r="D9" s="562"/>
      <c r="E9" s="563"/>
      <c r="F9" s="563"/>
      <c r="G9" s="562"/>
      <c r="H9" s="564"/>
      <c r="I9" s="564"/>
      <c r="J9" s="564"/>
      <c r="K9" s="158"/>
      <c r="L9" s="178"/>
      <c r="M9" s="178"/>
      <c r="N9" s="158"/>
      <c r="O9" s="58"/>
      <c r="Q9" s="151"/>
      <c r="S9" s="151"/>
      <c r="T9" s="255"/>
      <c r="U9" s="623"/>
    </row>
    <row r="10" spans="1:22" ht="14.5" customHeight="1" x14ac:dyDescent="0.4">
      <c r="A10" s="670" t="s">
        <v>26</v>
      </c>
      <c r="B10" s="565" t="s">
        <v>27</v>
      </c>
      <c r="C10" s="566">
        <v>106724</v>
      </c>
      <c r="D10" s="630">
        <v>147864</v>
      </c>
      <c r="E10" s="631">
        <v>126944</v>
      </c>
      <c r="F10" s="566">
        <v>49818</v>
      </c>
      <c r="G10" s="566"/>
      <c r="H10" s="566"/>
      <c r="I10" s="566"/>
      <c r="J10" s="566"/>
      <c r="K10" s="566"/>
      <c r="L10" s="566"/>
      <c r="M10" s="566"/>
      <c r="N10" s="566"/>
      <c r="O10" s="78">
        <f>SUM(C10:N10)</f>
        <v>431350</v>
      </c>
      <c r="P10" s="567"/>
      <c r="Q10" s="158"/>
      <c r="U10" s="255"/>
    </row>
    <row r="11" spans="1:22" s="73" customFormat="1" x14ac:dyDescent="0.4">
      <c r="A11" s="671"/>
      <c r="B11" s="502" t="s">
        <v>28</v>
      </c>
      <c r="C11" s="69">
        <v>1642</v>
      </c>
      <c r="D11" s="69">
        <v>2385</v>
      </c>
      <c r="E11" s="69">
        <v>5357</v>
      </c>
      <c r="F11" s="79">
        <v>460</v>
      </c>
      <c r="G11" s="69"/>
      <c r="H11" s="69"/>
      <c r="I11" s="79"/>
      <c r="J11" s="69"/>
      <c r="K11" s="69"/>
      <c r="L11" s="534"/>
      <c r="M11" s="534"/>
      <c r="N11" s="5"/>
      <c r="O11" s="568">
        <f>SUM(C11:N11)</f>
        <v>9844</v>
      </c>
      <c r="P11" s="567"/>
      <c r="Q11" s="569"/>
      <c r="S11" s="257"/>
      <c r="T11" s="298"/>
      <c r="U11" s="569"/>
    </row>
    <row r="12" spans="1:22" s="73" customFormat="1" ht="15" thickBot="1" x14ac:dyDescent="0.45">
      <c r="A12" s="671"/>
      <c r="B12" s="503" t="s">
        <v>29</v>
      </c>
      <c r="C12" s="535">
        <v>-630</v>
      </c>
      <c r="D12" s="535">
        <v>-17761</v>
      </c>
      <c r="E12" s="535">
        <v>-12220</v>
      </c>
      <c r="F12" s="535">
        <v>-618</v>
      </c>
      <c r="G12" s="535"/>
      <c r="H12" s="535"/>
      <c r="I12" s="535"/>
      <c r="J12" s="535"/>
      <c r="K12" s="69"/>
      <c r="L12" s="182"/>
      <c r="M12" s="182"/>
      <c r="N12" s="535"/>
      <c r="O12" s="570">
        <f>SUM(C12:N12)</f>
        <v>-31229</v>
      </c>
      <c r="P12" s="96"/>
      <c r="S12" s="621"/>
      <c r="U12" s="621"/>
    </row>
    <row r="13" spans="1:22" s="73" customFormat="1" ht="14.5" customHeight="1" thickBot="1" x14ac:dyDescent="0.45">
      <c r="A13" s="571"/>
      <c r="B13" s="572"/>
      <c r="C13" s="158"/>
      <c r="D13" s="158"/>
      <c r="E13" s="178">
        <v>5212</v>
      </c>
      <c r="F13" s="178"/>
      <c r="G13" s="158"/>
      <c r="H13" s="158"/>
      <c r="I13" s="178"/>
      <c r="J13" s="158"/>
      <c r="K13" s="158"/>
      <c r="L13" s="361"/>
      <c r="M13" s="361"/>
      <c r="N13" s="361"/>
      <c r="O13" s="361"/>
      <c r="P13" s="496"/>
      <c r="Q13" s="421"/>
      <c r="R13" s="573"/>
      <c r="S13" s="621"/>
      <c r="U13" s="621"/>
    </row>
    <row r="14" spans="1:22" ht="14.5" customHeight="1" x14ac:dyDescent="0.4">
      <c r="A14" s="670" t="s">
        <v>30</v>
      </c>
      <c r="B14" s="574" t="s">
        <v>31</v>
      </c>
      <c r="C14" s="269"/>
      <c r="D14" s="269"/>
      <c r="E14" s="556"/>
      <c r="F14" s="269">
        <f>5400+10250+1800</f>
        <v>17450</v>
      </c>
      <c r="G14" s="269">
        <f>1800+1800+1800</f>
        <v>5400</v>
      </c>
      <c r="H14" s="269">
        <f>1125</f>
        <v>1125</v>
      </c>
      <c r="I14" s="269"/>
      <c r="J14" s="269"/>
      <c r="K14" s="269"/>
      <c r="L14" s="269"/>
      <c r="M14" s="269"/>
      <c r="N14" s="269"/>
      <c r="O14" s="269">
        <f>SUM(C14:N14)</f>
        <v>23975</v>
      </c>
      <c r="P14" s="533"/>
      <c r="Q14" s="155"/>
      <c r="R14" s="573"/>
      <c r="S14" s="624"/>
      <c r="T14" s="132">
        <f>R20-R21-R22</f>
        <v>66787</v>
      </c>
    </row>
    <row r="15" spans="1:22" ht="14.5" customHeight="1" thickBot="1" x14ac:dyDescent="0.45">
      <c r="A15" s="671"/>
      <c r="B15" s="81" t="s">
        <v>32</v>
      </c>
      <c r="C15" s="69"/>
      <c r="D15" s="69"/>
      <c r="E15" s="76"/>
      <c r="F15" s="76"/>
      <c r="G15" s="131"/>
      <c r="H15" s="131"/>
      <c r="I15" s="76"/>
      <c r="J15" s="131"/>
      <c r="K15" s="131"/>
      <c r="L15" s="76"/>
      <c r="M15" s="76"/>
      <c r="N15" s="76"/>
      <c r="O15" s="575">
        <f>SUM(C15:N15)</f>
        <v>0</v>
      </c>
      <c r="P15" s="567"/>
      <c r="R15" s="151"/>
      <c r="S15" s="621"/>
    </row>
    <row r="16" spans="1:22" ht="15" customHeight="1" x14ac:dyDescent="0.4">
      <c r="A16" s="671"/>
      <c r="B16" s="576" t="s">
        <v>33</v>
      </c>
      <c r="C16" s="131"/>
      <c r="D16" s="131"/>
      <c r="E16" s="131"/>
      <c r="F16" s="131"/>
      <c r="G16" s="131"/>
      <c r="H16" s="131"/>
      <c r="I16" s="131"/>
      <c r="J16" s="131"/>
      <c r="K16" s="131"/>
      <c r="L16" s="76"/>
      <c r="M16" s="76"/>
      <c r="N16" s="131"/>
      <c r="O16" s="76"/>
      <c r="Q16" s="151"/>
    </row>
    <row r="17" spans="1:21" ht="15" thickBot="1" x14ac:dyDescent="0.45">
      <c r="A17" s="671"/>
      <c r="B17" s="577" t="s">
        <v>34</v>
      </c>
      <c r="C17" s="75"/>
      <c r="D17" s="75"/>
      <c r="E17" s="75"/>
      <c r="F17" s="89"/>
      <c r="G17" s="89"/>
      <c r="H17" s="89"/>
      <c r="I17" s="89"/>
      <c r="J17" s="89"/>
      <c r="K17" s="89"/>
      <c r="L17" s="82"/>
      <c r="M17" s="82"/>
      <c r="N17" s="89"/>
      <c r="O17" s="416"/>
    </row>
    <row r="18" spans="1:21" ht="32.25" customHeight="1" thickBot="1" x14ac:dyDescent="0.45">
      <c r="A18" s="578"/>
      <c r="B18" s="16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2"/>
      <c r="N18" s="291"/>
      <c r="O18" s="291"/>
    </row>
    <row r="19" spans="1:21" s="72" customFormat="1" ht="26.25" customHeight="1" x14ac:dyDescent="0.4">
      <c r="A19" s="672" t="s">
        <v>35</v>
      </c>
      <c r="B19" s="580" t="s">
        <v>36</v>
      </c>
      <c r="C19" s="581">
        <f>C3+C10+C11+C12</f>
        <v>402253</v>
      </c>
      <c r="D19" s="581">
        <f t="shared" ref="D19:M19" si="0">D3+D10+D11+D12</f>
        <v>420118</v>
      </c>
      <c r="E19" s="581">
        <f t="shared" si="0"/>
        <v>416926</v>
      </c>
      <c r="F19" s="581">
        <f t="shared" si="0"/>
        <v>247575</v>
      </c>
      <c r="G19" s="581">
        <f t="shared" si="0"/>
        <v>0</v>
      </c>
      <c r="H19" s="581">
        <f t="shared" si="0"/>
        <v>0</v>
      </c>
      <c r="I19" s="581">
        <f t="shared" si="0"/>
        <v>0</v>
      </c>
      <c r="J19" s="581">
        <f t="shared" si="0"/>
        <v>0</v>
      </c>
      <c r="K19" s="581">
        <f t="shared" si="0"/>
        <v>0</v>
      </c>
      <c r="L19" s="581">
        <f t="shared" si="0"/>
        <v>0</v>
      </c>
      <c r="M19" s="581">
        <f t="shared" si="0"/>
        <v>0</v>
      </c>
      <c r="N19" s="581">
        <f>N3+N6+N10+N11+N12</f>
        <v>0</v>
      </c>
      <c r="O19" s="582">
        <f>SUM(C19:N19)</f>
        <v>1486872</v>
      </c>
      <c r="P19" s="3"/>
      <c r="R19" s="291" t="s">
        <v>37</v>
      </c>
      <c r="S19" s="72" t="s">
        <v>38</v>
      </c>
    </row>
    <row r="20" spans="1:21" s="72" customFormat="1" x14ac:dyDescent="0.4">
      <c r="A20" s="673"/>
      <c r="B20" s="583" t="s">
        <v>39</v>
      </c>
      <c r="C20" s="69">
        <f>C3+C5+C6+C10+C11+C16+C12</f>
        <v>402253</v>
      </c>
      <c r="D20" s="69">
        <f>D3+D5+D6+D10+D11+D16+D12</f>
        <v>420118</v>
      </c>
      <c r="E20" s="69">
        <f>E3+E5+E6+E10+E11+E16+E12+E14</f>
        <v>416926</v>
      </c>
      <c r="F20" s="69">
        <f>F19+F16</f>
        <v>247575</v>
      </c>
      <c r="G20" s="69">
        <f>G3+G5+G6+G10+G11+G16+G12+G14</f>
        <v>5400</v>
      </c>
      <c r="H20" s="69">
        <f>H3+H5+H6+H10+H11+H16+H12+H14</f>
        <v>1125</v>
      </c>
      <c r="I20" s="69">
        <f>I3+I5+I6+I10+I11+I16+I12+I14</f>
        <v>0</v>
      </c>
      <c r="J20" s="69">
        <f>J3+J5+J6+J10+J11+J16+J12+J14</f>
        <v>0</v>
      </c>
      <c r="K20" s="69">
        <f>K3+K5+K6+K7+K8+K10+K11+K12+K14+K16</f>
        <v>0</v>
      </c>
      <c r="L20" s="69">
        <f>L3+L5+L6+L7+L8+L10+L11+L12+L14+L16</f>
        <v>0</v>
      </c>
      <c r="M20" s="69">
        <f>M3+M5+M6+M7+M8+M10+M11+M12+M14+M16</f>
        <v>0</v>
      </c>
      <c r="N20" s="69">
        <f>N3+N5+N6+N7+N8+N10+N11+N12+N14+N16</f>
        <v>0</v>
      </c>
      <c r="O20" s="79"/>
      <c r="P20" s="71"/>
      <c r="R20" s="584">
        <v>310492</v>
      </c>
      <c r="S20" s="71" t="s">
        <v>40</v>
      </c>
    </row>
    <row r="21" spans="1:21" ht="15" thickBot="1" x14ac:dyDescent="0.45">
      <c r="A21" s="674"/>
      <c r="B21" s="585" t="s">
        <v>41</v>
      </c>
      <c r="C21" s="167">
        <f>C3+C5+C6+C10+C11+C12+C17</f>
        <v>402253</v>
      </c>
      <c r="D21" s="167">
        <f>D3+D5+D6+D10+D11+D12+D17</f>
        <v>420118</v>
      </c>
      <c r="E21" s="167">
        <f>E3+E5+E6+E10+E11+E12+E17+E14</f>
        <v>416926</v>
      </c>
      <c r="F21" s="167">
        <f>F19+F17</f>
        <v>247575</v>
      </c>
      <c r="G21" s="167">
        <f>G3+G5+G6+G10+G11+G12+G17+G14</f>
        <v>5400</v>
      </c>
      <c r="H21" s="167">
        <f>H3+H5+H6+H10+H11+H12+H17+H14</f>
        <v>1125</v>
      </c>
      <c r="I21" s="167">
        <f>I3+I5+I6+I10+I11+I12+I17+I14</f>
        <v>0</v>
      </c>
      <c r="J21" s="167">
        <f>J3+J5+J6+J10+J11+J12+J17+J14</f>
        <v>0</v>
      </c>
      <c r="K21" s="167">
        <f>K3+K5+K6+K7+K8+K10+K11+K12+K14+K17</f>
        <v>0</v>
      </c>
      <c r="L21" s="167">
        <f>L3+L5+L6+L7+L8+L10+L11+L12+L14+L17</f>
        <v>0</v>
      </c>
      <c r="M21" s="167">
        <f>M3+M5+M6+M7+M8+M10+M11+M12+M14+M17</f>
        <v>0</v>
      </c>
      <c r="N21" s="167">
        <f>N3+N5+N6+N7+N8+N10+N11+N12+N14+N17</f>
        <v>0</v>
      </c>
      <c r="O21" s="88"/>
      <c r="P21" s="71"/>
      <c r="R21" s="205">
        <f>84424+9675</f>
        <v>94099</v>
      </c>
      <c r="S21" t="s">
        <v>42</v>
      </c>
    </row>
    <row r="22" spans="1:21" ht="15" thickBot="1" x14ac:dyDescent="0.45">
      <c r="A22" s="91" t="s">
        <v>43</v>
      </c>
      <c r="B22" s="93" t="s">
        <v>44</v>
      </c>
      <c r="C22" s="356">
        <f t="shared" ref="C22:N22" si="1">C19-C26</f>
        <v>2253</v>
      </c>
      <c r="D22" s="356">
        <f t="shared" si="1"/>
        <v>20118</v>
      </c>
      <c r="E22" s="356">
        <f t="shared" si="1"/>
        <v>16926</v>
      </c>
      <c r="F22" s="356">
        <f t="shared" si="1"/>
        <v>-152425</v>
      </c>
      <c r="G22" s="356">
        <f t="shared" si="1"/>
        <v>-400000</v>
      </c>
      <c r="H22" s="356">
        <f t="shared" si="1"/>
        <v>-400000</v>
      </c>
      <c r="I22" s="356">
        <f t="shared" si="1"/>
        <v>-400000</v>
      </c>
      <c r="J22" s="356">
        <f t="shared" si="1"/>
        <v>-400000</v>
      </c>
      <c r="K22" s="356">
        <f t="shared" si="1"/>
        <v>-400000</v>
      </c>
      <c r="L22" s="356">
        <f t="shared" si="1"/>
        <v>-400000</v>
      </c>
      <c r="M22" s="356">
        <f t="shared" si="1"/>
        <v>-400000</v>
      </c>
      <c r="N22" s="356">
        <f t="shared" si="1"/>
        <v>-400001</v>
      </c>
      <c r="O22" s="268">
        <f>SUM(C22:N22)</f>
        <v>-3313129</v>
      </c>
      <c r="Q22" s="2"/>
      <c r="R22" s="205">
        <v>149606</v>
      </c>
      <c r="S22" t="s">
        <v>45</v>
      </c>
    </row>
    <row r="23" spans="1:21" s="3" customFormat="1" ht="15" thickBot="1" x14ac:dyDescent="0.45">
      <c r="A23"/>
      <c r="B23" s="120"/>
      <c r="C23" s="586"/>
      <c r="D23" s="586"/>
      <c r="E23" s="586"/>
      <c r="F23" s="586"/>
      <c r="G23" s="586"/>
      <c r="H23" s="586"/>
      <c r="I23" s="586"/>
      <c r="J23" s="586"/>
      <c r="K23" s="562"/>
      <c r="L23" s="586"/>
      <c r="M23" s="586"/>
      <c r="N23" s="586"/>
      <c r="O23" s="587"/>
      <c r="R23" s="588">
        <f>R20-R21-R22</f>
        <v>66787</v>
      </c>
      <c r="S23" s="3" t="s">
        <v>46</v>
      </c>
    </row>
    <row r="24" spans="1:21" s="3" customFormat="1" x14ac:dyDescent="0.4">
      <c r="A24" s="579" t="s">
        <v>47</v>
      </c>
      <c r="B24" s="94" t="s">
        <v>48</v>
      </c>
      <c r="C24" s="372">
        <f>C19</f>
        <v>402253</v>
      </c>
      <c r="D24" s="372">
        <f t="shared" ref="D24:N24" si="2">C24+D19</f>
        <v>822371</v>
      </c>
      <c r="E24" s="372">
        <f t="shared" si="2"/>
        <v>1239297</v>
      </c>
      <c r="F24" s="372">
        <f t="shared" si="2"/>
        <v>1486872</v>
      </c>
      <c r="G24" s="372">
        <f t="shared" si="2"/>
        <v>1486872</v>
      </c>
      <c r="H24" s="372">
        <f t="shared" si="2"/>
        <v>1486872</v>
      </c>
      <c r="I24" s="372">
        <f t="shared" si="2"/>
        <v>1486872</v>
      </c>
      <c r="J24" s="372">
        <f t="shared" si="2"/>
        <v>1486872</v>
      </c>
      <c r="K24" s="377">
        <f>J24+K19</f>
        <v>1486872</v>
      </c>
      <c r="L24" s="372">
        <f t="shared" si="2"/>
        <v>1486872</v>
      </c>
      <c r="M24" s="372">
        <f t="shared" si="2"/>
        <v>1486872</v>
      </c>
      <c r="N24" s="372">
        <f t="shared" si="2"/>
        <v>1486872</v>
      </c>
      <c r="O24" s="78">
        <f>N24</f>
        <v>1486872</v>
      </c>
      <c r="Q24" s="58"/>
    </row>
    <row r="25" spans="1:21" s="3" customFormat="1" x14ac:dyDescent="0.4">
      <c r="A25" s="589"/>
      <c r="B25" s="95" t="s">
        <v>49</v>
      </c>
      <c r="C25" s="373">
        <f>C19</f>
        <v>402253</v>
      </c>
      <c r="D25" s="373">
        <f>C25+D19</f>
        <v>822371</v>
      </c>
      <c r="E25" s="373">
        <f>D25+E19</f>
        <v>1239297</v>
      </c>
      <c r="F25" s="373">
        <f t="shared" ref="F25:N25" si="3">E25+F19</f>
        <v>1486872</v>
      </c>
      <c r="G25" s="373">
        <f t="shared" si="3"/>
        <v>1486872</v>
      </c>
      <c r="H25" s="373">
        <f t="shared" si="3"/>
        <v>1486872</v>
      </c>
      <c r="I25" s="373">
        <f t="shared" si="3"/>
        <v>1486872</v>
      </c>
      <c r="J25" s="373">
        <f t="shared" si="3"/>
        <v>1486872</v>
      </c>
      <c r="K25" s="373">
        <f t="shared" si="3"/>
        <v>1486872</v>
      </c>
      <c r="L25" s="373">
        <f t="shared" si="3"/>
        <v>1486872</v>
      </c>
      <c r="M25" s="373">
        <f t="shared" si="3"/>
        <v>1486872</v>
      </c>
      <c r="N25" s="373">
        <f t="shared" si="3"/>
        <v>1486872</v>
      </c>
      <c r="O25" s="98"/>
      <c r="Q25" s="58"/>
    </row>
    <row r="26" spans="1:21" s="3" customFormat="1" ht="15" thickBot="1" x14ac:dyDescent="0.45">
      <c r="A26" s="590" t="s">
        <v>50</v>
      </c>
      <c r="B26" s="577" t="s">
        <v>51</v>
      </c>
      <c r="C26" s="89">
        <v>400000</v>
      </c>
      <c r="D26" s="89">
        <v>400000</v>
      </c>
      <c r="E26" s="89">
        <v>400000</v>
      </c>
      <c r="F26" s="89">
        <v>400000</v>
      </c>
      <c r="G26" s="89">
        <v>400000</v>
      </c>
      <c r="H26" s="89">
        <v>400000</v>
      </c>
      <c r="I26" s="89">
        <v>400000</v>
      </c>
      <c r="J26" s="89">
        <v>400000</v>
      </c>
      <c r="K26" s="89">
        <v>400000</v>
      </c>
      <c r="L26" s="89">
        <v>400000</v>
      </c>
      <c r="M26" s="89">
        <v>400000</v>
      </c>
      <c r="N26" s="89">
        <v>400001</v>
      </c>
      <c r="O26" s="82">
        <f>SUM(C26:N26)</f>
        <v>4800001</v>
      </c>
      <c r="Q26" s="3" t="s">
        <v>52</v>
      </c>
      <c r="R26" s="3" t="s">
        <v>53</v>
      </c>
    </row>
    <row r="27" spans="1:21" s="3" customFormat="1" x14ac:dyDescent="0.4">
      <c r="A27" s="591"/>
      <c r="B27" s="95" t="s">
        <v>54</v>
      </c>
      <c r="C27" s="373">
        <f>C26</f>
        <v>400000</v>
      </c>
      <c r="D27" s="373">
        <f>C27+D26</f>
        <v>800000</v>
      </c>
      <c r="E27" s="373">
        <f t="shared" ref="E27:N27" si="4">D27+E26</f>
        <v>1200000</v>
      </c>
      <c r="F27" s="373">
        <f t="shared" si="4"/>
        <v>1600000</v>
      </c>
      <c r="G27" s="373">
        <f t="shared" si="4"/>
        <v>2000000</v>
      </c>
      <c r="H27" s="373">
        <f>G27+H26</f>
        <v>2400000</v>
      </c>
      <c r="I27" s="373">
        <f>H27+I26</f>
        <v>2800000</v>
      </c>
      <c r="J27" s="373">
        <f t="shared" si="4"/>
        <v>3200000</v>
      </c>
      <c r="K27" s="378">
        <f>J27+K26</f>
        <v>3600000</v>
      </c>
      <c r="L27" s="373">
        <f t="shared" si="4"/>
        <v>4000000</v>
      </c>
      <c r="M27" s="373">
        <f t="shared" si="4"/>
        <v>4400000</v>
      </c>
      <c r="N27" s="373">
        <f t="shared" si="4"/>
        <v>4800001</v>
      </c>
      <c r="O27" s="98">
        <f>N27</f>
        <v>4800001</v>
      </c>
      <c r="Q27" s="205">
        <v>55014</v>
      </c>
      <c r="R27" s="205">
        <v>84424</v>
      </c>
      <c r="S27" t="s">
        <v>55</v>
      </c>
      <c r="T27" s="132">
        <f>R27-Q27</f>
        <v>29410</v>
      </c>
      <c r="U27" s="625">
        <f>T27/R27</f>
        <v>0.34836065573770492</v>
      </c>
    </row>
    <row r="28" spans="1:21" ht="15" hidden="1" customHeight="1" x14ac:dyDescent="0.4">
      <c r="A28" s="591" t="s">
        <v>56</v>
      </c>
      <c r="B28" s="93"/>
      <c r="C28" s="356">
        <f t="shared" ref="C28:N28" si="5">C24-C27</f>
        <v>2253</v>
      </c>
      <c r="D28" s="356">
        <f t="shared" si="5"/>
        <v>22371</v>
      </c>
      <c r="E28" s="356">
        <f t="shared" si="5"/>
        <v>39297</v>
      </c>
      <c r="F28" s="356">
        <f t="shared" si="5"/>
        <v>-113128</v>
      </c>
      <c r="G28" s="380">
        <f>G24-G27</f>
        <v>-513128</v>
      </c>
      <c r="H28" s="97">
        <f t="shared" si="5"/>
        <v>-913128</v>
      </c>
      <c r="I28" s="97">
        <f t="shared" si="5"/>
        <v>-1313128</v>
      </c>
      <c r="J28" s="380">
        <f t="shared" si="5"/>
        <v>-1713128</v>
      </c>
      <c r="K28" s="397">
        <f t="shared" si="5"/>
        <v>-2113128</v>
      </c>
      <c r="L28" s="97">
        <f t="shared" si="5"/>
        <v>-2513128</v>
      </c>
      <c r="M28" s="97">
        <f t="shared" si="5"/>
        <v>-2913128</v>
      </c>
      <c r="N28" s="97">
        <f t="shared" si="5"/>
        <v>-3313129</v>
      </c>
      <c r="O28" s="84">
        <f>N28</f>
        <v>-3313129</v>
      </c>
      <c r="Q28" s="205"/>
      <c r="R28" s="205"/>
      <c r="T28" s="132">
        <f t="shared" ref="T28:T32" si="6">R28-Q28</f>
        <v>0</v>
      </c>
      <c r="U28" s="201"/>
    </row>
    <row r="29" spans="1:21" hidden="1" x14ac:dyDescent="0.4">
      <c r="A29" s="591" t="s">
        <v>56</v>
      </c>
      <c r="B29" s="592"/>
      <c r="C29" s="593" t="s">
        <v>1</v>
      </c>
      <c r="D29" s="593" t="s">
        <v>2</v>
      </c>
      <c r="E29" s="593" t="s">
        <v>3</v>
      </c>
      <c r="F29" s="593" t="s">
        <v>4</v>
      </c>
      <c r="G29" s="593" t="s">
        <v>5</v>
      </c>
      <c r="H29" s="594" t="s">
        <v>6</v>
      </c>
      <c r="I29" s="594" t="s">
        <v>7</v>
      </c>
      <c r="J29" s="593" t="s">
        <v>8</v>
      </c>
      <c r="K29" s="595" t="s">
        <v>9</v>
      </c>
      <c r="L29" s="594" t="s">
        <v>10</v>
      </c>
      <c r="M29" s="594" t="s">
        <v>11</v>
      </c>
      <c r="N29" s="594" t="s">
        <v>12</v>
      </c>
      <c r="O29" s="596">
        <v>2019</v>
      </c>
      <c r="Q29" s="205"/>
      <c r="R29" s="205"/>
      <c r="T29" s="132">
        <f t="shared" si="6"/>
        <v>0</v>
      </c>
      <c r="U29" s="201"/>
    </row>
    <row r="30" spans="1:21" hidden="1" x14ac:dyDescent="0.4">
      <c r="A30" s="591" t="s">
        <v>56</v>
      </c>
      <c r="B30" s="4"/>
      <c r="C30" s="5" t="e">
        <f>SUMIFS(#REF!,#REF!,1,#REF!,2019,#REF!,"open")</f>
        <v>#REF!</v>
      </c>
      <c r="D30" s="5" t="e">
        <f>SUMIFS(#REF!,#REF!,2,#REF!,2019,#REF!,"open")</f>
        <v>#REF!</v>
      </c>
      <c r="E30" s="5" t="e">
        <f>SUMIFS(#REF!,#REF!,3,#REF!,2019,#REF!,"open")</f>
        <v>#REF!</v>
      </c>
      <c r="F30" s="5" t="e">
        <f>SUMIFS(#REF!,#REF!,4,#REF!,2019,#REF!,"open")</f>
        <v>#REF!</v>
      </c>
      <c r="G30" s="5" t="e">
        <f>SUMIFS(#REF!,#REF!,5,#REF!,2019,#REF!,"open")</f>
        <v>#REF!</v>
      </c>
      <c r="H30" s="5" t="e">
        <f>SUMIFS(#REF!,#REF!,6,#REF!,2019,#REF!,"open")</f>
        <v>#REF!</v>
      </c>
      <c r="I30" s="5" t="e">
        <f>SUMIFS(#REF!,#REF!,7,#REF!,2019,#REF!,"open")</f>
        <v>#REF!</v>
      </c>
      <c r="J30" s="5" t="e">
        <f>SUMIFS(#REF!,#REF!,8,#REF!,2019,#REF!,"open")</f>
        <v>#REF!</v>
      </c>
      <c r="K30" s="69" t="e">
        <f>SUMIFS(#REF!,#REF!,9,#REF!,2019,#REF!,"open")</f>
        <v>#REF!</v>
      </c>
      <c r="L30" s="5" t="e">
        <f>SUMIFS(#REF!,#REF!,10,#REF!,2019,#REF!,"open")</f>
        <v>#REF!</v>
      </c>
      <c r="M30" s="5" t="e">
        <f>SUMIFS(#REF!,#REF!,11,#REF!,2019,#REF!,"open")</f>
        <v>#REF!</v>
      </c>
      <c r="N30" s="5" t="e">
        <f>SUMIFS(#REF!,#REF!,12,#REF!,2019,#REF!,"open")</f>
        <v>#REF!</v>
      </c>
      <c r="O30" s="40" t="e">
        <f>SUM(C30:N30)</f>
        <v>#REF!</v>
      </c>
      <c r="Q30" s="205"/>
      <c r="R30" s="205"/>
      <c r="T30" s="132">
        <f t="shared" si="6"/>
        <v>0</v>
      </c>
      <c r="U30" s="201"/>
    </row>
    <row r="31" spans="1:21" hidden="1" x14ac:dyDescent="0.4">
      <c r="A31" s="591" t="s">
        <v>56</v>
      </c>
      <c r="B31" s="4"/>
      <c r="C31" s="5" t="e">
        <f>SUMIFS(#REF!,#REF!,1,#REF!,2019,#REF!,"*",#REF!,"open")</f>
        <v>#REF!</v>
      </c>
      <c r="D31" s="5" t="e">
        <f>SUMIFS(#REF!,#REF!,2,#REF!,2019,#REF!,"*",#REF!,"open")</f>
        <v>#REF!</v>
      </c>
      <c r="E31" s="5" t="e">
        <f>SUMIFS(#REF!,#REF!,3,#REF!,2019,#REF!,"*",#REF!,"open")</f>
        <v>#REF!</v>
      </c>
      <c r="F31" s="5" t="e">
        <f>SUMIFS(#REF!,#REF!,4,#REF!,2019,#REF!,"*",#REF!,"open")</f>
        <v>#REF!</v>
      </c>
      <c r="G31" s="5" t="e">
        <f>SUMIFS(#REF!,#REF!,5,#REF!,2019,#REF!,"*",#REF!,"open")</f>
        <v>#REF!</v>
      </c>
      <c r="H31" s="5" t="e">
        <f>SUMIFS(#REF!,#REF!,6,#REF!,2019,#REF!,"*",#REF!,"open")</f>
        <v>#REF!</v>
      </c>
      <c r="I31" s="5" t="e">
        <f>SUMIFS(#REF!,#REF!,7,#REF!,2019,#REF!,"*",#REF!,"open")</f>
        <v>#REF!</v>
      </c>
      <c r="J31" s="5" t="e">
        <f>SUMIFS(#REF!,#REF!,8,#REF!,2019,#REF!,"*",#REF!,"open")</f>
        <v>#REF!</v>
      </c>
      <c r="K31" s="69" t="e">
        <f>SUMIFS(#REF!,#REF!,9,#REF!,2019,#REF!,"*",#REF!,"open")</f>
        <v>#REF!</v>
      </c>
      <c r="L31" s="5" t="e">
        <f>SUMIFS(#REF!,#REF!,10,#REF!,2019,#REF!,"*",#REF!,"open")</f>
        <v>#REF!</v>
      </c>
      <c r="M31" s="5" t="e">
        <f>SUMIFS(#REF!,#REF!,11,#REF!,2019,#REF!,"*",#REF!,"open")</f>
        <v>#REF!</v>
      </c>
      <c r="N31" s="5" t="e">
        <f>SUMIFS(#REF!,#REF!,12,#REF!,2019,#REF!,"*",#REF!,"open")</f>
        <v>#REF!</v>
      </c>
      <c r="O31" s="5" t="e">
        <f>SUM(C31:N31)</f>
        <v>#REF!</v>
      </c>
      <c r="Q31" s="205"/>
      <c r="R31" s="205"/>
      <c r="T31" s="132">
        <f t="shared" si="6"/>
        <v>0</v>
      </c>
      <c r="U31" s="201"/>
    </row>
    <row r="32" spans="1:21" x14ac:dyDescent="0.4">
      <c r="A32" s="597"/>
      <c r="B32" s="311" t="s">
        <v>57</v>
      </c>
      <c r="C32" s="69">
        <f>C19-C26</f>
        <v>2253</v>
      </c>
      <c r="D32" s="69">
        <f>D19-D26+C32</f>
        <v>22371</v>
      </c>
      <c r="E32" s="69">
        <f>E19-E26+D32</f>
        <v>39297</v>
      </c>
      <c r="F32" s="69">
        <f>F19-F26+E32</f>
        <v>-113128</v>
      </c>
      <c r="G32" s="69">
        <f>G19-G26+F32</f>
        <v>-513128</v>
      </c>
      <c r="H32" s="79"/>
      <c r="I32" s="79"/>
      <c r="J32" s="69"/>
      <c r="K32" s="69"/>
      <c r="L32" s="182"/>
      <c r="M32" s="182"/>
      <c r="N32" s="182"/>
      <c r="O32" s="182"/>
      <c r="Q32" s="205">
        <v>6228</v>
      </c>
      <c r="R32" s="205">
        <v>9675</v>
      </c>
      <c r="S32" t="s">
        <v>58</v>
      </c>
      <c r="T32" s="132">
        <f t="shared" si="6"/>
        <v>3447</v>
      </c>
      <c r="U32" s="201">
        <f>28/95</f>
        <v>0.29473684210526313</v>
      </c>
    </row>
    <row r="33" spans="1:20" s="3" customFormat="1" x14ac:dyDescent="0.4">
      <c r="A33" s="72"/>
      <c r="B33"/>
      <c r="C33" s="2"/>
      <c r="D33" s="2"/>
      <c r="E33" s="2"/>
      <c r="F33" s="2"/>
      <c r="G33" s="2"/>
      <c r="H33" s="2"/>
      <c r="I33" s="2"/>
      <c r="J33" s="2"/>
      <c r="K33" s="399"/>
      <c r="L33" s="153"/>
      <c r="M33" s="153"/>
      <c r="N33" s="153"/>
      <c r="O33"/>
      <c r="Q33" s="205"/>
      <c r="R33" s="205"/>
      <c r="S33" s="626"/>
      <c r="T33" s="125"/>
    </row>
    <row r="34" spans="1:20" s="3" customFormat="1" x14ac:dyDescent="0.4">
      <c r="A34" s="155" t="s">
        <v>59</v>
      </c>
      <c r="B34" s="633" t="s">
        <v>60</v>
      </c>
      <c r="C34" s="634">
        <f>20000+95079</f>
        <v>115079</v>
      </c>
      <c r="D34" s="634">
        <f>20000+95079</f>
        <v>115079</v>
      </c>
      <c r="E34" s="634">
        <f>20000+95079</f>
        <v>115079</v>
      </c>
      <c r="F34" s="634"/>
      <c r="G34" s="634"/>
      <c r="H34" s="634"/>
      <c r="I34" s="634"/>
      <c r="J34" s="634"/>
      <c r="K34" s="634"/>
      <c r="L34" s="634"/>
      <c r="M34" s="634"/>
      <c r="N34" s="634"/>
      <c r="O34" s="58">
        <f>SUM(C34:N34)</f>
        <v>345237</v>
      </c>
      <c r="Q34" s="205">
        <f>SUM(Q27:Q33)</f>
        <v>61242</v>
      </c>
      <c r="R34" s="588">
        <f>SUM(R27:R33)</f>
        <v>94099</v>
      </c>
      <c r="S34" s="598"/>
      <c r="T34" s="125"/>
    </row>
    <row r="35" spans="1:20" s="3" customFormat="1" x14ac:dyDescent="0.4">
      <c r="A35" s="155" t="s">
        <v>61</v>
      </c>
      <c r="B35" s="633" t="s">
        <v>62</v>
      </c>
      <c r="C35" s="634">
        <v>68924</v>
      </c>
      <c r="D35" s="634">
        <v>68925</v>
      </c>
      <c r="E35" s="635">
        <v>68926</v>
      </c>
      <c r="F35" s="635"/>
      <c r="G35" s="634"/>
      <c r="H35" s="634"/>
      <c r="I35" s="634"/>
      <c r="J35" s="634"/>
      <c r="K35" s="634"/>
      <c r="L35" s="634"/>
      <c r="M35" s="634"/>
      <c r="N35" s="634"/>
      <c r="O35" s="2">
        <f>SUM(C35:N35)</f>
        <v>206775</v>
      </c>
      <c r="Q35" s="307"/>
      <c r="R35" s="307"/>
      <c r="S35" s="598"/>
      <c r="T35" s="125"/>
    </row>
    <row r="36" spans="1:20" s="3" customFormat="1" x14ac:dyDescent="0.4">
      <c r="A36" s="155" t="s">
        <v>63</v>
      </c>
      <c r="B36" s="636" t="s">
        <v>64</v>
      </c>
      <c r="C36" s="634">
        <f t="shared" ref="C36:E36" si="7">C34-C35</f>
        <v>46155</v>
      </c>
      <c r="D36" s="634">
        <f t="shared" si="7"/>
        <v>46154</v>
      </c>
      <c r="E36" s="634">
        <f t="shared" si="7"/>
        <v>46153</v>
      </c>
      <c r="F36" s="634"/>
      <c r="G36" s="634"/>
      <c r="H36" s="634"/>
      <c r="I36" s="634"/>
      <c r="J36" s="634"/>
      <c r="K36" s="634"/>
      <c r="L36" s="634"/>
      <c r="M36" s="634"/>
      <c r="N36" s="634"/>
      <c r="O36" s="2">
        <f>SUM(C36:N36)</f>
        <v>138462</v>
      </c>
      <c r="Q36" s="598">
        <f>R34-Q34</f>
        <v>32857</v>
      </c>
      <c r="R36" s="599">
        <f>Q36/R34</f>
        <v>0.34917480525829181</v>
      </c>
      <c r="S36" s="598"/>
      <c r="T36" s="125"/>
    </row>
    <row r="37" spans="1:20" s="3" customFormat="1" x14ac:dyDescent="0.4">
      <c r="A37" s="72"/>
      <c r="B37" s="636" t="s">
        <v>65</v>
      </c>
      <c r="C37" s="637">
        <f t="shared" ref="C37:O37" si="8">C36/C34</f>
        <v>0.40107230685007689</v>
      </c>
      <c r="D37" s="637">
        <f t="shared" si="8"/>
        <v>0.40106361716733724</v>
      </c>
      <c r="E37" s="637">
        <f t="shared" si="8"/>
        <v>0.40105492748459753</v>
      </c>
      <c r="F37" s="637"/>
      <c r="G37" s="637"/>
      <c r="H37" s="637"/>
      <c r="I37" s="637"/>
      <c r="J37" s="637"/>
      <c r="K37" s="637"/>
      <c r="L37" s="637"/>
      <c r="M37" s="637"/>
      <c r="N37" s="637"/>
      <c r="O37" s="600">
        <f t="shared" si="8"/>
        <v>0.40106361716733724</v>
      </c>
      <c r="Q37" s="58"/>
    </row>
    <row r="38" spans="1:20" s="3" customFormat="1" x14ac:dyDescent="0.4">
      <c r="A38" s="122"/>
      <c r="B38" s="122" t="s">
        <v>66</v>
      </c>
      <c r="C38" s="58">
        <f t="shared" ref="C38:N38" si="9">C3</f>
        <v>294517</v>
      </c>
      <c r="D38" s="58">
        <f t="shared" si="9"/>
        <v>287630</v>
      </c>
      <c r="E38" s="58">
        <f t="shared" si="9"/>
        <v>296845</v>
      </c>
      <c r="F38" s="58">
        <v>197915</v>
      </c>
      <c r="G38" s="2">
        <f t="shared" si="9"/>
        <v>0</v>
      </c>
      <c r="H38" s="2">
        <f t="shared" si="9"/>
        <v>0</v>
      </c>
      <c r="I38" s="2">
        <f t="shared" si="9"/>
        <v>0</v>
      </c>
      <c r="J38" s="2">
        <f t="shared" si="9"/>
        <v>0</v>
      </c>
      <c r="K38" s="2">
        <f t="shared" si="9"/>
        <v>0</v>
      </c>
      <c r="L38" s="2">
        <f t="shared" si="9"/>
        <v>0</v>
      </c>
      <c r="M38" s="2">
        <f t="shared" si="9"/>
        <v>0</v>
      </c>
      <c r="N38" s="2">
        <f t="shared" si="9"/>
        <v>0</v>
      </c>
      <c r="O38" s="58">
        <f>SUM(C38:N38)</f>
        <v>1076907</v>
      </c>
      <c r="Q38" s="588"/>
    </row>
    <row r="39" spans="1:20" s="3" customFormat="1" x14ac:dyDescent="0.4">
      <c r="A39" s="122"/>
      <c r="B39" s="122" t="s">
        <v>67</v>
      </c>
      <c r="C39" s="58">
        <v>102260</v>
      </c>
      <c r="D39" s="58">
        <v>99927</v>
      </c>
      <c r="E39" s="58">
        <v>106236</v>
      </c>
      <c r="F39" s="58">
        <v>42127</v>
      </c>
      <c r="G39" s="58"/>
      <c r="H39" s="58"/>
      <c r="I39" s="58"/>
      <c r="J39" s="58"/>
      <c r="K39" s="58"/>
      <c r="L39" s="58"/>
      <c r="M39" s="58"/>
      <c r="N39" s="58"/>
      <c r="O39" s="58">
        <f>SUM(C39:N39)</f>
        <v>350550</v>
      </c>
      <c r="Q39" s="58"/>
    </row>
    <row r="40" spans="1:20" s="3" customFormat="1" x14ac:dyDescent="0.4">
      <c r="A40" s="155"/>
      <c r="B40" s="629" t="s">
        <v>68</v>
      </c>
      <c r="C40" s="553">
        <f t="shared" ref="C40:N40" si="10">C38-C39</f>
        <v>192257</v>
      </c>
      <c r="D40" s="553">
        <f t="shared" si="10"/>
        <v>187703</v>
      </c>
      <c r="E40" s="553">
        <f t="shared" si="10"/>
        <v>190609</v>
      </c>
      <c r="F40" s="553">
        <f t="shared" si="10"/>
        <v>155788</v>
      </c>
      <c r="G40" s="553">
        <f t="shared" si="10"/>
        <v>0</v>
      </c>
      <c r="H40" s="553">
        <f t="shared" si="10"/>
        <v>0</v>
      </c>
      <c r="I40" s="553">
        <f t="shared" si="10"/>
        <v>0</v>
      </c>
      <c r="J40" s="553">
        <f t="shared" si="10"/>
        <v>0</v>
      </c>
      <c r="K40" s="553">
        <f t="shared" si="10"/>
        <v>0</v>
      </c>
      <c r="L40" s="553">
        <f t="shared" si="10"/>
        <v>0</v>
      </c>
      <c r="M40" s="553">
        <f t="shared" si="10"/>
        <v>0</v>
      </c>
      <c r="N40" s="553">
        <f t="shared" si="10"/>
        <v>0</v>
      </c>
      <c r="O40" s="2">
        <f>SUM(C40:N40)</f>
        <v>726357</v>
      </c>
      <c r="P40" s="58"/>
    </row>
    <row r="41" spans="1:20" s="3" customFormat="1" x14ac:dyDescent="0.4">
      <c r="A41" s="155"/>
      <c r="B41" s="155" t="s">
        <v>69</v>
      </c>
      <c r="C41" s="601">
        <f t="shared" ref="C41:N41" si="11">C40/C38</f>
        <v>0.65278744520689802</v>
      </c>
      <c r="D41" s="601">
        <f t="shared" si="11"/>
        <v>0.65258491812397867</v>
      </c>
      <c r="E41" s="601">
        <f t="shared" si="11"/>
        <v>0.64211625595849686</v>
      </c>
      <c r="F41" s="601">
        <f t="shared" si="11"/>
        <v>0.78714599701892229</v>
      </c>
      <c r="G41" s="601" t="e">
        <f t="shared" si="11"/>
        <v>#DIV/0!</v>
      </c>
      <c r="H41" s="601" t="e">
        <f t="shared" si="11"/>
        <v>#DIV/0!</v>
      </c>
      <c r="I41" s="601" t="e">
        <f t="shared" si="11"/>
        <v>#DIV/0!</v>
      </c>
      <c r="J41" s="601" t="e">
        <f t="shared" si="11"/>
        <v>#DIV/0!</v>
      </c>
      <c r="K41" s="601" t="e">
        <f t="shared" si="11"/>
        <v>#DIV/0!</v>
      </c>
      <c r="L41" s="601" t="e">
        <f t="shared" si="11"/>
        <v>#DIV/0!</v>
      </c>
      <c r="M41" s="601" t="e">
        <f t="shared" si="11"/>
        <v>#DIV/0!</v>
      </c>
      <c r="N41" s="601" t="e">
        <f t="shared" si="11"/>
        <v>#DIV/0!</v>
      </c>
      <c r="O41" s="201">
        <f>O40/O38</f>
        <v>0.67448442623179161</v>
      </c>
      <c r="P41" s="58"/>
    </row>
    <row r="42" spans="1:20" s="188" customFormat="1" x14ac:dyDescent="0.4">
      <c r="A42" s="572"/>
      <c r="B42" s="572" t="s">
        <v>70</v>
      </c>
      <c r="C42" s="638"/>
      <c r="D42" s="638"/>
      <c r="E42" s="638"/>
      <c r="F42" s="639">
        <f>F40-E40</f>
        <v>-34821</v>
      </c>
      <c r="G42" s="638"/>
      <c r="H42" s="638"/>
      <c r="I42" s="638"/>
      <c r="J42" s="638"/>
      <c r="K42" s="638"/>
      <c r="L42" s="638"/>
      <c r="M42" s="638"/>
      <c r="N42" s="638"/>
      <c r="O42" s="638"/>
      <c r="P42" s="361"/>
    </row>
    <row r="43" spans="1:20" s="3" customFormat="1" x14ac:dyDescent="0.4">
      <c r="A43" s="122"/>
      <c r="B43" s="122" t="s">
        <v>71</v>
      </c>
      <c r="C43" s="58">
        <v>107736</v>
      </c>
      <c r="D43" s="58">
        <v>132487</v>
      </c>
      <c r="E43" s="58">
        <v>120081</v>
      </c>
      <c r="F43" s="627">
        <v>49661</v>
      </c>
      <c r="G43" s="58"/>
      <c r="H43" s="58"/>
      <c r="I43" s="58"/>
      <c r="J43" s="58"/>
      <c r="K43" s="58"/>
      <c r="L43" s="58"/>
      <c r="M43" s="58"/>
      <c r="N43" s="58"/>
      <c r="O43" s="152">
        <f>SUM(C43:N43)</f>
        <v>409965</v>
      </c>
      <c r="P43" s="58"/>
    </row>
    <row r="44" spans="1:20" s="3" customFormat="1" x14ac:dyDescent="0.4">
      <c r="A44" s="122"/>
      <c r="B44" s="122" t="s">
        <v>72</v>
      </c>
      <c r="C44" s="58">
        <v>67536</v>
      </c>
      <c r="D44" s="58">
        <v>83944</v>
      </c>
      <c r="E44" s="58">
        <v>76229</v>
      </c>
      <c r="F44" s="58">
        <v>32544</v>
      </c>
      <c r="G44" s="58"/>
      <c r="H44" s="58"/>
      <c r="I44" s="58"/>
      <c r="J44" s="58"/>
      <c r="K44" s="58"/>
      <c r="L44" s="58"/>
      <c r="M44" s="58"/>
      <c r="N44" s="58"/>
      <c r="O44" s="152">
        <f>SUM(C44:N44)</f>
        <v>260253</v>
      </c>
      <c r="P44" s="58"/>
    </row>
    <row r="45" spans="1:20" s="3" customFormat="1" x14ac:dyDescent="0.4">
      <c r="A45" s="155"/>
      <c r="B45" s="155" t="s">
        <v>73</v>
      </c>
      <c r="C45" s="2">
        <f t="shared" ref="C45:N45" si="12">C43-C44</f>
        <v>40200</v>
      </c>
      <c r="D45" s="2">
        <f t="shared" si="12"/>
        <v>48543</v>
      </c>
      <c r="E45" s="2">
        <f t="shared" si="12"/>
        <v>43852</v>
      </c>
      <c r="F45" s="553">
        <f t="shared" si="12"/>
        <v>17117</v>
      </c>
      <c r="G45" s="2">
        <f t="shared" si="12"/>
        <v>0</v>
      </c>
      <c r="H45" s="2">
        <f t="shared" si="12"/>
        <v>0</v>
      </c>
      <c r="I45" s="2">
        <f t="shared" si="12"/>
        <v>0</v>
      </c>
      <c r="J45" s="2">
        <f t="shared" si="12"/>
        <v>0</v>
      </c>
      <c r="K45" s="2">
        <f t="shared" si="12"/>
        <v>0</v>
      </c>
      <c r="L45" s="2">
        <f t="shared" si="12"/>
        <v>0</v>
      </c>
      <c r="M45" s="2">
        <f t="shared" si="12"/>
        <v>0</v>
      </c>
      <c r="N45" s="2">
        <f t="shared" si="12"/>
        <v>0</v>
      </c>
      <c r="O45" s="602">
        <f>SUM(C45:N45)</f>
        <v>149712</v>
      </c>
      <c r="P45" s="58"/>
      <c r="Q45" s="188"/>
    </row>
    <row r="46" spans="1:20" s="3" customFormat="1" x14ac:dyDescent="0.4">
      <c r="A46" s="155"/>
      <c r="B46" s="155" t="s">
        <v>74</v>
      </c>
      <c r="C46" s="601">
        <f t="shared" ref="C46:O46" si="13">C45/C43</f>
        <v>0.37313432835820898</v>
      </c>
      <c r="D46" s="601">
        <f t="shared" si="13"/>
        <v>0.36639821265482653</v>
      </c>
      <c r="E46" s="601">
        <f t="shared" si="13"/>
        <v>0.36518683222158377</v>
      </c>
      <c r="F46" s="628">
        <f t="shared" si="13"/>
        <v>0.34467690944604418</v>
      </c>
      <c r="G46" s="601" t="e">
        <f t="shared" si="13"/>
        <v>#DIV/0!</v>
      </c>
      <c r="H46" s="601" t="e">
        <f t="shared" si="13"/>
        <v>#DIV/0!</v>
      </c>
      <c r="I46" s="601" t="e">
        <f t="shared" si="13"/>
        <v>#DIV/0!</v>
      </c>
      <c r="J46" s="603" t="e">
        <f t="shared" si="13"/>
        <v>#DIV/0!</v>
      </c>
      <c r="K46" s="603" t="e">
        <f t="shared" si="13"/>
        <v>#DIV/0!</v>
      </c>
      <c r="L46" s="603" t="e">
        <f t="shared" si="13"/>
        <v>#DIV/0!</v>
      </c>
      <c r="M46" s="603" t="e">
        <f t="shared" si="13"/>
        <v>#DIV/0!</v>
      </c>
      <c r="N46" s="603" t="e">
        <f t="shared" si="13"/>
        <v>#DIV/0!</v>
      </c>
      <c r="O46" s="201">
        <f t="shared" si="13"/>
        <v>0.36518239361896748</v>
      </c>
      <c r="P46" s="58"/>
      <c r="Q46" s="143"/>
    </row>
    <row r="47" spans="1:20" s="188" customFormat="1" x14ac:dyDescent="0.4">
      <c r="A47" s="572"/>
      <c r="B47" s="572" t="s">
        <v>75</v>
      </c>
      <c r="C47" s="638"/>
      <c r="D47" s="638"/>
      <c r="E47" s="638"/>
      <c r="F47" s="639">
        <f>F45-E45</f>
        <v>-26735</v>
      </c>
      <c r="G47" s="638"/>
      <c r="H47" s="638"/>
      <c r="I47" s="638"/>
      <c r="J47" s="638"/>
      <c r="K47" s="638"/>
      <c r="L47" s="638"/>
      <c r="M47" s="638"/>
      <c r="N47" s="638"/>
      <c r="O47" s="638"/>
      <c r="P47" s="361"/>
      <c r="Q47" s="640"/>
    </row>
    <row r="48" spans="1:20" s="188" customFormat="1" x14ac:dyDescent="0.4">
      <c r="A48" s="572"/>
      <c r="B48" s="572"/>
      <c r="C48" s="638"/>
      <c r="D48" s="638"/>
      <c r="E48" s="638"/>
      <c r="F48" s="639"/>
      <c r="G48" s="638"/>
      <c r="H48" s="638"/>
      <c r="I48" s="638"/>
      <c r="J48" s="638"/>
      <c r="K48" s="638"/>
      <c r="L48" s="638"/>
      <c r="M48" s="638"/>
      <c r="N48" s="638"/>
      <c r="O48" s="638"/>
      <c r="P48" s="361"/>
      <c r="Q48" s="640"/>
    </row>
    <row r="49" spans="1:22" s="3" customFormat="1" x14ac:dyDescent="0.4">
      <c r="A49" s="155"/>
      <c r="B49" s="122" t="s">
        <v>76</v>
      </c>
      <c r="C49" s="366"/>
      <c r="D49" s="366"/>
      <c r="E49" s="366"/>
      <c r="F49" s="366"/>
      <c r="G49" s="366"/>
      <c r="H49" s="366"/>
      <c r="I49" s="366"/>
      <c r="J49" s="366"/>
      <c r="K49" s="400"/>
      <c r="L49" s="366"/>
      <c r="M49" s="264"/>
      <c r="N49" s="264"/>
      <c r="O49" s="201"/>
      <c r="P49" s="58"/>
    </row>
    <row r="50" spans="1:22" s="3" customFormat="1" ht="15" thickBot="1" x14ac:dyDescent="0.45">
      <c r="A50" s="122"/>
      <c r="B50" s="122" t="s">
        <v>77</v>
      </c>
      <c r="C50" s="197">
        <f t="shared" ref="C50:N50" si="14">C38+C43</f>
        <v>402253</v>
      </c>
      <c r="D50" s="197">
        <f t="shared" si="14"/>
        <v>420117</v>
      </c>
      <c r="E50" s="197">
        <f t="shared" si="14"/>
        <v>416926</v>
      </c>
      <c r="F50" s="197">
        <f t="shared" si="14"/>
        <v>247576</v>
      </c>
      <c r="G50" s="197">
        <f t="shared" si="14"/>
        <v>0</v>
      </c>
      <c r="H50" s="197">
        <f t="shared" si="14"/>
        <v>0</v>
      </c>
      <c r="I50" s="197">
        <f t="shared" si="14"/>
        <v>0</v>
      </c>
      <c r="J50" s="263">
        <f t="shared" si="14"/>
        <v>0</v>
      </c>
      <c r="K50" s="281">
        <f t="shared" si="14"/>
        <v>0</v>
      </c>
      <c r="L50" s="263">
        <f t="shared" si="14"/>
        <v>0</v>
      </c>
      <c r="M50" s="263">
        <f t="shared" si="14"/>
        <v>0</v>
      </c>
      <c r="N50" s="263">
        <f t="shared" si="14"/>
        <v>0</v>
      </c>
      <c r="O50" s="152">
        <f>SUM(C50:N50)</f>
        <v>1486872</v>
      </c>
      <c r="P50" s="58"/>
    </row>
    <row r="51" spans="1:22" s="3" customFormat="1" ht="15" thickTop="1" x14ac:dyDescent="0.4">
      <c r="A51" s="122"/>
      <c r="B51" s="122" t="s">
        <v>78</v>
      </c>
      <c r="C51" s="2">
        <f>C39+C44</f>
        <v>169796</v>
      </c>
      <c r="D51" s="2">
        <f>D39+D44</f>
        <v>183871</v>
      </c>
      <c r="E51" s="2">
        <f>E39+E44</f>
        <v>182465</v>
      </c>
      <c r="F51" s="2">
        <f>F39+F44</f>
        <v>74671</v>
      </c>
      <c r="G51" s="2">
        <f t="shared" ref="G51:N51" si="15">G39+G44+G49</f>
        <v>0</v>
      </c>
      <c r="H51" s="2">
        <f t="shared" si="15"/>
        <v>0</v>
      </c>
      <c r="I51" s="2">
        <f t="shared" si="15"/>
        <v>0</v>
      </c>
      <c r="J51" s="2">
        <f t="shared" si="15"/>
        <v>0</v>
      </c>
      <c r="K51" s="158">
        <f t="shared" si="15"/>
        <v>0</v>
      </c>
      <c r="L51" s="2">
        <f t="shared" si="15"/>
        <v>0</v>
      </c>
      <c r="M51" s="2">
        <f t="shared" si="15"/>
        <v>0</v>
      </c>
      <c r="N51" s="2">
        <f t="shared" si="15"/>
        <v>0</v>
      </c>
      <c r="O51" s="152">
        <f>SUM(C51:N51)</f>
        <v>610803</v>
      </c>
      <c r="P51" s="58"/>
      <c r="Q51" s="200"/>
      <c r="R51" s="200"/>
      <c r="S51" s="200"/>
      <c r="T51" s="200"/>
      <c r="U51" s="200"/>
      <c r="V51" s="200"/>
    </row>
    <row r="52" spans="1:22" s="200" customFormat="1" x14ac:dyDescent="0.4">
      <c r="A52" s="156"/>
      <c r="B52" s="156" t="s">
        <v>79</v>
      </c>
      <c r="C52" s="641">
        <f t="shared" ref="C52:N52" si="16">C50-C51</f>
        <v>232457</v>
      </c>
      <c r="D52" s="641">
        <f t="shared" si="16"/>
        <v>236246</v>
      </c>
      <c r="E52" s="641">
        <f t="shared" si="16"/>
        <v>234461</v>
      </c>
      <c r="F52" s="641">
        <f t="shared" si="16"/>
        <v>172905</v>
      </c>
      <c r="G52" s="604">
        <f t="shared" si="16"/>
        <v>0</v>
      </c>
      <c r="H52" s="604">
        <f t="shared" si="16"/>
        <v>0</v>
      </c>
      <c r="I52" s="604">
        <f t="shared" si="16"/>
        <v>0</v>
      </c>
      <c r="J52" s="604">
        <f t="shared" si="16"/>
        <v>0</v>
      </c>
      <c r="K52" s="605">
        <f t="shared" si="16"/>
        <v>0</v>
      </c>
      <c r="L52" s="604">
        <f t="shared" si="16"/>
        <v>0</v>
      </c>
      <c r="M52" s="604">
        <f t="shared" si="16"/>
        <v>0</v>
      </c>
      <c r="N52" s="604">
        <f t="shared" si="16"/>
        <v>0</v>
      </c>
      <c r="O52" s="606">
        <f>SUM(C52:N52)</f>
        <v>876069</v>
      </c>
      <c r="P52" s="199"/>
    </row>
    <row r="53" spans="1:22" s="200" customFormat="1" x14ac:dyDescent="0.4">
      <c r="A53" s="156"/>
      <c r="B53" s="156" t="s">
        <v>80</v>
      </c>
      <c r="C53" s="359">
        <f t="shared" ref="C53:O53" si="17">C52/C50</f>
        <v>0.57788754838372869</v>
      </c>
      <c r="D53" s="359">
        <f t="shared" si="17"/>
        <v>0.56233382605321847</v>
      </c>
      <c r="E53" s="359">
        <f t="shared" si="17"/>
        <v>0.56235638938324783</v>
      </c>
      <c r="F53" s="359">
        <f t="shared" si="17"/>
        <v>0.6983916050021004</v>
      </c>
      <c r="G53" s="359" t="e">
        <f t="shared" si="17"/>
        <v>#DIV/0!</v>
      </c>
      <c r="H53" s="359" t="e">
        <f t="shared" si="17"/>
        <v>#DIV/0!</v>
      </c>
      <c r="I53" s="359" t="e">
        <f t="shared" si="17"/>
        <v>#DIV/0!</v>
      </c>
      <c r="J53" s="359" t="e">
        <f t="shared" si="17"/>
        <v>#DIV/0!</v>
      </c>
      <c r="K53" s="384" t="e">
        <f t="shared" si="17"/>
        <v>#DIV/0!</v>
      </c>
      <c r="L53" s="359" t="e">
        <f t="shared" si="17"/>
        <v>#DIV/0!</v>
      </c>
      <c r="M53" s="359" t="e">
        <f t="shared" si="17"/>
        <v>#DIV/0!</v>
      </c>
      <c r="N53" s="359" t="e">
        <f t="shared" si="17"/>
        <v>#DIV/0!</v>
      </c>
      <c r="O53" s="236">
        <f t="shared" si="17"/>
        <v>0.58920270204832692</v>
      </c>
      <c r="P53" s="199"/>
      <c r="Q53" s="3"/>
      <c r="R53" s="3"/>
      <c r="S53" s="3"/>
      <c r="T53" s="3"/>
      <c r="U53" s="3"/>
      <c r="V53" s="3"/>
    </row>
    <row r="54" spans="1:22" s="3" customFormat="1" x14ac:dyDescent="0.4">
      <c r="A54" s="155"/>
      <c r="B54" s="155" t="s">
        <v>81</v>
      </c>
      <c r="C54" s="58">
        <v>223000</v>
      </c>
      <c r="D54" s="58">
        <v>223000</v>
      </c>
      <c r="E54" s="58">
        <v>223000</v>
      </c>
      <c r="F54" s="58">
        <v>204000</v>
      </c>
      <c r="G54" s="58">
        <v>200000</v>
      </c>
      <c r="H54" s="58">
        <v>200000</v>
      </c>
      <c r="I54" s="58">
        <v>200000</v>
      </c>
      <c r="J54" s="58">
        <v>200000</v>
      </c>
      <c r="K54" s="58">
        <v>200000</v>
      </c>
      <c r="L54" s="58">
        <v>200000</v>
      </c>
      <c r="M54" s="58">
        <v>200000</v>
      </c>
      <c r="N54" s="58">
        <v>200000</v>
      </c>
      <c r="O54" s="607">
        <f>SUM(C54:N54)</f>
        <v>2473000</v>
      </c>
      <c r="P54" s="58"/>
      <c r="Q54"/>
      <c r="R54"/>
      <c r="S54"/>
      <c r="T54"/>
      <c r="U54"/>
      <c r="V54"/>
    </row>
    <row r="55" spans="1:22" x14ac:dyDescent="0.4">
      <c r="A55" s="155"/>
      <c r="B55" s="122" t="s">
        <v>82</v>
      </c>
      <c r="C55" s="465">
        <f t="shared" ref="C55:N55" si="18">C52-C54</f>
        <v>9457</v>
      </c>
      <c r="D55" s="465">
        <f t="shared" si="18"/>
        <v>13246</v>
      </c>
      <c r="E55" s="465">
        <f t="shared" si="18"/>
        <v>11461</v>
      </c>
      <c r="F55" s="361">
        <f t="shared" si="18"/>
        <v>-31095</v>
      </c>
      <c r="G55" s="178">
        <f t="shared" si="18"/>
        <v>-200000</v>
      </c>
      <c r="H55" s="178">
        <f t="shared" si="18"/>
        <v>-200000</v>
      </c>
      <c r="I55" s="178">
        <f t="shared" si="18"/>
        <v>-200000</v>
      </c>
      <c r="J55" s="178">
        <f t="shared" si="18"/>
        <v>-200000</v>
      </c>
      <c r="K55" s="178">
        <f t="shared" si="18"/>
        <v>-200000</v>
      </c>
      <c r="L55" s="178">
        <f t="shared" si="18"/>
        <v>-200000</v>
      </c>
      <c r="M55" s="178">
        <f t="shared" si="18"/>
        <v>-200000</v>
      </c>
      <c r="N55" s="178">
        <f t="shared" si="18"/>
        <v>-200000</v>
      </c>
      <c r="O55" s="178">
        <f>SUM(C55:N55)</f>
        <v>-1596931</v>
      </c>
      <c r="P55" s="143"/>
    </row>
    <row r="56" spans="1:22" x14ac:dyDescent="0.4">
      <c r="A56" s="155"/>
      <c r="B56" s="122" t="s">
        <v>83</v>
      </c>
      <c r="C56" s="470">
        <f t="shared" ref="C56:N56" si="19">C55/C19</f>
        <v>2.3510079477343862E-2</v>
      </c>
      <c r="D56" s="470">
        <f t="shared" si="19"/>
        <v>3.1529237023883765E-2</v>
      </c>
      <c r="E56" s="470">
        <f t="shared" si="19"/>
        <v>2.7489290665489798E-2</v>
      </c>
      <c r="F56" s="608">
        <f t="shared" si="19"/>
        <v>-0.12559830354438048</v>
      </c>
      <c r="G56" s="538" t="e">
        <f t="shared" si="19"/>
        <v>#DIV/0!</v>
      </c>
      <c r="H56" s="538" t="e">
        <f t="shared" si="19"/>
        <v>#DIV/0!</v>
      </c>
      <c r="I56" s="538" t="e">
        <f t="shared" si="19"/>
        <v>#DIV/0!</v>
      </c>
      <c r="J56" s="538" t="e">
        <f t="shared" si="19"/>
        <v>#DIV/0!</v>
      </c>
      <c r="K56" s="538" t="e">
        <f t="shared" si="19"/>
        <v>#DIV/0!</v>
      </c>
      <c r="L56" s="538" t="e">
        <f t="shared" si="19"/>
        <v>#DIV/0!</v>
      </c>
      <c r="M56" s="538" t="e">
        <f t="shared" si="19"/>
        <v>#DIV/0!</v>
      </c>
      <c r="N56" s="538" t="e">
        <f t="shared" si="19"/>
        <v>#DIV/0!</v>
      </c>
      <c r="O56" s="58"/>
      <c r="P56" s="143"/>
    </row>
    <row r="57" spans="1:22" ht="6.75" customHeight="1" x14ac:dyDescent="0.4">
      <c r="A57" s="155"/>
      <c r="B57" s="609"/>
      <c r="C57" s="610"/>
      <c r="D57" s="610"/>
      <c r="E57" s="610"/>
      <c r="F57" s="610"/>
      <c r="G57" s="610"/>
      <c r="H57" s="610"/>
      <c r="I57" s="611"/>
      <c r="J57" s="612"/>
      <c r="K57" s="158"/>
      <c r="L57" s="613"/>
      <c r="M57" s="613"/>
      <c r="N57" s="613"/>
      <c r="O57" s="611"/>
      <c r="P57" s="143"/>
    </row>
    <row r="58" spans="1:22" x14ac:dyDescent="0.4">
      <c r="A58" s="155"/>
      <c r="B58" s="155" t="s">
        <v>84</v>
      </c>
      <c r="C58" s="158">
        <f t="shared" ref="C58:N58" si="20">C19*0.18</f>
        <v>72405.539999999994</v>
      </c>
      <c r="D58" s="158">
        <f t="shared" si="20"/>
        <v>75621.239999999991</v>
      </c>
      <c r="E58" s="158">
        <f t="shared" si="20"/>
        <v>75046.679999999993</v>
      </c>
      <c r="F58" s="158">
        <f t="shared" si="20"/>
        <v>44563.5</v>
      </c>
      <c r="G58" s="158">
        <f t="shared" si="20"/>
        <v>0</v>
      </c>
      <c r="H58" s="158">
        <f t="shared" si="20"/>
        <v>0</v>
      </c>
      <c r="I58" s="158">
        <f t="shared" si="20"/>
        <v>0</v>
      </c>
      <c r="J58" s="158">
        <f t="shared" si="20"/>
        <v>0</v>
      </c>
      <c r="K58" s="158">
        <f t="shared" si="20"/>
        <v>0</v>
      </c>
      <c r="L58" s="158">
        <f t="shared" si="20"/>
        <v>0</v>
      </c>
      <c r="M58" s="158">
        <f t="shared" si="20"/>
        <v>0</v>
      </c>
      <c r="N58" s="158">
        <f t="shared" si="20"/>
        <v>0</v>
      </c>
      <c r="O58" s="178">
        <f>SUM(C58:N58)</f>
        <v>267636.95999999996</v>
      </c>
      <c r="P58" s="614" t="s">
        <v>85</v>
      </c>
    </row>
    <row r="59" spans="1:22" ht="28.5" customHeight="1" x14ac:dyDescent="0.4">
      <c r="A59" s="155"/>
      <c r="B59" s="609"/>
      <c r="C59" s="610"/>
      <c r="D59" s="610"/>
      <c r="E59" s="610"/>
      <c r="F59" s="610"/>
      <c r="G59" s="611"/>
      <c r="H59" s="611"/>
      <c r="I59" s="611"/>
      <c r="J59" s="610"/>
      <c r="K59" s="178"/>
      <c r="L59" s="611"/>
      <c r="M59" s="611"/>
      <c r="N59" s="611"/>
      <c r="O59" s="611"/>
      <c r="P59" s="143"/>
    </row>
    <row r="60" spans="1:22" ht="39.75" customHeight="1" x14ac:dyDescent="0.4">
      <c r="A60" s="3" t="s">
        <v>86</v>
      </c>
      <c r="K60" s="71"/>
      <c r="P60" s="1"/>
    </row>
    <row r="61" spans="1:22" ht="15" thickBot="1" x14ac:dyDescent="0.45">
      <c r="B61" s="10"/>
      <c r="G61" s="205"/>
      <c r="H61" s="205"/>
      <c r="I61" s="73"/>
      <c r="P61" s="1"/>
      <c r="R61" s="2"/>
    </row>
    <row r="62" spans="1:22" ht="15" thickBot="1" x14ac:dyDescent="0.45">
      <c r="A62" s="130" t="s">
        <v>87</v>
      </c>
      <c r="B62" s="120" t="s">
        <v>88</v>
      </c>
      <c r="C62" s="615">
        <v>145911</v>
      </c>
      <c r="D62" s="573">
        <f>C62</f>
        <v>145911</v>
      </c>
      <c r="E62" s="573">
        <f>D62</f>
        <v>145911</v>
      </c>
      <c r="F62" s="573">
        <f t="shared" ref="F62:N62" si="21">E62</f>
        <v>145911</v>
      </c>
      <c r="G62" s="573">
        <f t="shared" si="21"/>
        <v>145911</v>
      </c>
      <c r="H62" s="573">
        <f t="shared" si="21"/>
        <v>145911</v>
      </c>
      <c r="I62" s="573">
        <f t="shared" si="21"/>
        <v>145911</v>
      </c>
      <c r="J62" s="573">
        <f t="shared" si="21"/>
        <v>145911</v>
      </c>
      <c r="K62" s="573">
        <f t="shared" si="21"/>
        <v>145911</v>
      </c>
      <c r="L62" s="573">
        <f t="shared" si="21"/>
        <v>145911</v>
      </c>
      <c r="M62" s="573">
        <f t="shared" si="21"/>
        <v>145911</v>
      </c>
      <c r="N62" s="573">
        <f t="shared" si="21"/>
        <v>145911</v>
      </c>
      <c r="O62" s="584">
        <f t="shared" ref="O62:O71" si="22">SUM(C62:N62)</f>
        <v>1750932</v>
      </c>
      <c r="P62" s="1"/>
    </row>
    <row r="63" spans="1:22" x14ac:dyDescent="0.4">
      <c r="B63" s="1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584">
        <f>SUM(C63:N63)</f>
        <v>0</v>
      </c>
    </row>
    <row r="64" spans="1:22" x14ac:dyDescent="0.4">
      <c r="B64" s="148" t="s">
        <v>89</v>
      </c>
      <c r="C64" s="547">
        <v>-5000</v>
      </c>
      <c r="D64" s="547">
        <v>-5000</v>
      </c>
      <c r="E64" s="547">
        <v>-5000</v>
      </c>
      <c r="F64" s="547">
        <v>-5000</v>
      </c>
      <c r="G64" s="547">
        <v>-5000</v>
      </c>
      <c r="H64" s="547">
        <v>-5000</v>
      </c>
      <c r="I64" s="547">
        <v>-5000</v>
      </c>
      <c r="J64" s="547">
        <v>-5000</v>
      </c>
      <c r="K64" s="547">
        <v>-5000</v>
      </c>
      <c r="L64" s="547">
        <v>-5000</v>
      </c>
      <c r="M64" s="547">
        <v>-5000</v>
      </c>
      <c r="N64" s="547">
        <v>-5000</v>
      </c>
      <c r="O64" s="552">
        <f t="shared" si="22"/>
        <v>-60000</v>
      </c>
    </row>
    <row r="65" spans="1:22" x14ac:dyDescent="0.4">
      <c r="B65" s="148" t="s">
        <v>90</v>
      </c>
      <c r="C65" s="547">
        <v>-5730</v>
      </c>
      <c r="D65" s="547">
        <v>-5730</v>
      </c>
      <c r="E65" s="547">
        <v>-5730</v>
      </c>
      <c r="F65" s="547">
        <v>-5730</v>
      </c>
      <c r="G65" s="547">
        <v>-5730</v>
      </c>
      <c r="H65" s="547">
        <v>-5730</v>
      </c>
      <c r="I65" s="547">
        <v>-5730</v>
      </c>
      <c r="J65" s="547">
        <v>-5730</v>
      </c>
      <c r="K65" s="547">
        <v>-5730</v>
      </c>
      <c r="L65" s="547">
        <v>-5730</v>
      </c>
      <c r="M65" s="547">
        <v>-5730</v>
      </c>
      <c r="N65" s="547">
        <v>-5730</v>
      </c>
      <c r="O65" s="552">
        <f t="shared" si="22"/>
        <v>-68760</v>
      </c>
      <c r="Q65" s="72"/>
      <c r="R65" s="72"/>
      <c r="S65" s="72"/>
      <c r="T65" s="72"/>
      <c r="U65" s="72"/>
      <c r="V65" s="72"/>
    </row>
    <row r="66" spans="1:22" s="72" customFormat="1" x14ac:dyDescent="0.4">
      <c r="B66" s="128" t="s">
        <v>91</v>
      </c>
      <c r="C66" s="480">
        <v>302</v>
      </c>
      <c r="D66" s="480">
        <v>550</v>
      </c>
      <c r="E66" s="480">
        <v>550</v>
      </c>
      <c r="F66" s="480">
        <v>550</v>
      </c>
      <c r="G66" s="480">
        <v>550</v>
      </c>
      <c r="H66" s="480">
        <v>550</v>
      </c>
      <c r="I66" s="480">
        <v>550</v>
      </c>
      <c r="J66" s="480">
        <v>550</v>
      </c>
      <c r="K66" s="480">
        <v>550</v>
      </c>
      <c r="L66" s="480">
        <v>550</v>
      </c>
      <c r="M66" s="480">
        <v>550</v>
      </c>
      <c r="N66" s="480">
        <v>550</v>
      </c>
      <c r="O66" s="549">
        <f>SUM(C66:N66)</f>
        <v>6352</v>
      </c>
      <c r="P66"/>
    </row>
    <row r="67" spans="1:22" s="72" customFormat="1" x14ac:dyDescent="0.4">
      <c r="B67" s="128" t="s">
        <v>92</v>
      </c>
      <c r="C67" s="480">
        <v>301.61</v>
      </c>
      <c r="D67" s="480">
        <v>850</v>
      </c>
      <c r="E67" s="480">
        <v>850</v>
      </c>
      <c r="F67" s="480">
        <v>850</v>
      </c>
      <c r="G67" s="480">
        <v>850</v>
      </c>
      <c r="H67" s="480">
        <v>850</v>
      </c>
      <c r="I67" s="480">
        <v>850</v>
      </c>
      <c r="J67" s="480">
        <v>850</v>
      </c>
      <c r="K67" s="480">
        <v>850</v>
      </c>
      <c r="L67" s="480">
        <v>850</v>
      </c>
      <c r="M67" s="480">
        <v>850</v>
      </c>
      <c r="N67" s="480">
        <v>850</v>
      </c>
      <c r="O67" s="549">
        <f>SUM(C67:N67)</f>
        <v>9651.61</v>
      </c>
      <c r="P67"/>
      <c r="Q67"/>
      <c r="R67"/>
      <c r="S67"/>
      <c r="T67"/>
      <c r="U67"/>
      <c r="V67"/>
    </row>
    <row r="68" spans="1:22" x14ac:dyDescent="0.4">
      <c r="A68" s="173"/>
      <c r="B68" s="128" t="s">
        <v>93</v>
      </c>
      <c r="C68" s="480"/>
      <c r="D68" s="480"/>
      <c r="E68" s="480"/>
      <c r="F68" s="480">
        <v>300</v>
      </c>
      <c r="G68" s="480">
        <v>300</v>
      </c>
      <c r="H68" s="480">
        <v>300</v>
      </c>
      <c r="I68" s="480">
        <v>300</v>
      </c>
      <c r="J68" s="480">
        <v>300</v>
      </c>
      <c r="K68" s="480">
        <v>300</v>
      </c>
      <c r="L68" s="480">
        <v>300</v>
      </c>
      <c r="M68" s="480">
        <v>300</v>
      </c>
      <c r="N68" s="480">
        <v>300</v>
      </c>
      <c r="O68" s="549">
        <f>SUM(C68:N68)</f>
        <v>2700</v>
      </c>
      <c r="P68" s="72"/>
    </row>
    <row r="69" spans="1:22" x14ac:dyDescent="0.4">
      <c r="B69" s="128" t="s">
        <v>94</v>
      </c>
      <c r="C69" s="480"/>
      <c r="D69" s="480"/>
      <c r="E69" s="480"/>
      <c r="F69" s="480">
        <v>100</v>
      </c>
      <c r="G69" s="480">
        <v>100</v>
      </c>
      <c r="H69" s="480">
        <v>100</v>
      </c>
      <c r="I69" s="480">
        <v>100</v>
      </c>
      <c r="J69" s="480">
        <v>100</v>
      </c>
      <c r="K69" s="480">
        <v>100</v>
      </c>
      <c r="L69" s="480">
        <v>100</v>
      </c>
      <c r="M69" s="480">
        <v>100</v>
      </c>
      <c r="N69" s="480">
        <v>100</v>
      </c>
      <c r="O69" s="549">
        <f>SUM(C69:N69)</f>
        <v>900</v>
      </c>
    </row>
    <row r="70" spans="1:22" x14ac:dyDescent="0.4">
      <c r="B70" s="128" t="s">
        <v>95</v>
      </c>
      <c r="C70" s="480"/>
      <c r="D70" s="480"/>
      <c r="E70" s="480"/>
      <c r="F70" s="480">
        <v>510</v>
      </c>
      <c r="G70" s="480">
        <v>510</v>
      </c>
      <c r="H70" s="480">
        <v>510</v>
      </c>
      <c r="I70" s="480">
        <v>510</v>
      </c>
      <c r="J70" s="480">
        <v>510</v>
      </c>
      <c r="K70" s="480">
        <v>510</v>
      </c>
      <c r="L70" s="480">
        <v>510</v>
      </c>
      <c r="M70" s="480">
        <v>510</v>
      </c>
      <c r="N70" s="480">
        <v>510</v>
      </c>
      <c r="O70" s="549">
        <f>SUM(C70:N70)</f>
        <v>4590</v>
      </c>
    </row>
    <row r="71" spans="1:22" x14ac:dyDescent="0.4">
      <c r="B71" s="128" t="s">
        <v>96</v>
      </c>
      <c r="C71" s="480"/>
      <c r="D71" s="480"/>
      <c r="E71" s="480"/>
      <c r="F71" s="480">
        <v>510</v>
      </c>
      <c r="G71" s="480">
        <v>510</v>
      </c>
      <c r="H71" s="480">
        <v>510</v>
      </c>
      <c r="I71" s="480">
        <v>510</v>
      </c>
      <c r="J71" s="480">
        <v>510</v>
      </c>
      <c r="K71" s="480">
        <v>510</v>
      </c>
      <c r="L71" s="480">
        <v>510</v>
      </c>
      <c r="M71" s="480">
        <v>510</v>
      </c>
      <c r="N71" s="480">
        <v>510</v>
      </c>
      <c r="O71" s="549">
        <f t="shared" si="22"/>
        <v>4590</v>
      </c>
    </row>
    <row r="72" spans="1:22" x14ac:dyDescent="0.4">
      <c r="A72" s="83"/>
      <c r="B72" s="128" t="s">
        <v>97</v>
      </c>
      <c r="C72" s="480"/>
      <c r="D72" s="480"/>
      <c r="E72" s="480"/>
      <c r="F72" s="480">
        <v>325</v>
      </c>
      <c r="G72" s="480">
        <v>325</v>
      </c>
      <c r="H72" s="480">
        <v>325</v>
      </c>
      <c r="I72" s="480">
        <v>325</v>
      </c>
      <c r="J72" s="480">
        <v>325</v>
      </c>
      <c r="K72" s="480">
        <v>325</v>
      </c>
      <c r="L72" s="480">
        <v>325</v>
      </c>
      <c r="M72" s="480">
        <v>325</v>
      </c>
      <c r="N72" s="480">
        <v>325</v>
      </c>
      <c r="O72" s="549">
        <f>SUM(C72:N72)</f>
        <v>2925</v>
      </c>
    </row>
    <row r="73" spans="1:22" s="72" customFormat="1" x14ac:dyDescent="0.4">
      <c r="A73" s="83"/>
      <c r="B73" s="128" t="s">
        <v>98</v>
      </c>
      <c r="C73" s="480"/>
      <c r="D73" s="480"/>
      <c r="E73" s="480"/>
      <c r="F73" s="480">
        <v>269</v>
      </c>
      <c r="G73" s="480">
        <v>269</v>
      </c>
      <c r="H73" s="480">
        <v>269</v>
      </c>
      <c r="I73" s="480">
        <v>269</v>
      </c>
      <c r="J73" s="480">
        <v>269</v>
      </c>
      <c r="K73" s="480">
        <v>269</v>
      </c>
      <c r="L73" s="480">
        <v>269</v>
      </c>
      <c r="M73" s="480">
        <v>269</v>
      </c>
      <c r="N73" s="480">
        <v>269</v>
      </c>
      <c r="O73" s="549">
        <f>SUM(C73:N73)</f>
        <v>2421</v>
      </c>
    </row>
    <row r="74" spans="1:22" x14ac:dyDescent="0.4">
      <c r="A74" s="83"/>
      <c r="B74" s="128" t="s">
        <v>99</v>
      </c>
      <c r="C74" s="480"/>
      <c r="D74" s="480"/>
      <c r="E74" s="480"/>
      <c r="F74" s="480"/>
      <c r="G74" s="480">
        <v>1615</v>
      </c>
      <c r="H74" s="480">
        <v>1615</v>
      </c>
      <c r="I74" s="480">
        <v>1615</v>
      </c>
      <c r="J74" s="480">
        <v>1615</v>
      </c>
      <c r="K74" s="480">
        <v>1615</v>
      </c>
      <c r="L74" s="480">
        <v>1615</v>
      </c>
      <c r="M74" s="480">
        <v>1615</v>
      </c>
      <c r="N74" s="480">
        <v>1615</v>
      </c>
      <c r="O74" s="549">
        <f>SUM(C74:N74)</f>
        <v>12920</v>
      </c>
      <c r="Q74" s="72"/>
      <c r="R74" s="72"/>
      <c r="S74" s="72"/>
      <c r="T74" s="72"/>
      <c r="U74" s="72"/>
      <c r="V74" s="72"/>
    </row>
    <row r="75" spans="1:22" s="72" customFormat="1" x14ac:dyDescent="0.4">
      <c r="A75" s="83"/>
      <c r="B75" s="148" t="s">
        <v>100</v>
      </c>
      <c r="C75" s="547"/>
      <c r="D75" s="547"/>
      <c r="E75" s="547">
        <v>-50</v>
      </c>
      <c r="F75" s="547">
        <v>-50</v>
      </c>
      <c r="G75" s="547">
        <v>-50</v>
      </c>
      <c r="H75" s="547">
        <v>-50</v>
      </c>
      <c r="I75" s="547">
        <v>-50</v>
      </c>
      <c r="J75" s="547">
        <v>-50</v>
      </c>
      <c r="K75" s="547">
        <v>-50</v>
      </c>
      <c r="L75" s="547">
        <v>-50</v>
      </c>
      <c r="M75" s="547">
        <v>-50</v>
      </c>
      <c r="N75" s="547">
        <v>-50</v>
      </c>
      <c r="O75" s="552">
        <f>SUM(C75:N75)</f>
        <v>-500</v>
      </c>
      <c r="P75"/>
    </row>
    <row r="76" spans="1:22" s="73" customFormat="1" x14ac:dyDescent="0.4">
      <c r="A76" s="83"/>
      <c r="B76" s="72" t="s">
        <v>101</v>
      </c>
      <c r="C76" s="480"/>
      <c r="D76" s="480"/>
      <c r="E76" s="480"/>
      <c r="F76" s="480">
        <v>425</v>
      </c>
      <c r="G76" s="480">
        <v>425</v>
      </c>
      <c r="H76" s="480">
        <v>425</v>
      </c>
      <c r="I76" s="480">
        <v>425</v>
      </c>
      <c r="J76" s="480">
        <v>425</v>
      </c>
      <c r="K76" s="480">
        <v>425</v>
      </c>
      <c r="L76" s="480">
        <v>425</v>
      </c>
      <c r="M76" s="480">
        <v>425</v>
      </c>
      <c r="N76" s="480">
        <v>425</v>
      </c>
      <c r="O76" s="549">
        <f>SUM(M76:N76)</f>
        <v>850</v>
      </c>
    </row>
    <row r="77" spans="1:22" s="73" customFormat="1" x14ac:dyDescent="0.4">
      <c r="A77" s="83"/>
      <c r="B77" s="72" t="s">
        <v>102</v>
      </c>
      <c r="C77" s="480"/>
      <c r="D77" s="480"/>
      <c r="E77" s="480"/>
      <c r="F77" s="480"/>
      <c r="G77" s="480">
        <v>60</v>
      </c>
      <c r="H77" s="480">
        <v>60</v>
      </c>
      <c r="I77" s="480">
        <v>60</v>
      </c>
      <c r="J77" s="480">
        <v>60</v>
      </c>
      <c r="K77" s="480">
        <v>60</v>
      </c>
      <c r="L77" s="480">
        <v>60</v>
      </c>
      <c r="M77" s="480">
        <v>60</v>
      </c>
      <c r="N77" s="480">
        <v>60</v>
      </c>
      <c r="O77" s="549">
        <f>SUM(M77:N77)</f>
        <v>120</v>
      </c>
    </row>
    <row r="78" spans="1:22" s="73" customFormat="1" x14ac:dyDescent="0.4">
      <c r="A78" s="550"/>
      <c r="B78" s="73" t="s">
        <v>103</v>
      </c>
      <c r="C78" s="547"/>
      <c r="D78" s="547"/>
      <c r="E78" s="547"/>
      <c r="F78" s="547"/>
      <c r="G78" s="547"/>
      <c r="H78" s="547"/>
      <c r="I78" s="547">
        <v>-2500</v>
      </c>
      <c r="J78" s="547">
        <v>-2500</v>
      </c>
      <c r="K78" s="547">
        <v>-2500</v>
      </c>
      <c r="L78" s="547">
        <v>-2500</v>
      </c>
      <c r="M78" s="547">
        <v>-2500</v>
      </c>
      <c r="N78" s="547">
        <v>-2500</v>
      </c>
      <c r="O78" s="552">
        <f>SUM(M78:N78)</f>
        <v>-5000</v>
      </c>
    </row>
    <row r="79" spans="1:22" s="73" customFormat="1" x14ac:dyDescent="0.4">
      <c r="A79" s="83"/>
      <c r="B79" s="72" t="s">
        <v>104</v>
      </c>
      <c r="C79" s="480"/>
      <c r="D79" s="480"/>
      <c r="E79" s="480"/>
      <c r="F79" s="480">
        <v>385</v>
      </c>
      <c r="G79" s="480">
        <v>385</v>
      </c>
      <c r="H79" s="480">
        <v>385</v>
      </c>
      <c r="I79" s="480">
        <v>385</v>
      </c>
      <c r="J79" s="480">
        <v>385</v>
      </c>
      <c r="K79" s="480">
        <v>385</v>
      </c>
      <c r="L79" s="480">
        <v>385</v>
      </c>
      <c r="M79" s="480">
        <v>385</v>
      </c>
      <c r="N79" s="480">
        <v>385</v>
      </c>
      <c r="O79" s="549">
        <f t="shared" ref="O79:O83" si="23">SUM(M79:N79)</f>
        <v>770</v>
      </c>
    </row>
    <row r="80" spans="1:22" s="73" customFormat="1" x14ac:dyDescent="0.4">
      <c r="A80" s="83"/>
      <c r="B80" s="73" t="s">
        <v>105</v>
      </c>
      <c r="C80" s="547"/>
      <c r="D80" s="547"/>
      <c r="E80" s="547"/>
      <c r="F80" s="547"/>
      <c r="G80" s="547">
        <v>-5500</v>
      </c>
      <c r="H80" s="547">
        <v>-5500</v>
      </c>
      <c r="I80" s="547">
        <v>-5500</v>
      </c>
      <c r="J80" s="547">
        <v>-5500</v>
      </c>
      <c r="K80" s="547">
        <v>-5500</v>
      </c>
      <c r="L80" s="547">
        <v>-5500</v>
      </c>
      <c r="M80" s="547">
        <v>-5500</v>
      </c>
      <c r="N80" s="547">
        <v>-5500</v>
      </c>
      <c r="O80" s="552">
        <f t="shared" si="23"/>
        <v>-11000</v>
      </c>
    </row>
    <row r="81" spans="1:22" s="73" customFormat="1" x14ac:dyDescent="0.4">
      <c r="A81" s="83"/>
      <c r="B81" s="72" t="s">
        <v>106</v>
      </c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  <c r="N81" s="480"/>
      <c r="O81" s="552">
        <f t="shared" si="23"/>
        <v>0</v>
      </c>
    </row>
    <row r="82" spans="1:22" s="73" customFormat="1" x14ac:dyDescent="0.4">
      <c r="A82" s="83"/>
      <c r="B82" s="72"/>
      <c r="C82" s="480"/>
      <c r="D82" s="480"/>
      <c r="E82" s="480"/>
      <c r="F82" s="480"/>
      <c r="G82" s="480"/>
      <c r="H82" s="480"/>
      <c r="I82" s="480"/>
      <c r="J82" s="480"/>
      <c r="K82" s="480"/>
      <c r="L82" s="480"/>
      <c r="M82" s="480"/>
      <c r="N82" s="480"/>
      <c r="O82" s="552">
        <f t="shared" si="23"/>
        <v>0</v>
      </c>
    </row>
    <row r="83" spans="1:22" s="73" customFormat="1" x14ac:dyDescent="0.4">
      <c r="A83" s="83"/>
      <c r="B83" s="72"/>
      <c r="C83" s="480"/>
      <c r="D83" s="480"/>
      <c r="E83" s="480"/>
      <c r="F83" s="480"/>
      <c r="G83" s="480"/>
      <c r="H83" s="480"/>
      <c r="I83" s="480"/>
      <c r="J83" s="480"/>
      <c r="K83" s="480"/>
      <c r="L83" s="480"/>
      <c r="M83" s="480"/>
      <c r="N83" s="480"/>
      <c r="O83" s="552">
        <f t="shared" si="23"/>
        <v>0</v>
      </c>
    </row>
    <row r="84" spans="1:22" s="73" customFormat="1" x14ac:dyDescent="0.4">
      <c r="B84" s="71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616"/>
      <c r="N84" s="617"/>
      <c r="O84" s="549">
        <f>N84</f>
        <v>0</v>
      </c>
      <c r="P84" s="72"/>
      <c r="Q84"/>
      <c r="R84"/>
      <c r="S84"/>
      <c r="T84"/>
      <c r="U84"/>
      <c r="V84"/>
    </row>
    <row r="85" spans="1:22" x14ac:dyDescent="0.4">
      <c r="B85" s="10"/>
      <c r="C85" s="547"/>
      <c r="D85" s="547"/>
      <c r="E85" s="547"/>
      <c r="F85" s="547"/>
      <c r="G85" s="618"/>
      <c r="H85" s="618"/>
      <c r="I85" s="618"/>
      <c r="J85" s="618"/>
      <c r="K85" s="480"/>
      <c r="L85" s="618"/>
      <c r="M85" s="618"/>
      <c r="N85" s="618"/>
      <c r="O85" s="549"/>
    </row>
    <row r="86" spans="1:22" x14ac:dyDescent="0.4">
      <c r="B86" s="120" t="s">
        <v>107</v>
      </c>
      <c r="C86" s="617">
        <f t="shared" ref="C86:O86" si="24">SUM(C62:C85)</f>
        <v>135784.60999999999</v>
      </c>
      <c r="D86" s="617">
        <f t="shared" si="24"/>
        <v>136581</v>
      </c>
      <c r="E86" s="617">
        <f t="shared" si="24"/>
        <v>136531</v>
      </c>
      <c r="F86" s="617">
        <f t="shared" si="24"/>
        <v>139355</v>
      </c>
      <c r="G86" s="617">
        <f t="shared" si="24"/>
        <v>135530</v>
      </c>
      <c r="H86" s="617">
        <f t="shared" si="24"/>
        <v>135530</v>
      </c>
      <c r="I86" s="617">
        <f t="shared" si="24"/>
        <v>133030</v>
      </c>
      <c r="J86" s="617">
        <f t="shared" si="24"/>
        <v>133030</v>
      </c>
      <c r="K86" s="549">
        <f t="shared" si="24"/>
        <v>133030</v>
      </c>
      <c r="L86" s="617">
        <f t="shared" si="24"/>
        <v>133030</v>
      </c>
      <c r="M86" s="617">
        <f t="shared" si="24"/>
        <v>133030</v>
      </c>
      <c r="N86" s="617">
        <f t="shared" si="24"/>
        <v>133030</v>
      </c>
      <c r="O86" s="549">
        <f t="shared" si="24"/>
        <v>1654461.61</v>
      </c>
      <c r="P86"/>
    </row>
    <row r="87" spans="1:22" x14ac:dyDescent="0.4">
      <c r="B87" s="120" t="s">
        <v>108</v>
      </c>
      <c r="C87" s="552">
        <f>C86-C62</f>
        <v>-10126.390000000014</v>
      </c>
      <c r="D87" s="549">
        <f>D86-C86</f>
        <v>796.39000000001397</v>
      </c>
      <c r="E87" s="549">
        <f t="shared" ref="E87:N87" si="25">E86-D86</f>
        <v>-50</v>
      </c>
      <c r="F87" s="549">
        <f t="shared" si="25"/>
        <v>2824</v>
      </c>
      <c r="G87" s="617">
        <f t="shared" si="25"/>
        <v>-3825</v>
      </c>
      <c r="H87" s="617">
        <f t="shared" si="25"/>
        <v>0</v>
      </c>
      <c r="I87" s="617">
        <f t="shared" si="25"/>
        <v>-2500</v>
      </c>
      <c r="J87" s="617">
        <f t="shared" si="25"/>
        <v>0</v>
      </c>
      <c r="K87" s="549">
        <f>K86-J86</f>
        <v>0</v>
      </c>
      <c r="L87" s="549">
        <f t="shared" si="25"/>
        <v>0</v>
      </c>
      <c r="M87" s="549">
        <f t="shared" si="25"/>
        <v>0</v>
      </c>
      <c r="N87" s="617">
        <f t="shared" si="25"/>
        <v>0</v>
      </c>
      <c r="O87" s="552">
        <f>SUM(C87:N87)</f>
        <v>-12881</v>
      </c>
      <c r="P87"/>
    </row>
    <row r="88" spans="1:22" x14ac:dyDescent="0.4">
      <c r="B88" s="120"/>
      <c r="C88" s="588"/>
      <c r="D88" s="588"/>
      <c r="E88" s="588"/>
      <c r="F88" s="588"/>
      <c r="G88" s="588"/>
      <c r="H88" s="588"/>
      <c r="I88" s="588"/>
      <c r="J88" s="588"/>
      <c r="K88" s="584"/>
      <c r="L88" s="588"/>
      <c r="M88" s="588"/>
      <c r="N88" s="588"/>
      <c r="O88" s="588"/>
      <c r="P88"/>
      <c r="Q88" s="3"/>
      <c r="R88" s="3"/>
      <c r="S88" s="3"/>
      <c r="T88" s="3"/>
      <c r="U88" s="3"/>
      <c r="V88" s="3"/>
    </row>
    <row r="89" spans="1:22" s="3" customFormat="1" x14ac:dyDescent="0.4">
      <c r="B89" s="120"/>
      <c r="C89" s="619"/>
      <c r="D89" s="205"/>
      <c r="E89" s="205"/>
      <c r="F89" s="205"/>
      <c r="G89" s="205"/>
      <c r="H89" s="205"/>
      <c r="I89" s="205"/>
      <c r="J89" s="205"/>
      <c r="K89" s="573"/>
      <c r="L89" s="205"/>
      <c r="M89" s="205"/>
      <c r="N89" s="205"/>
      <c r="O89" s="205"/>
      <c r="P89"/>
      <c r="Q89"/>
      <c r="R89"/>
      <c r="S89"/>
      <c r="T89"/>
      <c r="U89"/>
      <c r="V89"/>
    </row>
    <row r="90" spans="1:22" x14ac:dyDescent="0.4">
      <c r="B90" s="120" t="s">
        <v>109</v>
      </c>
      <c r="C90" s="588">
        <f t="shared" ref="C90:O90" si="26">C86-C62</f>
        <v>-10126.390000000014</v>
      </c>
      <c r="D90" s="588">
        <f t="shared" si="26"/>
        <v>-9330</v>
      </c>
      <c r="E90" s="588">
        <f t="shared" si="26"/>
        <v>-9380</v>
      </c>
      <c r="F90" s="588">
        <f t="shared" si="26"/>
        <v>-6556</v>
      </c>
      <c r="G90" s="588">
        <f t="shared" si="26"/>
        <v>-10381</v>
      </c>
      <c r="H90" s="588">
        <f t="shared" si="26"/>
        <v>-10381</v>
      </c>
      <c r="I90" s="588">
        <f t="shared" si="26"/>
        <v>-12881</v>
      </c>
      <c r="J90" s="588">
        <f t="shared" si="26"/>
        <v>-12881</v>
      </c>
      <c r="K90" s="584">
        <f t="shared" si="26"/>
        <v>-12881</v>
      </c>
      <c r="L90" s="588">
        <f t="shared" si="26"/>
        <v>-12881</v>
      </c>
      <c r="M90" s="588">
        <f t="shared" si="26"/>
        <v>-12881</v>
      </c>
      <c r="N90" s="588">
        <f t="shared" si="26"/>
        <v>-12881</v>
      </c>
      <c r="O90" s="588">
        <f t="shared" si="26"/>
        <v>-96470.389999999898</v>
      </c>
    </row>
    <row r="91" spans="1:22" x14ac:dyDescent="0.4">
      <c r="G91" s="3"/>
      <c r="P91"/>
    </row>
    <row r="92" spans="1:22" x14ac:dyDescent="0.4">
      <c r="B92" s="120" t="s">
        <v>110</v>
      </c>
      <c r="C92" s="620"/>
      <c r="D92" s="620"/>
      <c r="E92" s="620">
        <v>138827</v>
      </c>
      <c r="F92" s="588"/>
      <c r="G92" s="620"/>
      <c r="H92" s="620"/>
      <c r="I92" s="620"/>
      <c r="J92" s="620"/>
      <c r="K92" s="573"/>
      <c r="L92" s="620"/>
      <c r="M92" s="620"/>
      <c r="N92" s="588"/>
      <c r="O92" s="588"/>
      <c r="P92"/>
    </row>
    <row r="93" spans="1:22" x14ac:dyDescent="0.4">
      <c r="B93" s="83" t="s">
        <v>111</v>
      </c>
      <c r="C93" s="132"/>
      <c r="D93" s="132"/>
      <c r="E93" s="542">
        <f>E92-E86</f>
        <v>2296</v>
      </c>
      <c r="G93" s="466"/>
      <c r="H93" s="132"/>
      <c r="I93" s="149"/>
      <c r="M93" s="412"/>
      <c r="P93"/>
    </row>
    <row r="94" spans="1:22" x14ac:dyDescent="0.4">
      <c r="B94" s="189"/>
      <c r="C94" s="132"/>
      <c r="D94" s="132"/>
      <c r="E94" s="132"/>
      <c r="F94" s="132"/>
      <c r="G94" s="132"/>
      <c r="H94" s="132"/>
      <c r="K94" s="132"/>
      <c r="L94" s="132"/>
      <c r="M94" s="132"/>
      <c r="N94" s="132"/>
      <c r="P94"/>
    </row>
    <row r="95" spans="1:22" x14ac:dyDescent="0.4">
      <c r="B95" s="83"/>
      <c r="C95" s="205"/>
      <c r="D95" s="205"/>
      <c r="E95" s="205"/>
      <c r="F95" s="205"/>
      <c r="G95" s="205"/>
      <c r="H95" s="205"/>
      <c r="I95" s="205"/>
      <c r="J95" s="205"/>
      <c r="K95" s="573"/>
      <c r="L95" s="205"/>
      <c r="M95" s="205"/>
      <c r="N95" s="205"/>
      <c r="P95"/>
    </row>
    <row r="96" spans="1:22" x14ac:dyDescent="0.4">
      <c r="B96" s="83"/>
      <c r="C96" s="205"/>
      <c r="D96" s="205"/>
      <c r="E96" s="205"/>
      <c r="F96" s="205"/>
      <c r="G96" s="205"/>
      <c r="H96" s="205"/>
      <c r="I96" s="205"/>
      <c r="J96" s="205"/>
      <c r="K96" s="573"/>
      <c r="L96" s="205"/>
      <c r="M96" s="205"/>
      <c r="N96" s="205"/>
      <c r="P96"/>
    </row>
    <row r="97" spans="4:16" x14ac:dyDescent="0.4">
      <c r="E97" s="161" t="s">
        <v>112</v>
      </c>
      <c r="F97" t="s">
        <v>113</v>
      </c>
      <c r="G97" s="3"/>
      <c r="L97" s="205"/>
      <c r="P97"/>
    </row>
    <row r="98" spans="4:16" x14ac:dyDescent="0.4">
      <c r="G98" s="3"/>
      <c r="H98" s="307"/>
      <c r="I98" s="621"/>
      <c r="J98" s="621"/>
      <c r="K98" s="290"/>
      <c r="L98" s="205"/>
      <c r="P98"/>
    </row>
    <row r="99" spans="4:16" x14ac:dyDescent="0.4">
      <c r="G99" s="598"/>
      <c r="P99"/>
    </row>
    <row r="102" spans="4:16" x14ac:dyDescent="0.4">
      <c r="G102" s="151"/>
    </row>
    <row r="103" spans="4:16" x14ac:dyDescent="0.4">
      <c r="D103" s="205"/>
      <c r="E103" s="132"/>
      <c r="F103" s="205"/>
      <c r="G103" s="205"/>
    </row>
    <row r="105" spans="4:16" x14ac:dyDescent="0.4">
      <c r="D105" s="205"/>
      <c r="F105" s="307"/>
    </row>
    <row r="106" spans="4:16" x14ac:dyDescent="0.4">
      <c r="H106" s="161">
        <v>1</v>
      </c>
      <c r="I106" s="161">
        <v>2</v>
      </c>
      <c r="J106" s="161">
        <v>3</v>
      </c>
      <c r="K106" s="291">
        <v>4</v>
      </c>
      <c r="L106" s="161">
        <v>5</v>
      </c>
      <c r="M106" s="161">
        <v>6</v>
      </c>
      <c r="N106" s="161">
        <v>7</v>
      </c>
      <c r="O106" s="161">
        <v>8</v>
      </c>
      <c r="P106" s="161">
        <v>10</v>
      </c>
    </row>
    <row r="107" spans="4:16" x14ac:dyDescent="0.4">
      <c r="F107" s="151"/>
      <c r="G107" s="130">
        <v>2022</v>
      </c>
      <c r="H107" s="130">
        <v>2023</v>
      </c>
      <c r="I107" s="130">
        <v>2024</v>
      </c>
      <c r="J107" s="130">
        <v>2025</v>
      </c>
      <c r="K107" s="292">
        <v>2026</v>
      </c>
      <c r="L107" s="130">
        <v>2027</v>
      </c>
      <c r="M107" s="130">
        <v>2028</v>
      </c>
      <c r="N107" s="130">
        <v>2029</v>
      </c>
      <c r="O107" s="130">
        <v>2030</v>
      </c>
      <c r="P107" s="130">
        <v>2032</v>
      </c>
    </row>
    <row r="109" spans="4:16" x14ac:dyDescent="0.4">
      <c r="F109" t="s">
        <v>114</v>
      </c>
      <c r="G109" s="205"/>
      <c r="H109" s="205">
        <v>185000</v>
      </c>
      <c r="I109" s="205">
        <f>H109+50000</f>
        <v>235000</v>
      </c>
      <c r="J109" s="205">
        <f t="shared" ref="J109:O109" si="27">I109+50000</f>
        <v>285000</v>
      </c>
      <c r="K109" s="573">
        <f>J109+50000</f>
        <v>335000</v>
      </c>
      <c r="L109" s="205">
        <f t="shared" si="27"/>
        <v>385000</v>
      </c>
      <c r="M109" s="205">
        <f t="shared" si="27"/>
        <v>435000</v>
      </c>
      <c r="N109" s="205">
        <f t="shared" si="27"/>
        <v>485000</v>
      </c>
      <c r="O109" s="205">
        <f t="shared" si="27"/>
        <v>535000</v>
      </c>
      <c r="P109" s="205" t="e">
        <f>#REF!+50000</f>
        <v>#REF!</v>
      </c>
    </row>
    <row r="111" spans="4:16" x14ac:dyDescent="0.4">
      <c r="F111" s="83" t="s">
        <v>115</v>
      </c>
      <c r="G111" s="160">
        <f>G109*1.5</f>
        <v>0</v>
      </c>
      <c r="H111" s="160">
        <v>130000</v>
      </c>
      <c r="I111" s="160">
        <v>400000</v>
      </c>
      <c r="J111" s="160">
        <f t="shared" ref="J111:P111" si="28">J109*1.5</f>
        <v>427500</v>
      </c>
      <c r="K111" s="293">
        <f t="shared" si="28"/>
        <v>502500</v>
      </c>
      <c r="L111" s="160">
        <f t="shared" si="28"/>
        <v>577500</v>
      </c>
      <c r="M111" s="160">
        <f t="shared" si="28"/>
        <v>652500</v>
      </c>
      <c r="N111" s="160">
        <f t="shared" si="28"/>
        <v>727500</v>
      </c>
      <c r="O111" s="160">
        <f t="shared" si="28"/>
        <v>802500</v>
      </c>
      <c r="P111" s="160" t="e">
        <f t="shared" si="28"/>
        <v>#REF!</v>
      </c>
    </row>
    <row r="113" spans="6:16" x14ac:dyDescent="0.4">
      <c r="F113" t="s">
        <v>116</v>
      </c>
      <c r="H113" s="205">
        <v>100000</v>
      </c>
      <c r="I113" s="205"/>
      <c r="J113" s="205"/>
      <c r="K113" s="573"/>
      <c r="L113" s="205"/>
      <c r="M113" s="205"/>
      <c r="N113" s="205"/>
      <c r="O113" s="205"/>
      <c r="P113" s="588"/>
    </row>
    <row r="115" spans="6:16" x14ac:dyDescent="0.4">
      <c r="F115" t="s">
        <v>117</v>
      </c>
      <c r="G115" s="132">
        <f>SUM(G109:G114)</f>
        <v>0</v>
      </c>
      <c r="H115" s="132">
        <f t="shared" ref="H115:P115" si="29">SUM(H109:H114)</f>
        <v>415000</v>
      </c>
      <c r="I115" s="132">
        <f t="shared" si="29"/>
        <v>635000</v>
      </c>
      <c r="J115" s="132">
        <f t="shared" si="29"/>
        <v>712500</v>
      </c>
      <c r="K115" s="289">
        <f t="shared" si="29"/>
        <v>837500</v>
      </c>
      <c r="L115" s="132">
        <f t="shared" si="29"/>
        <v>962500</v>
      </c>
      <c r="M115" s="132">
        <f t="shared" si="29"/>
        <v>1087500</v>
      </c>
      <c r="N115" s="132">
        <f t="shared" si="29"/>
        <v>1212500</v>
      </c>
      <c r="O115" s="132">
        <f t="shared" si="29"/>
        <v>1337500</v>
      </c>
      <c r="P115" s="132" t="e">
        <f t="shared" si="29"/>
        <v>#REF!</v>
      </c>
    </row>
    <row r="117" spans="6:16" x14ac:dyDescent="0.4">
      <c r="F117" t="s">
        <v>118</v>
      </c>
      <c r="G117" s="132">
        <f>G115*12</f>
        <v>0</v>
      </c>
      <c r="H117" s="132">
        <f t="shared" ref="H117:P117" si="30">H115*12</f>
        <v>4980000</v>
      </c>
      <c r="I117" s="132">
        <f t="shared" si="30"/>
        <v>7620000</v>
      </c>
      <c r="J117" s="132">
        <f t="shared" si="30"/>
        <v>8550000</v>
      </c>
      <c r="K117" s="289">
        <f t="shared" si="30"/>
        <v>10050000</v>
      </c>
      <c r="L117" s="132">
        <f t="shared" si="30"/>
        <v>11550000</v>
      </c>
      <c r="M117" s="132">
        <f t="shared" si="30"/>
        <v>13050000</v>
      </c>
      <c r="N117" s="132">
        <f t="shared" si="30"/>
        <v>14550000</v>
      </c>
      <c r="O117" s="132">
        <f t="shared" si="30"/>
        <v>16050000</v>
      </c>
      <c r="P117" s="132" t="e">
        <f t="shared" si="30"/>
        <v>#REF!</v>
      </c>
    </row>
    <row r="119" spans="6:16" x14ac:dyDescent="0.4">
      <c r="G119" s="205"/>
      <c r="H119" s="205"/>
      <c r="I119" s="205"/>
      <c r="J119" s="205"/>
      <c r="K119" s="573"/>
      <c r="L119" s="205"/>
      <c r="M119" s="205"/>
      <c r="N119" s="205"/>
      <c r="O119" s="205"/>
      <c r="P119" s="205"/>
    </row>
    <row r="120" spans="6:16" x14ac:dyDescent="0.4">
      <c r="F120" s="166"/>
      <c r="G120" s="132"/>
      <c r="H120" s="132"/>
      <c r="I120" s="132"/>
      <c r="J120" s="132"/>
      <c r="K120" s="289"/>
      <c r="L120" s="132"/>
      <c r="M120" s="132"/>
      <c r="N120" s="132"/>
      <c r="O120" s="132"/>
      <c r="P120" s="132"/>
    </row>
    <row r="121" spans="6:16" x14ac:dyDescent="0.4">
      <c r="F121" s="83"/>
      <c r="G121" s="205"/>
      <c r="H121" s="205"/>
      <c r="I121" s="205"/>
      <c r="J121" s="205"/>
      <c r="K121" s="573"/>
      <c r="L121" s="205"/>
      <c r="M121" s="205"/>
      <c r="N121" s="205"/>
      <c r="O121" s="205"/>
      <c r="P121" s="205"/>
    </row>
    <row r="122" spans="6:16" x14ac:dyDescent="0.4">
      <c r="F122" s="83"/>
      <c r="G122" s="132"/>
      <c r="H122" s="132"/>
      <c r="I122" s="132"/>
      <c r="J122" s="132"/>
      <c r="K122" s="289"/>
      <c r="L122" s="132"/>
      <c r="M122" s="132"/>
      <c r="N122" s="132"/>
      <c r="O122" s="132"/>
      <c r="P122" s="132"/>
    </row>
    <row r="123" spans="6:16" x14ac:dyDescent="0.4">
      <c r="F123" s="83"/>
      <c r="G123" s="132"/>
      <c r="H123" s="132"/>
      <c r="I123" s="132"/>
      <c r="J123" s="132"/>
      <c r="K123" s="289"/>
      <c r="L123" s="132"/>
      <c r="M123" s="132"/>
      <c r="N123" s="132"/>
      <c r="O123" s="132"/>
      <c r="P123" s="132"/>
    </row>
    <row r="158" spans="5:16" x14ac:dyDescent="0.4">
      <c r="E158" s="72"/>
      <c r="J158" s="3"/>
      <c r="K158"/>
      <c r="P158"/>
    </row>
    <row r="159" spans="5:16" x14ac:dyDescent="0.4">
      <c r="E159" s="72"/>
      <c r="J159" s="3"/>
      <c r="K159"/>
      <c r="P159"/>
    </row>
    <row r="160" spans="5:16" x14ac:dyDescent="0.4">
      <c r="E160" s="72"/>
      <c r="J160" s="3"/>
      <c r="K160"/>
      <c r="P160"/>
    </row>
    <row r="161" spans="5:16" x14ac:dyDescent="0.4">
      <c r="E161" s="72"/>
      <c r="J161" s="3"/>
      <c r="K161"/>
      <c r="P161"/>
    </row>
    <row r="162" spans="5:16" x14ac:dyDescent="0.4">
      <c r="E162" s="72"/>
      <c r="J162" s="3"/>
      <c r="K162"/>
      <c r="P162"/>
    </row>
    <row r="163" spans="5:16" x14ac:dyDescent="0.4">
      <c r="E163" s="72"/>
      <c r="J163" s="3"/>
      <c r="K163"/>
      <c r="P163"/>
    </row>
    <row r="164" spans="5:16" x14ac:dyDescent="0.4">
      <c r="E164" s="72"/>
      <c r="J164" s="3"/>
      <c r="K164"/>
      <c r="P164"/>
    </row>
    <row r="165" spans="5:16" x14ac:dyDescent="0.4">
      <c r="E165" s="72"/>
      <c r="J165" s="3"/>
      <c r="K165"/>
      <c r="P165"/>
    </row>
    <row r="166" spans="5:16" x14ac:dyDescent="0.4">
      <c r="E166" s="72"/>
      <c r="J166" s="3"/>
      <c r="K166"/>
      <c r="P166"/>
    </row>
    <row r="167" spans="5:16" x14ac:dyDescent="0.4">
      <c r="E167" s="72"/>
      <c r="J167" s="3"/>
      <c r="K167"/>
      <c r="P167"/>
    </row>
    <row r="168" spans="5:16" x14ac:dyDescent="0.4">
      <c r="E168" s="72"/>
      <c r="J168" s="3"/>
      <c r="K168"/>
      <c r="P168"/>
    </row>
    <row r="169" spans="5:16" x14ac:dyDescent="0.4">
      <c r="E169" s="72"/>
      <c r="J169" s="3"/>
      <c r="K169"/>
      <c r="P169"/>
    </row>
    <row r="170" spans="5:16" x14ac:dyDescent="0.4">
      <c r="E170" s="72"/>
      <c r="J170" s="3"/>
      <c r="K170"/>
      <c r="P170"/>
    </row>
    <row r="171" spans="5:16" x14ac:dyDescent="0.4">
      <c r="E171" s="72"/>
      <c r="J171" s="3"/>
      <c r="K171"/>
      <c r="P171"/>
    </row>
    <row r="172" spans="5:16" x14ac:dyDescent="0.4">
      <c r="E172" s="72"/>
      <c r="J172" s="3"/>
      <c r="K172"/>
      <c r="P172"/>
    </row>
    <row r="173" spans="5:16" x14ac:dyDescent="0.4">
      <c r="E173" s="72"/>
      <c r="J173" s="3"/>
      <c r="K173"/>
      <c r="P173"/>
    </row>
    <row r="174" spans="5:16" x14ac:dyDescent="0.4">
      <c r="E174" s="72"/>
      <c r="J174" s="3"/>
      <c r="K174"/>
      <c r="P174"/>
    </row>
  </sheetData>
  <mergeCells count="5">
    <mergeCell ref="G1:I1"/>
    <mergeCell ref="A2:B2"/>
    <mergeCell ref="A10:A12"/>
    <mergeCell ref="A14:A17"/>
    <mergeCell ref="A19:A21"/>
  </mergeCells>
  <conditionalFormatting sqref="C22:O22 C28:O28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4681-2E6C-477D-83E6-22C323A08469}">
  <dimension ref="A1:Q37"/>
  <sheetViews>
    <sheetView zoomScale="90" zoomScaleNormal="90" workbookViewId="0">
      <selection activeCell="R23" sqref="R23"/>
    </sheetView>
  </sheetViews>
  <sheetFormatPr defaultRowHeight="14.6" x14ac:dyDescent="0.4"/>
  <cols>
    <col min="5" max="5" width="36.3828125" customWidth="1"/>
    <col min="6" max="6" width="16.3828125" style="488" customWidth="1"/>
    <col min="7" max="7" width="3.53515625" customWidth="1"/>
    <col min="8" max="8" width="13.3046875" customWidth="1"/>
    <col min="9" max="9" width="12.3828125" customWidth="1"/>
  </cols>
  <sheetData>
    <row r="1" spans="1:17" x14ac:dyDescent="0.4">
      <c r="A1" s="655"/>
      <c r="B1" s="655"/>
      <c r="C1" s="655"/>
      <c r="D1" s="655"/>
      <c r="E1" s="656" t="s">
        <v>119</v>
      </c>
      <c r="F1" s="657">
        <v>2026</v>
      </c>
      <c r="G1" s="655"/>
      <c r="H1" s="655"/>
      <c r="I1" s="655"/>
      <c r="J1" s="655"/>
      <c r="K1" s="655"/>
      <c r="L1" s="655"/>
      <c r="M1" s="655"/>
      <c r="N1" s="655"/>
    </row>
    <row r="3" spans="1:17" x14ac:dyDescent="0.4">
      <c r="E3" s="655" t="s">
        <v>66</v>
      </c>
      <c r="F3" s="657">
        <f>'2026'!F3</f>
        <v>204317</v>
      </c>
      <c r="I3" s="542">
        <f>F3</f>
        <v>204317</v>
      </c>
      <c r="Q3">
        <v>1073</v>
      </c>
    </row>
    <row r="4" spans="1:17" x14ac:dyDescent="0.4">
      <c r="E4" s="655" t="s">
        <v>120</v>
      </c>
      <c r="F4" s="657">
        <f>'2026'!F39</f>
        <v>46377</v>
      </c>
      <c r="Q4">
        <v>5500</v>
      </c>
    </row>
    <row r="5" spans="1:17" x14ac:dyDescent="0.4">
      <c r="E5" s="120" t="s">
        <v>121</v>
      </c>
      <c r="F5" s="487">
        <f>F3-F4</f>
        <v>157940</v>
      </c>
      <c r="Q5">
        <v>4000</v>
      </c>
    </row>
    <row r="6" spans="1:17" x14ac:dyDescent="0.4">
      <c r="Q6">
        <v>4000</v>
      </c>
    </row>
    <row r="7" spans="1:17" x14ac:dyDescent="0.4">
      <c r="E7" s="658" t="s">
        <v>122</v>
      </c>
      <c r="F7" s="659">
        <f>'2026'!F42</f>
        <v>101526</v>
      </c>
      <c r="I7" s="542">
        <f>F7</f>
        <v>101526</v>
      </c>
    </row>
    <row r="8" spans="1:17" x14ac:dyDescent="0.4">
      <c r="E8" s="658" t="s">
        <v>123</v>
      </c>
      <c r="F8" s="659">
        <f>'2026'!F43</f>
        <v>67479</v>
      </c>
    </row>
    <row r="9" spans="1:17" x14ac:dyDescent="0.4">
      <c r="E9" s="120" t="s">
        <v>121</v>
      </c>
      <c r="F9" s="487">
        <f>F7-F8</f>
        <v>34047</v>
      </c>
    </row>
    <row r="10" spans="1:17" ht="7.5" customHeight="1" x14ac:dyDescent="0.4"/>
    <row r="11" spans="1:17" x14ac:dyDescent="0.4">
      <c r="E11" s="83" t="s">
        <v>124</v>
      </c>
      <c r="F11" s="488">
        <f>F5+F9</f>
        <v>191987</v>
      </c>
      <c r="I11" s="542"/>
    </row>
    <row r="13" spans="1:17" x14ac:dyDescent="0.4">
      <c r="E13" s="83" t="s">
        <v>125</v>
      </c>
      <c r="F13" s="488">
        <v>205000</v>
      </c>
      <c r="K13" t="s">
        <v>126</v>
      </c>
      <c r="O13" t="s">
        <v>127</v>
      </c>
      <c r="Q13" t="s">
        <v>128</v>
      </c>
    </row>
    <row r="14" spans="1:17" x14ac:dyDescent="0.4">
      <c r="E14" s="83"/>
    </row>
    <row r="15" spans="1:17" s="652" customFormat="1" x14ac:dyDescent="0.4">
      <c r="E15" s="653" t="s">
        <v>129</v>
      </c>
      <c r="F15" s="654">
        <f>(12500+4000)/3</f>
        <v>5500</v>
      </c>
      <c r="I15" s="652" t="s">
        <v>130</v>
      </c>
      <c r="L15" s="652" t="s">
        <v>131</v>
      </c>
    </row>
    <row r="17" spans="5:10" ht="15" thickBot="1" x14ac:dyDescent="0.45">
      <c r="E17" s="83" t="s">
        <v>132</v>
      </c>
      <c r="F17" s="650">
        <f>F11-F13+F15</f>
        <v>-7513</v>
      </c>
      <c r="I17" t="s">
        <v>133</v>
      </c>
    </row>
    <row r="18" spans="5:10" ht="15" thickTop="1" x14ac:dyDescent="0.4"/>
    <row r="19" spans="5:10" x14ac:dyDescent="0.4">
      <c r="E19" s="83" t="s">
        <v>134</v>
      </c>
      <c r="F19" s="660">
        <v>20000</v>
      </c>
    </row>
    <row r="21" spans="5:10" ht="15" thickBot="1" x14ac:dyDescent="0.45">
      <c r="E21" s="155" t="s">
        <v>135</v>
      </c>
      <c r="F21" s="651">
        <f>F17-F19</f>
        <v>-27513</v>
      </c>
      <c r="G21" s="72"/>
      <c r="H21" s="72"/>
      <c r="I21" s="72" t="s">
        <v>133</v>
      </c>
      <c r="J21" s="72"/>
    </row>
    <row r="22" spans="5:10" ht="15" thickTop="1" x14ac:dyDescent="0.4"/>
    <row r="24" spans="5:10" x14ac:dyDescent="0.4">
      <c r="E24" s="391" t="s">
        <v>136</v>
      </c>
      <c r="F24" s="661">
        <v>40000</v>
      </c>
      <c r="I24" t="s">
        <v>137</v>
      </c>
    </row>
    <row r="25" spans="5:10" x14ac:dyDescent="0.4">
      <c r="E25" s="391" t="s">
        <v>138</v>
      </c>
      <c r="F25" s="662">
        <f>'2026'!F45</f>
        <v>0.3353525205366113</v>
      </c>
      <c r="I25" t="s">
        <v>139</v>
      </c>
    </row>
    <row r="26" spans="5:10" x14ac:dyDescent="0.4">
      <c r="E26" s="391" t="s">
        <v>140</v>
      </c>
      <c r="F26" s="661">
        <f>F24*F25</f>
        <v>13414.100821464452</v>
      </c>
    </row>
    <row r="28" spans="5:10" x14ac:dyDescent="0.4">
      <c r="E28" s="83" t="s">
        <v>132</v>
      </c>
      <c r="F28" s="488">
        <f>F17+F26</f>
        <v>5901.1008214644517</v>
      </c>
      <c r="I28" s="663">
        <f>F28/I32</f>
        <v>1.9294542694992044E-2</v>
      </c>
    </row>
    <row r="29" spans="5:10" ht="15" thickBot="1" x14ac:dyDescent="0.45">
      <c r="E29" s="83" t="s">
        <v>141</v>
      </c>
      <c r="F29" s="650">
        <f>F21+F26</f>
        <v>-14098.899178535548</v>
      </c>
    </row>
    <row r="30" spans="5:10" ht="15" thickTop="1" x14ac:dyDescent="0.4"/>
    <row r="32" spans="5:10" x14ac:dyDescent="0.4">
      <c r="I32" s="542">
        <f>I3+I7</f>
        <v>305843</v>
      </c>
      <c r="J32" t="s">
        <v>142</v>
      </c>
    </row>
    <row r="33" spans="9:10" x14ac:dyDescent="0.4">
      <c r="I33" s="542">
        <f>I32*0.18</f>
        <v>55051.74</v>
      </c>
      <c r="J33" s="166">
        <v>0.18</v>
      </c>
    </row>
    <row r="34" spans="9:10" x14ac:dyDescent="0.4">
      <c r="I34" s="542">
        <f>F28</f>
        <v>5901.1008214644517</v>
      </c>
      <c r="J34" s="477">
        <f>I34/I32</f>
        <v>1.9294542694992044E-2</v>
      </c>
    </row>
    <row r="35" spans="9:10" x14ac:dyDescent="0.4">
      <c r="I35" s="542"/>
    </row>
    <row r="36" spans="9:10" x14ac:dyDescent="0.4">
      <c r="I36" s="542">
        <f>I32+F24</f>
        <v>345843</v>
      </c>
      <c r="J36" t="s">
        <v>143</v>
      </c>
    </row>
    <row r="37" spans="9:10" x14ac:dyDescent="0.4">
      <c r="I37" s="542">
        <f>I36*J37</f>
        <v>62251.74</v>
      </c>
      <c r="J37" s="166">
        <v>0.18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tabSelected="1" zoomScale="90" zoomScaleNormal="9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F47" sqref="F47"/>
    </sheetView>
  </sheetViews>
  <sheetFormatPr defaultRowHeight="14.6" x14ac:dyDescent="0.4"/>
  <cols>
    <col min="1" max="1" width="36.53515625" customWidth="1"/>
    <col min="2" max="2" width="40.3828125" customWidth="1"/>
    <col min="3" max="3" width="11.15234375" customWidth="1"/>
    <col min="4" max="4" width="12.3828125" customWidth="1"/>
    <col min="5" max="5" width="12.53515625" customWidth="1"/>
    <col min="6" max="6" width="14.84375" customWidth="1"/>
    <col min="7" max="7" width="19.15234375" customWidth="1"/>
    <col min="8" max="8" width="15" bestFit="1" customWidth="1"/>
    <col min="9" max="9" width="12.53515625" bestFit="1" customWidth="1"/>
    <col min="10" max="10" width="12.53515625" customWidth="1"/>
    <col min="11" max="11" width="12.53515625" style="72" customWidth="1"/>
    <col min="12" max="13" width="12.53515625" customWidth="1"/>
    <col min="14" max="14" width="12.69140625" customWidth="1"/>
    <col min="15" max="15" width="15.53515625" customWidth="1"/>
    <col min="16" max="16" width="13.3046875" style="3" bestFit="1" customWidth="1"/>
    <col min="17" max="17" width="13.3828125" bestFit="1" customWidth="1"/>
    <col min="18" max="18" width="13.3046875" bestFit="1" customWidth="1"/>
    <col min="19" max="19" width="14.53515625" customWidth="1"/>
    <col min="20" max="20" width="12.84375" bestFit="1" customWidth="1"/>
    <col min="21" max="21" width="12.15234375" bestFit="1" customWidth="1"/>
    <col min="22" max="25" width="11" bestFit="1" customWidth="1"/>
  </cols>
  <sheetData>
    <row r="1" spans="1:22" ht="23.6" thickBot="1" x14ac:dyDescent="0.65">
      <c r="A1" s="83"/>
      <c r="B1" s="312"/>
      <c r="E1" s="158"/>
      <c r="F1" s="551"/>
      <c r="G1" s="664">
        <v>2026</v>
      </c>
      <c r="H1" s="664"/>
      <c r="I1" s="664"/>
      <c r="K1" s="131"/>
      <c r="L1" s="307"/>
    </row>
    <row r="2" spans="1:22" ht="15" thickBot="1" x14ac:dyDescent="0.45">
      <c r="A2" s="665" t="s">
        <v>0</v>
      </c>
      <c r="B2" s="665"/>
      <c r="C2" s="504" t="s">
        <v>1</v>
      </c>
      <c r="D2" s="504" t="s">
        <v>2</v>
      </c>
      <c r="E2" s="504" t="s">
        <v>3</v>
      </c>
      <c r="F2" s="504" t="s">
        <v>4</v>
      </c>
      <c r="G2" s="504" t="s">
        <v>5</v>
      </c>
      <c r="H2" s="504" t="s">
        <v>6</v>
      </c>
      <c r="I2" s="504" t="s">
        <v>7</v>
      </c>
      <c r="J2" s="504" t="s">
        <v>8</v>
      </c>
      <c r="K2" s="504" t="s">
        <v>9</v>
      </c>
      <c r="L2" s="504" t="s">
        <v>10</v>
      </c>
      <c r="M2" s="504" t="s">
        <v>11</v>
      </c>
      <c r="N2" s="504" t="s">
        <v>12</v>
      </c>
      <c r="O2" s="504" t="s">
        <v>13</v>
      </c>
    </row>
    <row r="3" spans="1:22" ht="15.75" customHeight="1" thickBot="1" x14ac:dyDescent="0.45">
      <c r="A3" s="505" t="s">
        <v>14</v>
      </c>
      <c r="B3" s="224" t="s">
        <v>15</v>
      </c>
      <c r="C3" s="536">
        <v>294517</v>
      </c>
      <c r="D3" s="225">
        <v>287630</v>
      </c>
      <c r="E3" s="548">
        <v>296845</v>
      </c>
      <c r="F3" s="313">
        <v>204317</v>
      </c>
      <c r="G3" s="225"/>
      <c r="H3" s="225"/>
      <c r="I3" s="225"/>
      <c r="J3" s="225"/>
      <c r="K3" s="225"/>
      <c r="L3" s="225"/>
      <c r="M3" s="225"/>
      <c r="N3" s="313"/>
      <c r="O3" s="136">
        <f>SUM(C3:N3)</f>
        <v>1083309</v>
      </c>
      <c r="Q3" s="255" t="s">
        <v>16</v>
      </c>
      <c r="S3" s="296"/>
      <c r="T3" s="296"/>
      <c r="U3" s="296"/>
      <c r="V3" s="296"/>
    </row>
    <row r="4" spans="1:22" ht="15" customHeight="1" x14ac:dyDescent="0.4">
      <c r="A4" s="506"/>
      <c r="B4" s="77" t="s">
        <v>17</v>
      </c>
      <c r="C4" s="69"/>
      <c r="D4" s="131"/>
      <c r="E4" s="131"/>
      <c r="F4" s="341"/>
      <c r="G4" s="131"/>
      <c r="H4" s="76"/>
      <c r="I4" s="131"/>
      <c r="J4" s="131"/>
      <c r="K4" s="131"/>
      <c r="L4" s="491"/>
      <c r="M4" s="414"/>
      <c r="N4" s="131"/>
      <c r="O4" s="136">
        <f>SUM(C4:N4)</f>
        <v>0</v>
      </c>
      <c r="Q4" s="256" t="s">
        <v>18</v>
      </c>
      <c r="S4" s="296"/>
      <c r="T4" s="296"/>
      <c r="U4" s="296"/>
      <c r="V4" s="296"/>
    </row>
    <row r="5" spans="1:22" ht="15" customHeight="1" x14ac:dyDescent="0.4">
      <c r="A5" s="506"/>
      <c r="B5" s="77" t="s">
        <v>19</v>
      </c>
      <c r="C5" s="69"/>
      <c r="D5" s="69"/>
      <c r="E5" s="69"/>
      <c r="F5" s="539"/>
      <c r="G5" s="69"/>
      <c r="H5" s="79"/>
      <c r="I5" s="69"/>
      <c r="J5" s="69"/>
      <c r="K5" s="69"/>
      <c r="L5" s="492"/>
      <c r="M5" s="306"/>
      <c r="N5" s="133"/>
      <c r="O5" s="137">
        <f>SUM(C5:N5)</f>
        <v>0</v>
      </c>
      <c r="Q5" s="255" t="s">
        <v>20</v>
      </c>
      <c r="S5" s="296"/>
      <c r="T5" s="296"/>
      <c r="U5" s="296"/>
      <c r="V5" s="296"/>
    </row>
    <row r="6" spans="1:22" ht="15" customHeight="1" x14ac:dyDescent="0.4">
      <c r="A6" s="506"/>
      <c r="B6" s="77" t="s">
        <v>21</v>
      </c>
      <c r="C6" s="69"/>
      <c r="D6" s="69"/>
      <c r="E6" s="69"/>
      <c r="F6" s="539"/>
      <c r="G6" s="69"/>
      <c r="H6" s="79"/>
      <c r="I6" s="69"/>
      <c r="J6" s="69"/>
      <c r="K6" s="69"/>
      <c r="L6" s="492"/>
      <c r="M6" s="306"/>
      <c r="N6" s="79"/>
      <c r="O6" s="138">
        <f>SUM(F6:N6)</f>
        <v>0</v>
      </c>
      <c r="P6" s="58"/>
      <c r="Q6" s="255" t="s">
        <v>22</v>
      </c>
      <c r="S6" s="296"/>
      <c r="T6" s="296"/>
      <c r="U6" s="296"/>
      <c r="V6" s="296"/>
    </row>
    <row r="7" spans="1:22" ht="15.75" customHeight="1" thickBot="1" x14ac:dyDescent="0.45">
      <c r="A7" s="507"/>
      <c r="B7" s="80" t="s">
        <v>23</v>
      </c>
      <c r="C7" s="69"/>
      <c r="D7" s="167"/>
      <c r="E7" s="167"/>
      <c r="F7" s="540"/>
      <c r="G7" s="167"/>
      <c r="H7" s="88"/>
      <c r="I7" s="88"/>
      <c r="J7" s="167"/>
      <c r="K7" s="167"/>
      <c r="L7" s="493"/>
      <c r="M7" s="415"/>
      <c r="N7" s="121"/>
      <c r="O7" s="139">
        <f>SUM(C7:N7)</f>
        <v>0</v>
      </c>
      <c r="Q7" s="255" t="s">
        <v>24</v>
      </c>
      <c r="S7" s="296"/>
      <c r="T7" s="296"/>
      <c r="U7" s="296"/>
      <c r="V7" s="296"/>
    </row>
    <row r="8" spans="1:22" ht="15.75" customHeight="1" thickBot="1" x14ac:dyDescent="0.45">
      <c r="A8" s="508"/>
      <c r="B8" s="367" t="s">
        <v>25</v>
      </c>
      <c r="C8" s="69"/>
      <c r="D8" s="89"/>
      <c r="E8" s="89"/>
      <c r="F8" s="346"/>
      <c r="G8" s="89"/>
      <c r="H8" s="82"/>
      <c r="I8" s="89"/>
      <c r="J8" s="89"/>
      <c r="K8" s="89"/>
      <c r="L8" s="494"/>
      <c r="M8" s="416"/>
      <c r="N8" s="75"/>
      <c r="O8" s="140">
        <f>SUM(C8:N8)</f>
        <v>0</v>
      </c>
      <c r="Q8" s="254"/>
      <c r="S8" s="296"/>
      <c r="T8" s="296"/>
      <c r="U8" s="296"/>
      <c r="V8" s="296"/>
    </row>
    <row r="9" spans="1:22" ht="14.5" customHeight="1" thickBot="1" x14ac:dyDescent="0.45">
      <c r="A9" s="106"/>
      <c r="B9" s="107"/>
      <c r="C9" s="108"/>
      <c r="D9" s="109"/>
      <c r="E9" s="144"/>
      <c r="F9" s="144"/>
      <c r="G9" s="109"/>
      <c r="H9" s="194"/>
      <c r="I9" s="194"/>
      <c r="J9" s="194"/>
      <c r="K9" s="108"/>
      <c r="L9" s="113"/>
      <c r="M9" s="113"/>
      <c r="N9" s="108"/>
      <c r="O9" s="135"/>
      <c r="Q9" s="151"/>
      <c r="S9" s="151"/>
      <c r="T9" s="254"/>
      <c r="U9" s="296"/>
    </row>
    <row r="10" spans="1:22" ht="14.5" customHeight="1" thickBot="1" x14ac:dyDescent="0.45">
      <c r="A10" s="667" t="s">
        <v>26</v>
      </c>
      <c r="B10" s="509" t="s">
        <v>27</v>
      </c>
      <c r="C10" s="510">
        <v>106724</v>
      </c>
      <c r="D10" s="511">
        <v>147864</v>
      </c>
      <c r="E10" s="512">
        <v>126944</v>
      </c>
      <c r="F10" s="510">
        <v>101029</v>
      </c>
      <c r="G10" s="510"/>
      <c r="H10" s="510"/>
      <c r="I10" s="510"/>
      <c r="J10" s="510"/>
      <c r="K10" s="510"/>
      <c r="L10" s="510"/>
      <c r="M10" s="510"/>
      <c r="N10" s="513"/>
      <c r="O10" s="514">
        <f>SUM(C10:N10)</f>
        <v>482561</v>
      </c>
      <c r="P10" s="38"/>
      <c r="Q10" s="158"/>
      <c r="U10" s="254"/>
    </row>
    <row r="11" spans="1:22" s="73" customFormat="1" ht="15" thickBot="1" x14ac:dyDescent="0.45">
      <c r="A11" s="667"/>
      <c r="B11" s="502" t="s">
        <v>28</v>
      </c>
      <c r="C11" s="69">
        <v>1642</v>
      </c>
      <c r="D11" s="69">
        <v>2385</v>
      </c>
      <c r="E11" s="69">
        <v>5357</v>
      </c>
      <c r="F11" s="338">
        <v>1295</v>
      </c>
      <c r="G11" s="69"/>
      <c r="H11" s="69"/>
      <c r="I11" s="79"/>
      <c r="J11" s="69"/>
      <c r="K11" s="69"/>
      <c r="L11" s="534"/>
      <c r="M11" s="534"/>
      <c r="N11" s="5"/>
      <c r="O11" s="500">
        <f>SUM(C11:N11)</f>
        <v>10679</v>
      </c>
      <c r="P11" s="38"/>
      <c r="Q11" s="297"/>
      <c r="S11" s="257"/>
      <c r="T11" s="298"/>
      <c r="U11" s="297"/>
    </row>
    <row r="12" spans="1:22" s="73" customFormat="1" ht="15" thickBot="1" x14ac:dyDescent="0.45">
      <c r="A12" s="667"/>
      <c r="B12" s="503" t="s">
        <v>29</v>
      </c>
      <c r="C12" s="535">
        <v>-630</v>
      </c>
      <c r="D12" s="535">
        <v>-17761</v>
      </c>
      <c r="E12" s="535">
        <v>-12220</v>
      </c>
      <c r="F12" s="541">
        <v>-5118</v>
      </c>
      <c r="G12" s="535"/>
      <c r="H12" s="535"/>
      <c r="I12" s="535"/>
      <c r="J12" s="535"/>
      <c r="K12" s="69"/>
      <c r="L12" s="182"/>
      <c r="M12" s="182"/>
      <c r="N12" s="535"/>
      <c r="O12" s="501">
        <f>SUM(C12:N12)</f>
        <v>-35729</v>
      </c>
      <c r="P12" s="74"/>
      <c r="S12" s="159"/>
      <c r="U12" s="159"/>
    </row>
    <row r="13" spans="1:22" s="73" customFormat="1" ht="14.5" customHeight="1" thickBot="1" x14ac:dyDescent="0.45">
      <c r="A13" s="111"/>
      <c r="B13" s="112"/>
      <c r="C13" s="108"/>
      <c r="D13" s="108"/>
      <c r="E13" s="113">
        <v>5212</v>
      </c>
      <c r="F13" s="113"/>
      <c r="G13" s="108"/>
      <c r="H13" s="108"/>
      <c r="I13" s="113"/>
      <c r="J13" s="108"/>
      <c r="K13" s="108"/>
      <c r="L13" s="114"/>
      <c r="M13" s="114"/>
      <c r="N13" s="114"/>
      <c r="O13" s="114"/>
      <c r="P13" s="496"/>
      <c r="Q13" s="421"/>
      <c r="R13" s="127"/>
      <c r="S13" s="159"/>
      <c r="U13" s="159"/>
    </row>
    <row r="14" spans="1:22" ht="14.5" customHeight="1" thickBot="1" x14ac:dyDescent="0.45">
      <c r="A14" s="667" t="s">
        <v>30</v>
      </c>
      <c r="B14" s="193" t="s">
        <v>31</v>
      </c>
      <c r="C14" s="142"/>
      <c r="D14" s="142"/>
      <c r="E14" s="353"/>
      <c r="F14" s="142"/>
      <c r="G14" s="142">
        <f>10250+1800</f>
        <v>12050</v>
      </c>
      <c r="H14" s="142">
        <f>1125</f>
        <v>1125</v>
      </c>
      <c r="I14" s="142">
        <v>3600</v>
      </c>
      <c r="J14" s="142"/>
      <c r="K14" s="142"/>
      <c r="L14" s="142"/>
      <c r="M14" s="142"/>
      <c r="N14" s="142"/>
      <c r="O14" s="142">
        <f>SUM(C14:N14)</f>
        <v>16775</v>
      </c>
      <c r="P14" s="533"/>
      <c r="Q14" s="155"/>
      <c r="R14" s="127"/>
      <c r="S14" s="31"/>
      <c r="T14" s="132">
        <f>R20-R21-R22</f>
        <v>66787</v>
      </c>
    </row>
    <row r="15" spans="1:22" ht="14.5" customHeight="1" thickBot="1" x14ac:dyDescent="0.45">
      <c r="A15" s="667"/>
      <c r="B15" s="515" t="s">
        <v>32</v>
      </c>
      <c r="C15" s="516"/>
      <c r="D15" s="516"/>
      <c r="E15" s="517"/>
      <c r="F15" s="517"/>
      <c r="G15" s="518"/>
      <c r="H15" s="518"/>
      <c r="I15" s="517"/>
      <c r="J15" s="518"/>
      <c r="K15" s="518"/>
      <c r="L15" s="517"/>
      <c r="M15" s="517"/>
      <c r="N15" s="517"/>
      <c r="O15" s="141">
        <f>SUM(C15:N15)</f>
        <v>0</v>
      </c>
      <c r="P15" s="38"/>
      <c r="R15" s="151"/>
      <c r="S15" s="159"/>
    </row>
    <row r="16" spans="1:22" ht="15" customHeight="1" thickBot="1" x14ac:dyDescent="0.45">
      <c r="A16" s="667"/>
      <c r="B16" s="519" t="s">
        <v>33</v>
      </c>
      <c r="C16" s="518"/>
      <c r="D16" s="518"/>
      <c r="E16" s="518"/>
      <c r="F16" s="518"/>
      <c r="G16" s="518"/>
      <c r="H16" s="518"/>
      <c r="I16" s="518"/>
      <c r="J16" s="518"/>
      <c r="K16" s="518"/>
      <c r="L16" s="517"/>
      <c r="M16" s="517"/>
      <c r="N16" s="518"/>
      <c r="O16" s="230"/>
      <c r="Q16" s="151"/>
    </row>
    <row r="17" spans="1:21" ht="15" thickBot="1" x14ac:dyDescent="0.45">
      <c r="A17" s="667"/>
      <c r="B17" s="520" t="s">
        <v>34</v>
      </c>
      <c r="C17" s="521"/>
      <c r="D17" s="521"/>
      <c r="E17" s="521"/>
      <c r="F17" s="522"/>
      <c r="G17" s="522"/>
      <c r="H17" s="522"/>
      <c r="I17" s="522"/>
      <c r="J17" s="522"/>
      <c r="K17" s="522"/>
      <c r="L17" s="523"/>
      <c r="M17" s="523"/>
      <c r="N17" s="522"/>
      <c r="O17" s="231"/>
    </row>
    <row r="18" spans="1:21" ht="32.25" customHeight="1" thickBot="1" x14ac:dyDescent="0.45">
      <c r="A18" s="115"/>
      <c r="B18" s="475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4"/>
      <c r="N18" s="473"/>
      <c r="O18" s="473"/>
    </row>
    <row r="19" spans="1:21" s="72" customFormat="1" ht="26.25" customHeight="1" thickBot="1" x14ac:dyDescent="0.45">
      <c r="A19" s="666" t="s">
        <v>35</v>
      </c>
      <c r="B19" s="102" t="s">
        <v>36</v>
      </c>
      <c r="C19" s="101">
        <f>C3+C10+C11+C12</f>
        <v>402253</v>
      </c>
      <c r="D19" s="101">
        <f t="shared" ref="D19:M19" si="0">D3+D10+D11+D12</f>
        <v>420118</v>
      </c>
      <c r="E19" s="101">
        <f t="shared" si="0"/>
        <v>416926</v>
      </c>
      <c r="F19" s="101">
        <f t="shared" si="0"/>
        <v>301523</v>
      </c>
      <c r="G19" s="101">
        <f t="shared" si="0"/>
        <v>0</v>
      </c>
      <c r="H19" s="101">
        <f t="shared" si="0"/>
        <v>0</v>
      </c>
      <c r="I19" s="101">
        <f t="shared" si="0"/>
        <v>0</v>
      </c>
      <c r="J19" s="101">
        <f t="shared" si="0"/>
        <v>0</v>
      </c>
      <c r="K19" s="101">
        <f t="shared" si="0"/>
        <v>0</v>
      </c>
      <c r="L19" s="101">
        <f t="shared" si="0"/>
        <v>0</v>
      </c>
      <c r="M19" s="101">
        <f t="shared" si="0"/>
        <v>0</v>
      </c>
      <c r="N19" s="101">
        <f>N3+N6+N10+N11+N12</f>
        <v>0</v>
      </c>
      <c r="O19" s="217">
        <f>SUM(C19:N19)</f>
        <v>1540820</v>
      </c>
      <c r="P19" s="3"/>
      <c r="R19" s="393" t="s">
        <v>37</v>
      </c>
      <c r="S19" s="387" t="s">
        <v>38</v>
      </c>
      <c r="T19" s="387"/>
    </row>
    <row r="20" spans="1:21" s="72" customFormat="1" ht="15" thickBot="1" x14ac:dyDescent="0.45">
      <c r="A20" s="666"/>
      <c r="B20" s="524" t="s">
        <v>39</v>
      </c>
      <c r="C20" s="516">
        <f>C3+C5+C6+C10+C11+C16+C12</f>
        <v>402253</v>
      </c>
      <c r="D20" s="516">
        <f>D3+D5+D6+D10+D11+D16+D12</f>
        <v>420118</v>
      </c>
      <c r="E20" s="516">
        <f>E3+E5+E6+E10+E11+E16+E12+E14</f>
        <v>416926</v>
      </c>
      <c r="F20" s="516">
        <f>F19+F16</f>
        <v>301523</v>
      </c>
      <c r="G20" s="516">
        <f>G3+G5+G6+G10+G11+G16+G12+G14</f>
        <v>12050</v>
      </c>
      <c r="H20" s="516">
        <f>H3+H5+H6+H10+H11+H16+H12+H14</f>
        <v>1125</v>
      </c>
      <c r="I20" s="516">
        <f>I3+I5+I6+I10+I11+I16+I12+I14</f>
        <v>3600</v>
      </c>
      <c r="J20" s="516">
        <f>J3+J5+J6+J10+J11+J16+J12+J14</f>
        <v>0</v>
      </c>
      <c r="K20" s="516">
        <f>K3+K5+K6+K7+K8+K10+K11+K12+K14+K16</f>
        <v>0</v>
      </c>
      <c r="L20" s="516">
        <f>L3+L5+L6+L7+L8+L10+L11+L12+L14+L16</f>
        <v>0</v>
      </c>
      <c r="M20" s="516">
        <f>M3+M5+M6+M7+M8+M10+M11+M12+M14+M16</f>
        <v>0</v>
      </c>
      <c r="N20" s="516">
        <f>N3+N5+N6+N7+N8+N10+N11+N12+N14+N16</f>
        <v>0</v>
      </c>
      <c r="O20" s="232"/>
      <c r="P20" s="71"/>
      <c r="R20" s="388">
        <v>310492</v>
      </c>
      <c r="S20" s="389" t="s">
        <v>40</v>
      </c>
      <c r="T20" s="387"/>
    </row>
    <row r="21" spans="1:21" ht="15" thickBot="1" x14ac:dyDescent="0.45">
      <c r="A21" s="666"/>
      <c r="B21" s="525" t="s">
        <v>41</v>
      </c>
      <c r="C21" s="526">
        <f>C3+C5+C6+C10+C11+C12+C17</f>
        <v>402253</v>
      </c>
      <c r="D21" s="526">
        <f>D3+D5+D6+D10+D11+D12+D17</f>
        <v>420118</v>
      </c>
      <c r="E21" s="526">
        <f>E3+E5+E6+E10+E11+E12+E17+E14</f>
        <v>416926</v>
      </c>
      <c r="F21" s="526">
        <f>F19+F17</f>
        <v>301523</v>
      </c>
      <c r="G21" s="526">
        <f>G3+G5+G6+G10+G11+G12+G17+G14</f>
        <v>12050</v>
      </c>
      <c r="H21" s="526">
        <f>H3+H5+H6+H10+H11+H12+H17+H14</f>
        <v>1125</v>
      </c>
      <c r="I21" s="526">
        <f>I3+I5+I6+I10+I11+I12+I17+I14</f>
        <v>3600</v>
      </c>
      <c r="J21" s="526">
        <f>J3+J5+J6+J10+J11+J12+J17+J14</f>
        <v>0</v>
      </c>
      <c r="K21" s="526">
        <f>K3+K5+K6+K7+K8+K10+K11+K12+K14+K17</f>
        <v>0</v>
      </c>
      <c r="L21" s="526">
        <f>L3+L5+L6+L7+L8+L10+L11+L12+L14+L17</f>
        <v>0</v>
      </c>
      <c r="M21" s="526">
        <f>M3+M5+M6+M7+M8+M10+M11+M12+M14+M17</f>
        <v>0</v>
      </c>
      <c r="N21" s="526">
        <f>N3+N5+N6+N7+N8+N10+N11+N12+N14+N17</f>
        <v>0</v>
      </c>
      <c r="O21" s="233"/>
      <c r="P21" s="71"/>
      <c r="R21" s="390">
        <f>84424+9675</f>
        <v>94099</v>
      </c>
      <c r="S21" s="391" t="s">
        <v>42</v>
      </c>
      <c r="T21" s="391"/>
    </row>
    <row r="22" spans="1:21" ht="15" thickBot="1" x14ac:dyDescent="0.45">
      <c r="A22" s="91" t="s">
        <v>43</v>
      </c>
      <c r="B22" s="93" t="s">
        <v>44</v>
      </c>
      <c r="C22" s="356">
        <f t="shared" ref="C22:L22" si="1">C19-C26</f>
        <v>2253</v>
      </c>
      <c r="D22" s="356">
        <f t="shared" si="1"/>
        <v>20118</v>
      </c>
      <c r="E22" s="356">
        <f t="shared" si="1"/>
        <v>16926</v>
      </c>
      <c r="F22" s="356">
        <f t="shared" si="1"/>
        <v>-98477</v>
      </c>
      <c r="G22" s="356">
        <f t="shared" si="1"/>
        <v>-400000</v>
      </c>
      <c r="H22" s="356">
        <f t="shared" si="1"/>
        <v>-400000</v>
      </c>
      <c r="I22" s="356">
        <f t="shared" si="1"/>
        <v>-400000</v>
      </c>
      <c r="J22" s="356">
        <f t="shared" si="1"/>
        <v>-400000</v>
      </c>
      <c r="K22" s="356">
        <f t="shared" si="1"/>
        <v>-400000</v>
      </c>
      <c r="L22" s="356">
        <f t="shared" si="1"/>
        <v>-400000</v>
      </c>
      <c r="M22" s="356">
        <f t="shared" ref="M22:N22" si="2">M19-M26</f>
        <v>-400000</v>
      </c>
      <c r="N22" s="356">
        <f t="shared" si="2"/>
        <v>-400001</v>
      </c>
      <c r="O22" s="234">
        <f>SUM(C22:N22)</f>
        <v>-3259181</v>
      </c>
      <c r="Q22" s="2"/>
      <c r="R22" s="390">
        <v>149606</v>
      </c>
      <c r="S22" s="391" t="s">
        <v>45</v>
      </c>
      <c r="T22" s="391"/>
    </row>
    <row r="23" spans="1:21" s="3" customFormat="1" ht="15" thickBot="1" x14ac:dyDescent="0.45">
      <c r="A23" s="117"/>
      <c r="B23" s="118"/>
      <c r="C23" s="371"/>
      <c r="D23" s="371"/>
      <c r="E23" s="371"/>
      <c r="F23" s="371"/>
      <c r="G23" s="371"/>
      <c r="H23" s="371"/>
      <c r="I23" s="371"/>
      <c r="J23" s="371"/>
      <c r="K23" s="109"/>
      <c r="L23" s="371"/>
      <c r="M23" s="371"/>
      <c r="N23" s="371"/>
      <c r="O23" s="119"/>
      <c r="R23" s="394">
        <f>R20-R21-R22</f>
        <v>66787</v>
      </c>
      <c r="S23" s="392" t="s">
        <v>46</v>
      </c>
      <c r="T23" s="392"/>
    </row>
    <row r="24" spans="1:21" s="3" customFormat="1" x14ac:dyDescent="0.4">
      <c r="A24" s="347" t="s">
        <v>47</v>
      </c>
      <c r="B24" s="94" t="s">
        <v>48</v>
      </c>
      <c r="C24" s="372">
        <f>C19</f>
        <v>402253</v>
      </c>
      <c r="D24" s="372">
        <f t="shared" ref="D24:N24" si="3">C24+D19</f>
        <v>822371</v>
      </c>
      <c r="E24" s="372">
        <f t="shared" ref="E24" si="4">D24+E19</f>
        <v>1239297</v>
      </c>
      <c r="F24" s="372">
        <f t="shared" ref="F24" si="5">E24+F19</f>
        <v>1540820</v>
      </c>
      <c r="G24" s="372">
        <f t="shared" ref="G24" si="6">F24+G19</f>
        <v>1540820</v>
      </c>
      <c r="H24" s="372">
        <f t="shared" si="3"/>
        <v>1540820</v>
      </c>
      <c r="I24" s="372">
        <f t="shared" si="3"/>
        <v>1540820</v>
      </c>
      <c r="J24" s="372">
        <f t="shared" si="3"/>
        <v>1540820</v>
      </c>
      <c r="K24" s="377">
        <f>J24+K19</f>
        <v>1540820</v>
      </c>
      <c r="L24" s="372">
        <f t="shared" si="3"/>
        <v>1540820</v>
      </c>
      <c r="M24" s="372">
        <f t="shared" si="3"/>
        <v>1540820</v>
      </c>
      <c r="N24" s="372">
        <f t="shared" si="3"/>
        <v>1540820</v>
      </c>
      <c r="O24" s="78">
        <f>N24</f>
        <v>1540820</v>
      </c>
      <c r="Q24" s="58"/>
    </row>
    <row r="25" spans="1:21" s="3" customFormat="1" x14ac:dyDescent="0.4">
      <c r="A25" s="381"/>
      <c r="B25" s="95" t="s">
        <v>49</v>
      </c>
      <c r="C25" s="373">
        <f>C19</f>
        <v>402253</v>
      </c>
      <c r="D25" s="373">
        <f>C25+D19</f>
        <v>822371</v>
      </c>
      <c r="E25" s="373">
        <f>D25+E19</f>
        <v>1239297</v>
      </c>
      <c r="F25" s="373">
        <f t="shared" ref="F25:N25" si="7">E25+F19</f>
        <v>1540820</v>
      </c>
      <c r="G25" s="373">
        <f t="shared" si="7"/>
        <v>1540820</v>
      </c>
      <c r="H25" s="373">
        <f t="shared" si="7"/>
        <v>1540820</v>
      </c>
      <c r="I25" s="373">
        <f t="shared" si="7"/>
        <v>1540820</v>
      </c>
      <c r="J25" s="373">
        <f t="shared" si="7"/>
        <v>1540820</v>
      </c>
      <c r="K25" s="373">
        <f t="shared" si="7"/>
        <v>1540820</v>
      </c>
      <c r="L25" s="373">
        <f t="shared" si="7"/>
        <v>1540820</v>
      </c>
      <c r="M25" s="373">
        <f t="shared" si="7"/>
        <v>1540820</v>
      </c>
      <c r="N25" s="373">
        <f t="shared" si="7"/>
        <v>1540820</v>
      </c>
      <c r="O25" s="98"/>
      <c r="Q25" s="58"/>
    </row>
    <row r="26" spans="1:21" s="3" customFormat="1" ht="15" thickBot="1" x14ac:dyDescent="0.45">
      <c r="A26" s="348" t="s">
        <v>50</v>
      </c>
      <c r="B26" s="104" t="s">
        <v>51</v>
      </c>
      <c r="C26" s="346">
        <v>400000</v>
      </c>
      <c r="D26" s="346">
        <v>400000</v>
      </c>
      <c r="E26" s="346">
        <v>400000</v>
      </c>
      <c r="F26" s="346">
        <v>400000</v>
      </c>
      <c r="G26" s="346">
        <v>400000</v>
      </c>
      <c r="H26" s="346">
        <v>400000</v>
      </c>
      <c r="I26" s="346">
        <v>400000</v>
      </c>
      <c r="J26" s="346">
        <v>400000</v>
      </c>
      <c r="K26" s="346">
        <v>400000</v>
      </c>
      <c r="L26" s="346">
        <v>400000</v>
      </c>
      <c r="M26" s="346">
        <v>400000</v>
      </c>
      <c r="N26" s="346">
        <v>400001</v>
      </c>
      <c r="O26" s="105">
        <f>SUM(C26:N26)</f>
        <v>4800001</v>
      </c>
      <c r="Q26" s="3" t="s">
        <v>52</v>
      </c>
      <c r="R26" s="3" t="s">
        <v>53</v>
      </c>
    </row>
    <row r="27" spans="1:21" s="3" customFormat="1" x14ac:dyDescent="0.4">
      <c r="A27" s="206"/>
      <c r="B27" s="95" t="s">
        <v>54</v>
      </c>
      <c r="C27" s="373">
        <f>C26</f>
        <v>400000</v>
      </c>
      <c r="D27" s="373">
        <f>C27+D26</f>
        <v>800000</v>
      </c>
      <c r="E27" s="373">
        <f t="shared" ref="E27:N27" si="8">D27+E26</f>
        <v>1200000</v>
      </c>
      <c r="F27" s="373">
        <f t="shared" si="8"/>
        <v>1600000</v>
      </c>
      <c r="G27" s="373">
        <f t="shared" si="8"/>
        <v>2000000</v>
      </c>
      <c r="H27" s="373">
        <f>G27+H26</f>
        <v>2400000</v>
      </c>
      <c r="I27" s="373">
        <f>H27+I26</f>
        <v>2800000</v>
      </c>
      <c r="J27" s="373">
        <f t="shared" si="8"/>
        <v>3200000</v>
      </c>
      <c r="K27" s="378">
        <f>J27+K26</f>
        <v>3600000</v>
      </c>
      <c r="L27" s="373">
        <f t="shared" si="8"/>
        <v>4000000</v>
      </c>
      <c r="M27" s="373">
        <f t="shared" si="8"/>
        <v>4400000</v>
      </c>
      <c r="N27" s="373">
        <f t="shared" si="8"/>
        <v>4800001</v>
      </c>
      <c r="O27" s="98">
        <f>N27</f>
        <v>4800001</v>
      </c>
      <c r="Q27" s="90">
        <v>55014</v>
      </c>
      <c r="R27" s="90">
        <v>84424</v>
      </c>
      <c r="S27" t="s">
        <v>55</v>
      </c>
      <c r="T27" s="132">
        <f>R27-Q27</f>
        <v>29410</v>
      </c>
      <c r="U27" s="476">
        <f>T27/R27</f>
        <v>0.34836065573770492</v>
      </c>
    </row>
    <row r="28" spans="1:21" ht="15" hidden="1" customHeight="1" x14ac:dyDescent="0.4">
      <c r="A28" s="206" t="s">
        <v>56</v>
      </c>
      <c r="B28" s="93"/>
      <c r="C28" s="356">
        <f t="shared" ref="C28:N28" si="9">C24-C27</f>
        <v>2253</v>
      </c>
      <c r="D28" s="356">
        <f t="shared" si="9"/>
        <v>22371</v>
      </c>
      <c r="E28" s="356">
        <f t="shared" si="9"/>
        <v>39297</v>
      </c>
      <c r="F28" s="356">
        <f t="shared" si="9"/>
        <v>-59180</v>
      </c>
      <c r="G28" s="380">
        <f>G24-G27</f>
        <v>-459180</v>
      </c>
      <c r="H28" s="97">
        <f t="shared" si="9"/>
        <v>-859180</v>
      </c>
      <c r="I28" s="97">
        <f t="shared" si="9"/>
        <v>-1259180</v>
      </c>
      <c r="J28" s="380">
        <f t="shared" si="9"/>
        <v>-1659180</v>
      </c>
      <c r="K28" s="397">
        <f t="shared" si="9"/>
        <v>-2059180</v>
      </c>
      <c r="L28" s="97">
        <f t="shared" si="9"/>
        <v>-2459180</v>
      </c>
      <c r="M28" s="97">
        <f t="shared" si="9"/>
        <v>-2859180</v>
      </c>
      <c r="N28" s="97">
        <f t="shared" si="9"/>
        <v>-3259181</v>
      </c>
      <c r="O28" s="84">
        <f>N28</f>
        <v>-3259181</v>
      </c>
      <c r="Q28" s="90"/>
      <c r="R28" s="90"/>
      <c r="T28" s="132">
        <f t="shared" ref="T28:T32" si="10">R28-Q28</f>
        <v>0</v>
      </c>
      <c r="U28" s="477"/>
    </row>
    <row r="29" spans="1:21" hidden="1" x14ac:dyDescent="0.4">
      <c r="A29" s="206" t="s">
        <v>56</v>
      </c>
      <c r="B29" s="134"/>
      <c r="C29" s="357" t="s">
        <v>1</v>
      </c>
      <c r="D29" s="357" t="s">
        <v>2</v>
      </c>
      <c r="E29" s="357" t="s">
        <v>3</v>
      </c>
      <c r="F29" s="357" t="s">
        <v>4</v>
      </c>
      <c r="G29" s="357" t="s">
        <v>5</v>
      </c>
      <c r="H29" s="7" t="s">
        <v>6</v>
      </c>
      <c r="I29" s="7" t="s">
        <v>7</v>
      </c>
      <c r="J29" s="357" t="s">
        <v>8</v>
      </c>
      <c r="K29" s="398" t="s">
        <v>9</v>
      </c>
      <c r="L29" s="7" t="s">
        <v>10</v>
      </c>
      <c r="M29" s="7" t="s">
        <v>11</v>
      </c>
      <c r="N29" s="7" t="s">
        <v>12</v>
      </c>
      <c r="O29" s="8">
        <v>2019</v>
      </c>
      <c r="Q29" s="90"/>
      <c r="R29" s="90"/>
      <c r="T29" s="132">
        <f t="shared" si="10"/>
        <v>0</v>
      </c>
      <c r="U29" s="477"/>
    </row>
    <row r="30" spans="1:21" hidden="1" x14ac:dyDescent="0.4">
      <c r="A30" s="206" t="s">
        <v>56</v>
      </c>
      <c r="B30" s="4"/>
      <c r="C30" s="5" t="e">
        <f>SUMIFS(#REF!,#REF!,1,#REF!,2019,#REF!,"open")</f>
        <v>#REF!</v>
      </c>
      <c r="D30" s="5" t="e">
        <f>SUMIFS(#REF!,#REF!,2,#REF!,2019,#REF!,"open")</f>
        <v>#REF!</v>
      </c>
      <c r="E30" s="5" t="e">
        <f>SUMIFS(#REF!,#REF!,3,#REF!,2019,#REF!,"open")</f>
        <v>#REF!</v>
      </c>
      <c r="F30" s="5" t="e">
        <f>SUMIFS(#REF!,#REF!,4,#REF!,2019,#REF!,"open")</f>
        <v>#REF!</v>
      </c>
      <c r="G30" s="5" t="e">
        <f>SUMIFS(#REF!,#REF!,5,#REF!,2019,#REF!,"open")</f>
        <v>#REF!</v>
      </c>
      <c r="H30" s="5" t="e">
        <f>SUMIFS(#REF!,#REF!,6,#REF!,2019,#REF!,"open")</f>
        <v>#REF!</v>
      </c>
      <c r="I30" s="5" t="e">
        <f>SUMIFS(#REF!,#REF!,7,#REF!,2019,#REF!,"open")</f>
        <v>#REF!</v>
      </c>
      <c r="J30" s="5" t="e">
        <f>SUMIFS(#REF!,#REF!,8,#REF!,2019,#REF!,"open")</f>
        <v>#REF!</v>
      </c>
      <c r="K30" s="69" t="e">
        <f>SUMIFS(#REF!,#REF!,9,#REF!,2019,#REF!,"open")</f>
        <v>#REF!</v>
      </c>
      <c r="L30" s="5" t="e">
        <f>SUMIFS(#REF!,#REF!,10,#REF!,2019,#REF!,"open")</f>
        <v>#REF!</v>
      </c>
      <c r="M30" s="5" t="e">
        <f>SUMIFS(#REF!,#REF!,11,#REF!,2019,#REF!,"open")</f>
        <v>#REF!</v>
      </c>
      <c r="N30" s="5" t="e">
        <f>SUMIFS(#REF!,#REF!,12,#REF!,2019,#REF!,"open")</f>
        <v>#REF!</v>
      </c>
      <c r="O30" s="40" t="e">
        <f>SUM(C30:N30)</f>
        <v>#REF!</v>
      </c>
      <c r="Q30" s="90"/>
      <c r="R30" s="90"/>
      <c r="T30" s="132">
        <f t="shared" si="10"/>
        <v>0</v>
      </c>
      <c r="U30" s="477"/>
    </row>
    <row r="31" spans="1:21" hidden="1" x14ac:dyDescent="0.4">
      <c r="A31" s="206" t="s">
        <v>56</v>
      </c>
      <c r="B31" s="4"/>
      <c r="C31" s="5" t="e">
        <f>SUMIFS(#REF!,#REF!,1,#REF!,2019,#REF!,"*",#REF!,"open")</f>
        <v>#REF!</v>
      </c>
      <c r="D31" s="5" t="e">
        <f>SUMIFS(#REF!,#REF!,2,#REF!,2019,#REF!,"*",#REF!,"open")</f>
        <v>#REF!</v>
      </c>
      <c r="E31" s="5" t="e">
        <f>SUMIFS(#REF!,#REF!,3,#REF!,2019,#REF!,"*",#REF!,"open")</f>
        <v>#REF!</v>
      </c>
      <c r="F31" s="5" t="e">
        <f>SUMIFS(#REF!,#REF!,4,#REF!,2019,#REF!,"*",#REF!,"open")</f>
        <v>#REF!</v>
      </c>
      <c r="G31" s="5" t="e">
        <f>SUMIFS(#REF!,#REF!,5,#REF!,2019,#REF!,"*",#REF!,"open")</f>
        <v>#REF!</v>
      </c>
      <c r="H31" s="5" t="e">
        <f>SUMIFS(#REF!,#REF!,6,#REF!,2019,#REF!,"*",#REF!,"open")</f>
        <v>#REF!</v>
      </c>
      <c r="I31" s="5" t="e">
        <f>SUMIFS(#REF!,#REF!,7,#REF!,2019,#REF!,"*",#REF!,"open")</f>
        <v>#REF!</v>
      </c>
      <c r="J31" s="5" t="e">
        <f>SUMIFS(#REF!,#REF!,8,#REF!,2019,#REF!,"*",#REF!,"open")</f>
        <v>#REF!</v>
      </c>
      <c r="K31" s="69" t="e">
        <f>SUMIFS(#REF!,#REF!,9,#REF!,2019,#REF!,"*",#REF!,"open")</f>
        <v>#REF!</v>
      </c>
      <c r="L31" s="5" t="e">
        <f>SUMIFS(#REF!,#REF!,10,#REF!,2019,#REF!,"*",#REF!,"open")</f>
        <v>#REF!</v>
      </c>
      <c r="M31" s="5" t="e">
        <f>SUMIFS(#REF!,#REF!,11,#REF!,2019,#REF!,"*",#REF!,"open")</f>
        <v>#REF!</v>
      </c>
      <c r="N31" s="5" t="e">
        <f>SUMIFS(#REF!,#REF!,12,#REF!,2019,#REF!,"*",#REF!,"open")</f>
        <v>#REF!</v>
      </c>
      <c r="O31" s="5" t="e">
        <f>SUM(C31:N31)</f>
        <v>#REF!</v>
      </c>
      <c r="Q31" s="90"/>
      <c r="R31" s="90"/>
      <c r="T31" s="132">
        <f t="shared" si="10"/>
        <v>0</v>
      </c>
      <c r="U31" s="477"/>
    </row>
    <row r="32" spans="1:21" x14ac:dyDescent="0.4">
      <c r="A32" s="207"/>
      <c r="B32" s="311" t="s">
        <v>57</v>
      </c>
      <c r="C32" s="69">
        <f>C19-C26</f>
        <v>2253</v>
      </c>
      <c r="D32" s="69">
        <f>D19-D26+C32</f>
        <v>22371</v>
      </c>
      <c r="E32" s="69">
        <f>E19-E26+D32</f>
        <v>39297</v>
      </c>
      <c r="F32" s="69">
        <f>F19-F26+E32</f>
        <v>-59180</v>
      </c>
      <c r="G32" s="69">
        <f>G19-G26+F32</f>
        <v>-459180</v>
      </c>
      <c r="H32" s="79"/>
      <c r="I32" s="79"/>
      <c r="J32" s="69"/>
      <c r="K32" s="69"/>
      <c r="L32" s="182"/>
      <c r="M32" s="182"/>
      <c r="N32" s="182"/>
      <c r="O32" s="182"/>
      <c r="Q32" s="90">
        <v>6228</v>
      </c>
      <c r="R32" s="90">
        <v>9675</v>
      </c>
      <c r="S32" t="s">
        <v>58</v>
      </c>
      <c r="T32" s="132">
        <f t="shared" si="10"/>
        <v>3447</v>
      </c>
      <c r="U32" s="477">
        <f>28/95</f>
        <v>0.29473684210526313</v>
      </c>
    </row>
    <row r="33" spans="1:23" s="3" customFormat="1" x14ac:dyDescent="0.4">
      <c r="A33" s="72"/>
      <c r="B33"/>
      <c r="C33" s="2"/>
      <c r="D33" s="2"/>
      <c r="E33" s="2"/>
      <c r="F33" s="2"/>
      <c r="G33" s="2"/>
      <c r="H33" s="2"/>
      <c r="I33" s="2"/>
      <c r="J33" s="2"/>
      <c r="K33" s="399"/>
      <c r="L33" s="153"/>
      <c r="M33" s="153"/>
      <c r="N33" s="153"/>
      <c r="O33"/>
      <c r="Q33" s="90"/>
      <c r="R33" s="90"/>
      <c r="S33" s="308"/>
      <c r="T33" s="125"/>
    </row>
    <row r="34" spans="1:23" s="3" customFormat="1" x14ac:dyDescent="0.4">
      <c r="A34" s="155" t="s">
        <v>59</v>
      </c>
      <c r="B34" s="527" t="s">
        <v>60</v>
      </c>
      <c r="C34" s="528">
        <f>20000+95079</f>
        <v>115079</v>
      </c>
      <c r="D34" s="528">
        <f>20000+95079</f>
        <v>115079</v>
      </c>
      <c r="E34" s="528">
        <f>20000+95079</f>
        <v>115079</v>
      </c>
      <c r="F34" s="528"/>
      <c r="G34" s="528"/>
      <c r="H34" s="528"/>
      <c r="I34" s="528"/>
      <c r="J34" s="528"/>
      <c r="K34" s="528"/>
      <c r="L34" s="528"/>
      <c r="M34" s="528"/>
      <c r="N34" s="528"/>
      <c r="O34" s="529">
        <f>SUM(C34:N34)</f>
        <v>345237</v>
      </c>
      <c r="Q34" s="90">
        <f>SUM(Q27:Q33)</f>
        <v>61242</v>
      </c>
      <c r="R34" s="103">
        <f>SUM(R27:R33)</f>
        <v>94099</v>
      </c>
      <c r="S34" s="124"/>
      <c r="T34" s="125"/>
    </row>
    <row r="35" spans="1:23" s="3" customFormat="1" x14ac:dyDescent="0.4">
      <c r="A35" s="155" t="s">
        <v>61</v>
      </c>
      <c r="B35" s="527" t="s">
        <v>62</v>
      </c>
      <c r="C35" s="528">
        <v>68924</v>
      </c>
      <c r="D35" s="528">
        <v>68925</v>
      </c>
      <c r="E35" s="529">
        <v>68926</v>
      </c>
      <c r="F35" s="529"/>
      <c r="G35" s="528"/>
      <c r="H35" s="528"/>
      <c r="I35" s="528"/>
      <c r="J35" s="528"/>
      <c r="K35" s="528"/>
      <c r="L35" s="528"/>
      <c r="M35" s="528"/>
      <c r="N35" s="528"/>
      <c r="O35" s="528">
        <f>SUM(C35:N35)</f>
        <v>206775</v>
      </c>
      <c r="Q35" s="150"/>
      <c r="R35" s="150"/>
      <c r="S35" s="124"/>
      <c r="T35" s="125"/>
    </row>
    <row r="36" spans="1:23" s="3" customFormat="1" x14ac:dyDescent="0.4">
      <c r="A36" s="155" t="s">
        <v>63</v>
      </c>
      <c r="B36" s="530" t="s">
        <v>64</v>
      </c>
      <c r="C36" s="528">
        <f t="shared" ref="C36:D36" si="11">C34-C35</f>
        <v>46155</v>
      </c>
      <c r="D36" s="528">
        <f t="shared" si="11"/>
        <v>46154</v>
      </c>
      <c r="E36" s="528">
        <f t="shared" ref="E36" si="12">E34-E35</f>
        <v>46153</v>
      </c>
      <c r="F36" s="528"/>
      <c r="G36" s="528"/>
      <c r="H36" s="528"/>
      <c r="I36" s="528"/>
      <c r="J36" s="528"/>
      <c r="K36" s="528"/>
      <c r="L36" s="528"/>
      <c r="M36" s="528"/>
      <c r="N36" s="528"/>
      <c r="O36" s="528">
        <f>SUM(C36:N36)</f>
        <v>138462</v>
      </c>
      <c r="Q36" s="124">
        <f>R34-Q34</f>
        <v>32857</v>
      </c>
      <c r="R36" s="386">
        <f>Q36/R34</f>
        <v>0.34917480525829181</v>
      </c>
      <c r="S36" s="124"/>
      <c r="T36" s="125"/>
    </row>
    <row r="37" spans="1:23" s="3" customFormat="1" x14ac:dyDescent="0.4">
      <c r="A37" s="72"/>
      <c r="B37" s="530" t="s">
        <v>65</v>
      </c>
      <c r="C37" s="531">
        <f t="shared" ref="C37:O37" si="13">C36/C34</f>
        <v>0.40107230685007689</v>
      </c>
      <c r="D37" s="531">
        <f t="shared" ref="D37:E37" si="14">D36/D34</f>
        <v>0.40106361716733724</v>
      </c>
      <c r="E37" s="531">
        <f t="shared" si="14"/>
        <v>0.40105492748459753</v>
      </c>
      <c r="F37" s="531"/>
      <c r="G37" s="531"/>
      <c r="H37" s="531"/>
      <c r="I37" s="531"/>
      <c r="J37" s="531"/>
      <c r="K37" s="531"/>
      <c r="L37" s="531"/>
      <c r="M37" s="531"/>
      <c r="N37" s="531"/>
      <c r="O37" s="532">
        <f t="shared" si="13"/>
        <v>0.40106361716733724</v>
      </c>
      <c r="Q37" s="58"/>
    </row>
    <row r="38" spans="1:23" s="123" customFormat="1" x14ac:dyDescent="0.4">
      <c r="A38" s="122"/>
      <c r="B38" s="219" t="s">
        <v>66</v>
      </c>
      <c r="C38" s="221">
        <f t="shared" ref="C38:H38" si="15">C3</f>
        <v>294517</v>
      </c>
      <c r="D38" s="221">
        <f t="shared" si="15"/>
        <v>287630</v>
      </c>
      <c r="E38" s="221">
        <f t="shared" si="15"/>
        <v>296845</v>
      </c>
      <c r="F38" s="221">
        <f t="shared" si="15"/>
        <v>204317</v>
      </c>
      <c r="G38" s="221">
        <f t="shared" si="15"/>
        <v>0</v>
      </c>
      <c r="H38" s="221">
        <f t="shared" si="15"/>
        <v>0</v>
      </c>
      <c r="I38" s="221">
        <f t="shared" ref="I38:J38" si="16">I3</f>
        <v>0</v>
      </c>
      <c r="J38" s="221">
        <f t="shared" si="16"/>
        <v>0</v>
      </c>
      <c r="K38" s="221">
        <f t="shared" ref="K38:L38" si="17">K3</f>
        <v>0</v>
      </c>
      <c r="L38" s="221">
        <f t="shared" si="17"/>
        <v>0</v>
      </c>
      <c r="M38" s="221">
        <f t="shared" ref="M38:N38" si="18">M3</f>
        <v>0</v>
      </c>
      <c r="N38" s="221">
        <f t="shared" si="18"/>
        <v>0</v>
      </c>
      <c r="O38" s="220">
        <f>SUM(C38:N38)</f>
        <v>1083309</v>
      </c>
      <c r="P38" s="3"/>
      <c r="Q38" s="103"/>
      <c r="R38" s="3"/>
      <c r="S38" s="3"/>
      <c r="T38" s="3"/>
      <c r="U38" s="3"/>
      <c r="V38" s="3"/>
      <c r="W38" s="3"/>
    </row>
    <row r="39" spans="1:23" s="123" customFormat="1" x14ac:dyDescent="0.4">
      <c r="A39" s="122"/>
      <c r="B39" s="219" t="s">
        <v>67</v>
      </c>
      <c r="C39" s="463">
        <v>102260</v>
      </c>
      <c r="D39" s="463">
        <v>99927</v>
      </c>
      <c r="E39" s="463">
        <v>106236</v>
      </c>
      <c r="F39" s="463">
        <v>46377</v>
      </c>
      <c r="G39" s="463"/>
      <c r="H39" s="463"/>
      <c r="I39" s="463"/>
      <c r="J39" s="463"/>
      <c r="K39" s="463"/>
      <c r="L39" s="463"/>
      <c r="M39" s="463"/>
      <c r="N39" s="463"/>
      <c r="O39" s="220">
        <f>SUM(C39:N39)</f>
        <v>354800</v>
      </c>
      <c r="P39" s="3"/>
      <c r="Q39" s="58"/>
      <c r="R39" s="3"/>
      <c r="S39" s="3"/>
      <c r="T39" s="3"/>
      <c r="U39" s="3"/>
      <c r="V39" s="3"/>
      <c r="W39" s="3"/>
    </row>
    <row r="40" spans="1:23" s="123" customFormat="1" x14ac:dyDescent="0.4">
      <c r="A40" s="155"/>
      <c r="B40" s="222" t="s">
        <v>68</v>
      </c>
      <c r="C40" s="221">
        <f t="shared" ref="C40:D40" si="19">C38-C39</f>
        <v>192257</v>
      </c>
      <c r="D40" s="221">
        <f t="shared" si="19"/>
        <v>187703</v>
      </c>
      <c r="E40" s="221">
        <f t="shared" ref="E40" si="20">E38-E39</f>
        <v>190609</v>
      </c>
      <c r="F40" s="221">
        <f t="shared" ref="F40:K40" si="21">F38-F39</f>
        <v>157940</v>
      </c>
      <c r="G40" s="221">
        <f t="shared" si="21"/>
        <v>0</v>
      </c>
      <c r="H40" s="221">
        <f t="shared" si="21"/>
        <v>0</v>
      </c>
      <c r="I40" s="221">
        <f t="shared" si="21"/>
        <v>0</v>
      </c>
      <c r="J40" s="221">
        <f t="shared" si="21"/>
        <v>0</v>
      </c>
      <c r="K40" s="221">
        <f t="shared" si="21"/>
        <v>0</v>
      </c>
      <c r="L40" s="221">
        <f t="shared" ref="L40:M40" si="22">L38-L39</f>
        <v>0</v>
      </c>
      <c r="M40" s="221">
        <f t="shared" si="22"/>
        <v>0</v>
      </c>
      <c r="N40" s="221">
        <f t="shared" ref="N40" si="23">N38-N39</f>
        <v>0</v>
      </c>
      <c r="O40" s="221">
        <f>SUM(C40:N40)</f>
        <v>728509</v>
      </c>
      <c r="P40" s="58"/>
      <c r="Q40" s="3"/>
      <c r="R40" s="3"/>
      <c r="S40" s="3"/>
      <c r="T40" s="3"/>
      <c r="U40" s="3"/>
      <c r="V40" s="3"/>
      <c r="W40" s="3"/>
    </row>
    <row r="41" spans="1:23" s="123" customFormat="1" x14ac:dyDescent="0.4">
      <c r="A41" s="155"/>
      <c r="B41" s="222" t="s">
        <v>69</v>
      </c>
      <c r="C41" s="364">
        <f t="shared" ref="C41:D41" si="24">C40/C38</f>
        <v>0.65278744520689802</v>
      </c>
      <c r="D41" s="364">
        <f t="shared" si="24"/>
        <v>0.65258491812397867</v>
      </c>
      <c r="E41" s="364">
        <f t="shared" ref="E41" si="25">E40/E38</f>
        <v>0.64211625595849686</v>
      </c>
      <c r="F41" s="364">
        <f t="shared" ref="F41:K41" si="26">F40/F38</f>
        <v>0.77301448239745107</v>
      </c>
      <c r="G41" s="364" t="e">
        <f t="shared" si="26"/>
        <v>#DIV/0!</v>
      </c>
      <c r="H41" s="364" t="e">
        <f t="shared" si="26"/>
        <v>#DIV/0!</v>
      </c>
      <c r="I41" s="364" t="e">
        <f t="shared" si="26"/>
        <v>#DIV/0!</v>
      </c>
      <c r="J41" s="364" t="e">
        <f t="shared" si="26"/>
        <v>#DIV/0!</v>
      </c>
      <c r="K41" s="364" t="e">
        <f t="shared" si="26"/>
        <v>#DIV/0!</v>
      </c>
      <c r="L41" s="364" t="e">
        <f t="shared" ref="L41:M41" si="27">L40/L38</f>
        <v>#DIV/0!</v>
      </c>
      <c r="M41" s="364" t="e">
        <f t="shared" si="27"/>
        <v>#DIV/0!</v>
      </c>
      <c r="N41" s="364" t="e">
        <f t="shared" ref="N41" si="28">N40/N38</f>
        <v>#DIV/0!</v>
      </c>
      <c r="O41" s="223">
        <f>O40/O38</f>
        <v>0.67248495120044238</v>
      </c>
      <c r="P41" s="58"/>
      <c r="Q41" s="3"/>
      <c r="R41" s="3"/>
      <c r="S41" s="3"/>
      <c r="T41" s="3"/>
      <c r="U41" s="3"/>
      <c r="V41" s="3"/>
      <c r="W41" s="3"/>
    </row>
    <row r="42" spans="1:23" s="3" customFormat="1" x14ac:dyDescent="0.4">
      <c r="A42" s="122"/>
      <c r="B42" s="208" t="s">
        <v>71</v>
      </c>
      <c r="C42" s="209">
        <v>107736</v>
      </c>
      <c r="D42" s="209">
        <v>132487</v>
      </c>
      <c r="E42" s="209">
        <v>120081</v>
      </c>
      <c r="F42" s="209">
        <v>101526</v>
      </c>
      <c r="G42" s="209"/>
      <c r="H42" s="209"/>
      <c r="I42" s="209"/>
      <c r="J42" s="209"/>
      <c r="K42" s="209"/>
      <c r="L42" s="209"/>
      <c r="M42" s="209"/>
      <c r="N42" s="209"/>
      <c r="O42" s="210">
        <f>SUM(C42:N42)</f>
        <v>461830</v>
      </c>
      <c r="P42" s="58"/>
    </row>
    <row r="43" spans="1:23" s="3" customFormat="1" x14ac:dyDescent="0.4">
      <c r="A43" s="122"/>
      <c r="B43" s="208" t="s">
        <v>72</v>
      </c>
      <c r="C43" s="472">
        <v>67536</v>
      </c>
      <c r="D43" s="472">
        <v>83944</v>
      </c>
      <c r="E43" s="472">
        <v>76229</v>
      </c>
      <c r="F43" s="472">
        <v>67479</v>
      </c>
      <c r="G43" s="472"/>
      <c r="H43" s="472"/>
      <c r="I43" s="472"/>
      <c r="J43" s="472"/>
      <c r="K43" s="472"/>
      <c r="L43" s="472"/>
      <c r="M43" s="472"/>
      <c r="N43" s="472"/>
      <c r="O43" s="210">
        <f>SUM(C43:N43)</f>
        <v>295188</v>
      </c>
      <c r="P43" s="58"/>
    </row>
    <row r="44" spans="1:23" s="3" customFormat="1" x14ac:dyDescent="0.4">
      <c r="A44" s="155"/>
      <c r="B44" s="211" t="s">
        <v>73</v>
      </c>
      <c r="C44" s="212">
        <f t="shared" ref="C44:E44" si="29">C42-C43</f>
        <v>40200</v>
      </c>
      <c r="D44" s="212">
        <f t="shared" si="29"/>
        <v>48543</v>
      </c>
      <c r="E44" s="212">
        <f t="shared" si="29"/>
        <v>43852</v>
      </c>
      <c r="F44" s="212">
        <f t="shared" ref="F44" si="30">F42-F43</f>
        <v>34047</v>
      </c>
      <c r="G44" s="212">
        <f t="shared" ref="G44:K44" si="31">G42-G43</f>
        <v>0</v>
      </c>
      <c r="H44" s="212">
        <f t="shared" si="31"/>
        <v>0</v>
      </c>
      <c r="I44" s="212">
        <f t="shared" si="31"/>
        <v>0</v>
      </c>
      <c r="J44" s="212">
        <f t="shared" si="31"/>
        <v>0</v>
      </c>
      <c r="K44" s="212">
        <f t="shared" si="31"/>
        <v>0</v>
      </c>
      <c r="L44" s="212">
        <f t="shared" ref="L44:M44" si="32">L42-L43</f>
        <v>0</v>
      </c>
      <c r="M44" s="212">
        <f t="shared" si="32"/>
        <v>0</v>
      </c>
      <c r="N44" s="212">
        <f t="shared" ref="N44" si="33">N42-N43</f>
        <v>0</v>
      </c>
      <c r="O44" s="213">
        <f>SUM(C44:N44)</f>
        <v>166642</v>
      </c>
      <c r="P44" s="58"/>
      <c r="Q44" s="188"/>
    </row>
    <row r="45" spans="1:23" s="3" customFormat="1" x14ac:dyDescent="0.4">
      <c r="A45" s="155"/>
      <c r="B45" s="211" t="s">
        <v>74</v>
      </c>
      <c r="C45" s="365">
        <f t="shared" ref="C45:D45" si="34">C44/C42</f>
        <v>0.37313432835820898</v>
      </c>
      <c r="D45" s="365">
        <f t="shared" si="34"/>
        <v>0.36639821265482653</v>
      </c>
      <c r="E45" s="365">
        <f t="shared" ref="E45:F45" si="35">E44/E42</f>
        <v>0.36518683222158377</v>
      </c>
      <c r="F45" s="365">
        <f t="shared" si="35"/>
        <v>0.3353525205366113</v>
      </c>
      <c r="G45" s="365" t="e">
        <f t="shared" ref="G45:K45" si="36">G44/G42</f>
        <v>#DIV/0!</v>
      </c>
      <c r="H45" s="365" t="e">
        <f t="shared" si="36"/>
        <v>#DIV/0!</v>
      </c>
      <c r="I45" s="365" t="e">
        <f t="shared" si="36"/>
        <v>#DIV/0!</v>
      </c>
      <c r="J45" s="249" t="e">
        <f t="shared" si="36"/>
        <v>#DIV/0!</v>
      </c>
      <c r="K45" s="249" t="e">
        <f t="shared" si="36"/>
        <v>#DIV/0!</v>
      </c>
      <c r="L45" s="249" t="e">
        <f t="shared" ref="L45:M45" si="37">L44/L42</f>
        <v>#DIV/0!</v>
      </c>
      <c r="M45" s="249" t="e">
        <f t="shared" si="37"/>
        <v>#DIV/0!</v>
      </c>
      <c r="N45" s="249" t="e">
        <f t="shared" ref="N45" si="38">N44/N42</f>
        <v>#DIV/0!</v>
      </c>
      <c r="O45" s="214">
        <f t="shared" ref="O45" si="39">O44/O42</f>
        <v>0.36082974254595845</v>
      </c>
      <c r="P45" s="58"/>
      <c r="Q45" s="143"/>
    </row>
    <row r="46" spans="1:23" s="3" customFormat="1" x14ac:dyDescent="0.4">
      <c r="A46" s="155"/>
      <c r="B46" s="122" t="s">
        <v>76</v>
      </c>
      <c r="C46" s="366"/>
      <c r="D46" s="366"/>
      <c r="E46" s="366"/>
      <c r="F46" s="366"/>
      <c r="G46" s="366"/>
      <c r="H46" s="366"/>
      <c r="I46" s="366"/>
      <c r="J46" s="366"/>
      <c r="K46" s="400"/>
      <c r="L46" s="366"/>
      <c r="M46" s="264"/>
      <c r="N46" s="264"/>
      <c r="O46" s="201"/>
      <c r="P46" s="58"/>
    </row>
    <row r="47" spans="1:23" s="154" customFormat="1" ht="15" thickBot="1" x14ac:dyDescent="0.45">
      <c r="A47" s="122"/>
      <c r="B47" s="196" t="s">
        <v>77</v>
      </c>
      <c r="C47" s="197">
        <f t="shared" ref="C47:J47" si="40">C38+C42</f>
        <v>402253</v>
      </c>
      <c r="D47" s="197">
        <f t="shared" si="40"/>
        <v>420117</v>
      </c>
      <c r="E47" s="197">
        <f t="shared" si="40"/>
        <v>416926</v>
      </c>
      <c r="F47" s="197">
        <f>F38+F42</f>
        <v>305843</v>
      </c>
      <c r="G47" s="197">
        <f>G38+G42</f>
        <v>0</v>
      </c>
      <c r="H47" s="197">
        <f t="shared" si="40"/>
        <v>0</v>
      </c>
      <c r="I47" s="197">
        <f t="shared" si="40"/>
        <v>0</v>
      </c>
      <c r="J47" s="263">
        <f t="shared" si="40"/>
        <v>0</v>
      </c>
      <c r="K47" s="281">
        <f t="shared" ref="K47:M47" si="41">K38+K42</f>
        <v>0</v>
      </c>
      <c r="L47" s="263">
        <f t="shared" si="41"/>
        <v>0</v>
      </c>
      <c r="M47" s="263">
        <f t="shared" si="41"/>
        <v>0</v>
      </c>
      <c r="N47" s="263">
        <f t="shared" ref="N47" si="42">N38+N42</f>
        <v>0</v>
      </c>
      <c r="O47" s="198">
        <f>SUM(C47:N47)</f>
        <v>1545139</v>
      </c>
      <c r="P47" s="58"/>
      <c r="Q47" s="3"/>
      <c r="R47" s="3"/>
      <c r="S47" s="3"/>
      <c r="T47" s="3"/>
      <c r="U47" s="3"/>
      <c r="V47" s="3"/>
      <c r="W47" s="3"/>
    </row>
    <row r="48" spans="1:23" s="154" customFormat="1" ht="15" thickTop="1" x14ac:dyDescent="0.4">
      <c r="A48" s="122"/>
      <c r="B48" s="122" t="s">
        <v>78</v>
      </c>
      <c r="C48" s="2">
        <f>C39+C43</f>
        <v>169796</v>
      </c>
      <c r="D48" s="2">
        <f>D39+D43</f>
        <v>183871</v>
      </c>
      <c r="E48" s="2">
        <f>E39+E43</f>
        <v>182465</v>
      </c>
      <c r="F48" s="2">
        <f>F39+F43</f>
        <v>113856</v>
      </c>
      <c r="G48" s="2">
        <f>G39+G43+G46</f>
        <v>0</v>
      </c>
      <c r="H48" s="2">
        <f t="shared" ref="H48:L48" si="43">H39+H43+H46</f>
        <v>0</v>
      </c>
      <c r="I48" s="2">
        <f t="shared" si="43"/>
        <v>0</v>
      </c>
      <c r="J48" s="2">
        <f t="shared" si="43"/>
        <v>0</v>
      </c>
      <c r="K48" s="158">
        <f t="shared" si="43"/>
        <v>0</v>
      </c>
      <c r="L48" s="2">
        <f t="shared" si="43"/>
        <v>0</v>
      </c>
      <c r="M48" s="2">
        <f t="shared" ref="M48:N48" si="44">M39+M43+M46</f>
        <v>0</v>
      </c>
      <c r="N48" s="2">
        <f t="shared" si="44"/>
        <v>0</v>
      </c>
      <c r="O48" s="152">
        <f>SUM(C48:N48)</f>
        <v>649988</v>
      </c>
      <c r="P48" s="58"/>
      <c r="Q48" s="200"/>
      <c r="R48" s="200"/>
      <c r="S48" s="200"/>
      <c r="T48" s="200"/>
      <c r="U48" s="200"/>
      <c r="V48" s="200"/>
      <c r="W48" s="3"/>
    </row>
    <row r="49" spans="1:23" s="157" customFormat="1" x14ac:dyDescent="0.4">
      <c r="A49" s="156"/>
      <c r="B49" s="190" t="s">
        <v>79</v>
      </c>
      <c r="C49" s="191">
        <f t="shared" ref="C49:J49" si="45">C47-C48</f>
        <v>232457</v>
      </c>
      <c r="D49" s="191">
        <f t="shared" si="45"/>
        <v>236246</v>
      </c>
      <c r="E49" s="191">
        <f t="shared" si="45"/>
        <v>234461</v>
      </c>
      <c r="F49" s="358">
        <f t="shared" si="45"/>
        <v>191987</v>
      </c>
      <c r="G49" s="358">
        <f t="shared" si="45"/>
        <v>0</v>
      </c>
      <c r="H49" s="358">
        <f t="shared" si="45"/>
        <v>0</v>
      </c>
      <c r="I49" s="358">
        <f t="shared" si="45"/>
        <v>0</v>
      </c>
      <c r="J49" s="358">
        <f t="shared" si="45"/>
        <v>0</v>
      </c>
      <c r="K49" s="402">
        <f t="shared" ref="K49:L49" si="46">K47-K48</f>
        <v>0</v>
      </c>
      <c r="L49" s="358">
        <f t="shared" si="46"/>
        <v>0</v>
      </c>
      <c r="M49" s="358">
        <f t="shared" ref="M49:N49" si="47">M47-M48</f>
        <v>0</v>
      </c>
      <c r="N49" s="358">
        <f t="shared" si="47"/>
        <v>0</v>
      </c>
      <c r="O49" s="192">
        <f>SUM(C49:N49)</f>
        <v>895151</v>
      </c>
      <c r="P49" s="199"/>
      <c r="Q49" s="200"/>
      <c r="R49" s="200"/>
      <c r="S49" s="200"/>
      <c r="T49" s="200"/>
      <c r="U49" s="200"/>
      <c r="V49" s="200"/>
      <c r="W49" s="200"/>
    </row>
    <row r="50" spans="1:23" s="200" customFormat="1" x14ac:dyDescent="0.4">
      <c r="A50" s="156"/>
      <c r="B50" s="156" t="s">
        <v>80</v>
      </c>
      <c r="C50" s="359">
        <f t="shared" ref="C50:J50" si="48">C49/C47</f>
        <v>0.57788754838372869</v>
      </c>
      <c r="D50" s="359">
        <f t="shared" si="48"/>
        <v>0.56233382605321847</v>
      </c>
      <c r="E50" s="359">
        <f t="shared" si="48"/>
        <v>0.56235638938324783</v>
      </c>
      <c r="F50" s="359">
        <f t="shared" si="48"/>
        <v>0.62773056764418345</v>
      </c>
      <c r="G50" s="359" t="e">
        <f t="shared" si="48"/>
        <v>#DIV/0!</v>
      </c>
      <c r="H50" s="359" t="e">
        <f t="shared" si="48"/>
        <v>#DIV/0!</v>
      </c>
      <c r="I50" s="359" t="e">
        <f t="shared" si="48"/>
        <v>#DIV/0!</v>
      </c>
      <c r="J50" s="359" t="e">
        <f t="shared" si="48"/>
        <v>#DIV/0!</v>
      </c>
      <c r="K50" s="384" t="e">
        <f t="shared" ref="K50:L50" si="49">K49/K47</f>
        <v>#DIV/0!</v>
      </c>
      <c r="L50" s="359" t="e">
        <f t="shared" si="49"/>
        <v>#DIV/0!</v>
      </c>
      <c r="M50" s="359" t="e">
        <f t="shared" ref="M50:N50" si="50">M49/M47</f>
        <v>#DIV/0!</v>
      </c>
      <c r="N50" s="359" t="e">
        <f t="shared" si="50"/>
        <v>#DIV/0!</v>
      </c>
      <c r="O50" s="236">
        <f t="shared" ref="O50" si="51">O49/O47</f>
        <v>0.57933363923892933</v>
      </c>
      <c r="P50" s="199"/>
      <c r="Q50" s="3"/>
      <c r="R50" s="3"/>
      <c r="S50" s="3"/>
      <c r="T50" s="3"/>
      <c r="U50" s="3"/>
      <c r="V50" s="3"/>
    </row>
    <row r="51" spans="1:23" s="3" customFormat="1" x14ac:dyDescent="0.4">
      <c r="A51" s="155"/>
      <c r="B51" s="242" t="s">
        <v>81</v>
      </c>
      <c r="C51" s="463">
        <v>223000</v>
      </c>
      <c r="D51" s="463">
        <v>223000</v>
      </c>
      <c r="E51" s="463">
        <v>223000</v>
      </c>
      <c r="F51" s="463">
        <v>200000</v>
      </c>
      <c r="G51" s="463">
        <v>200000</v>
      </c>
      <c r="H51" s="463">
        <v>200000</v>
      </c>
      <c r="I51" s="463">
        <v>200000</v>
      </c>
      <c r="J51" s="463">
        <v>200000</v>
      </c>
      <c r="K51" s="463">
        <v>200000</v>
      </c>
      <c r="L51" s="463">
        <v>200000</v>
      </c>
      <c r="M51" s="463">
        <v>200000</v>
      </c>
      <c r="N51" s="463">
        <v>200000</v>
      </c>
      <c r="O51" s="244">
        <f>SUM(C51:N51)</f>
        <v>2469000</v>
      </c>
      <c r="P51" s="58"/>
      <c r="Q51"/>
      <c r="R51"/>
      <c r="S51"/>
      <c r="T51"/>
      <c r="U51"/>
      <c r="V51"/>
    </row>
    <row r="52" spans="1:23" x14ac:dyDescent="0.4">
      <c r="A52" s="155"/>
      <c r="B52" s="122" t="s">
        <v>82</v>
      </c>
      <c r="C52" s="465">
        <f t="shared" ref="C52:L52" si="52">C49-C51</f>
        <v>9457</v>
      </c>
      <c r="D52" s="465">
        <f t="shared" si="52"/>
        <v>13246</v>
      </c>
      <c r="E52" s="465">
        <f t="shared" si="52"/>
        <v>11461</v>
      </c>
      <c r="F52" s="361">
        <f t="shared" si="52"/>
        <v>-8013</v>
      </c>
      <c r="G52" s="178">
        <f t="shared" si="52"/>
        <v>-200000</v>
      </c>
      <c r="H52" s="178">
        <f t="shared" ref="H52" si="53">H49-H51</f>
        <v>-200000</v>
      </c>
      <c r="I52" s="178">
        <f t="shared" si="52"/>
        <v>-200000</v>
      </c>
      <c r="J52" s="178">
        <f t="shared" si="52"/>
        <v>-200000</v>
      </c>
      <c r="K52" s="178">
        <f t="shared" si="52"/>
        <v>-200000</v>
      </c>
      <c r="L52" s="178">
        <f t="shared" si="52"/>
        <v>-200000</v>
      </c>
      <c r="M52" s="178">
        <f t="shared" ref="M52:N52" si="54">M49-M51</f>
        <v>-200000</v>
      </c>
      <c r="N52" s="178">
        <f t="shared" si="54"/>
        <v>-200000</v>
      </c>
      <c r="O52" s="178">
        <f>SUM(C52:N52)</f>
        <v>-1573849</v>
      </c>
      <c r="P52" s="143"/>
    </row>
    <row r="53" spans="1:23" x14ac:dyDescent="0.4">
      <c r="A53" s="155"/>
      <c r="B53" s="122" t="s">
        <v>83</v>
      </c>
      <c r="C53" s="468">
        <f t="shared" ref="C53:L53" si="55">C52/C19</f>
        <v>2.3510079477343862E-2</v>
      </c>
      <c r="D53" s="468">
        <f t="shared" si="55"/>
        <v>3.1529237023883765E-2</v>
      </c>
      <c r="E53" s="468">
        <f t="shared" si="55"/>
        <v>2.7489290665489798E-2</v>
      </c>
      <c r="F53" s="469">
        <f t="shared" si="55"/>
        <v>-2.6575087140947789E-2</v>
      </c>
      <c r="G53" s="537" t="e">
        <f t="shared" si="55"/>
        <v>#DIV/0!</v>
      </c>
      <c r="H53" s="538" t="e">
        <f t="shared" si="55"/>
        <v>#DIV/0!</v>
      </c>
      <c r="I53" s="538" t="e">
        <f t="shared" si="55"/>
        <v>#DIV/0!</v>
      </c>
      <c r="J53" s="538" t="e">
        <f t="shared" si="55"/>
        <v>#DIV/0!</v>
      </c>
      <c r="K53" s="538" t="e">
        <f t="shared" si="55"/>
        <v>#DIV/0!</v>
      </c>
      <c r="L53" s="538" t="e">
        <f t="shared" si="55"/>
        <v>#DIV/0!</v>
      </c>
      <c r="M53" s="538" t="e">
        <f t="shared" ref="M53:N53" si="56">M52/M19</f>
        <v>#DIV/0!</v>
      </c>
      <c r="N53" s="538" t="e">
        <f t="shared" si="56"/>
        <v>#DIV/0!</v>
      </c>
      <c r="O53" s="58"/>
      <c r="P53" s="143"/>
    </row>
    <row r="54" spans="1:23" ht="6.75" customHeight="1" x14ac:dyDescent="0.4">
      <c r="A54" s="237"/>
      <c r="B54" s="238"/>
      <c r="C54" s="360"/>
      <c r="D54" s="360"/>
      <c r="E54" s="360"/>
      <c r="F54" s="360"/>
      <c r="G54" s="360"/>
      <c r="H54" s="360"/>
      <c r="I54" s="239"/>
      <c r="J54" s="385"/>
      <c r="K54" s="403"/>
      <c r="L54" s="240"/>
      <c r="M54" s="240"/>
      <c r="N54" s="240"/>
      <c r="O54" s="239"/>
      <c r="P54" s="143"/>
    </row>
    <row r="55" spans="1:23" x14ac:dyDescent="0.4">
      <c r="A55" s="155"/>
      <c r="B55" s="155" t="s">
        <v>84</v>
      </c>
      <c r="C55" s="158">
        <f t="shared" ref="C55:N55" si="57">C19*0.18</f>
        <v>72405.539999999994</v>
      </c>
      <c r="D55" s="158">
        <f t="shared" si="57"/>
        <v>75621.239999999991</v>
      </c>
      <c r="E55" s="158">
        <f t="shared" si="57"/>
        <v>75046.679999999993</v>
      </c>
      <c r="F55" s="158">
        <f t="shared" si="57"/>
        <v>54274.14</v>
      </c>
      <c r="G55" s="158">
        <f t="shared" si="57"/>
        <v>0</v>
      </c>
      <c r="H55" s="158">
        <f t="shared" si="57"/>
        <v>0</v>
      </c>
      <c r="I55" s="158">
        <f t="shared" si="57"/>
        <v>0</v>
      </c>
      <c r="J55" s="158">
        <f t="shared" si="57"/>
        <v>0</v>
      </c>
      <c r="K55" s="158">
        <f t="shared" si="57"/>
        <v>0</v>
      </c>
      <c r="L55" s="158">
        <f t="shared" si="57"/>
        <v>0</v>
      </c>
      <c r="M55" s="158">
        <f t="shared" ref="M55" si="58">M19*0.18</f>
        <v>0</v>
      </c>
      <c r="N55" s="158">
        <f t="shared" si="57"/>
        <v>0</v>
      </c>
      <c r="O55" s="344">
        <f>SUM(C55:N55)</f>
        <v>277347.59999999998</v>
      </c>
      <c r="P55" s="345" t="s">
        <v>85</v>
      </c>
    </row>
    <row r="56" spans="1:23" ht="28.5" customHeight="1" x14ac:dyDescent="0.4">
      <c r="A56" s="245"/>
      <c r="B56" s="246"/>
      <c r="C56" s="376"/>
      <c r="D56" s="376"/>
      <c r="E56" s="376"/>
      <c r="F56" s="376"/>
      <c r="G56" s="247"/>
      <c r="H56" s="247"/>
      <c r="I56" s="247"/>
      <c r="J56" s="376"/>
      <c r="K56" s="286"/>
      <c r="L56" s="247"/>
      <c r="M56" s="247"/>
      <c r="N56" s="247"/>
      <c r="O56" s="247"/>
      <c r="P56" s="143"/>
    </row>
    <row r="57" spans="1:23" ht="39.75" customHeight="1" x14ac:dyDescent="0.4">
      <c r="A57" s="154" t="s">
        <v>86</v>
      </c>
      <c r="B57" s="241"/>
      <c r="C57" s="241"/>
      <c r="D57" s="241"/>
      <c r="E57" s="241"/>
      <c r="F57" s="241"/>
      <c r="G57" s="241"/>
      <c r="H57" s="241"/>
      <c r="I57" s="241"/>
      <c r="J57" s="241"/>
      <c r="K57" s="287"/>
      <c r="L57" s="241"/>
      <c r="M57" s="241"/>
      <c r="N57" s="241"/>
      <c r="O57" s="241"/>
      <c r="P57" s="1"/>
    </row>
    <row r="58" spans="1:23" ht="15" thickBot="1" x14ac:dyDescent="0.45">
      <c r="B58" s="10"/>
      <c r="G58" s="90"/>
      <c r="H58" s="90"/>
      <c r="I58" s="73"/>
      <c r="P58" s="1"/>
      <c r="R58" s="2"/>
    </row>
    <row r="59" spans="1:23" ht="15" thickBot="1" x14ac:dyDescent="0.45">
      <c r="A59" s="130" t="s">
        <v>87</v>
      </c>
      <c r="B59" s="120" t="s">
        <v>88</v>
      </c>
      <c r="C59" s="467">
        <v>145911</v>
      </c>
      <c r="D59" s="127">
        <f>C59</f>
        <v>145911</v>
      </c>
      <c r="E59" s="127">
        <f>D59</f>
        <v>145911</v>
      </c>
      <c r="F59" s="127">
        <f t="shared" ref="F59:N59" si="59">E59</f>
        <v>145911</v>
      </c>
      <c r="G59" s="127">
        <f t="shared" si="59"/>
        <v>145911</v>
      </c>
      <c r="H59" s="127">
        <f t="shared" si="59"/>
        <v>145911</v>
      </c>
      <c r="I59" s="127">
        <f t="shared" si="59"/>
        <v>145911</v>
      </c>
      <c r="J59" s="127">
        <f t="shared" si="59"/>
        <v>145911</v>
      </c>
      <c r="K59" s="127">
        <f t="shared" si="59"/>
        <v>145911</v>
      </c>
      <c r="L59" s="127">
        <f t="shared" si="59"/>
        <v>145911</v>
      </c>
      <c r="M59" s="127">
        <f t="shared" si="59"/>
        <v>145911</v>
      </c>
      <c r="N59" s="127">
        <f t="shared" si="59"/>
        <v>145911</v>
      </c>
      <c r="O59" s="126">
        <f t="shared" ref="O59" si="60">SUM(C59:N59)</f>
        <v>1750932</v>
      </c>
      <c r="P59" s="1"/>
    </row>
    <row r="60" spans="1:23" x14ac:dyDescent="0.4">
      <c r="B60" s="1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26">
        <f>SUM(C60:N60)</f>
        <v>0</v>
      </c>
    </row>
    <row r="61" spans="1:23" x14ac:dyDescent="0.4">
      <c r="B61" s="148" t="s">
        <v>89</v>
      </c>
      <c r="C61" s="478">
        <v>-5000</v>
      </c>
      <c r="D61" s="478">
        <v>-5000</v>
      </c>
      <c r="E61" s="478">
        <v>-5000</v>
      </c>
      <c r="F61" s="478">
        <v>-5000</v>
      </c>
      <c r="G61" s="478">
        <v>-5000</v>
      </c>
      <c r="H61" s="478">
        <v>-5000</v>
      </c>
      <c r="I61" s="478">
        <v>-5000</v>
      </c>
      <c r="J61" s="478">
        <v>-5000</v>
      </c>
      <c r="K61" s="478">
        <v>-5000</v>
      </c>
      <c r="L61" s="478">
        <v>-5000</v>
      </c>
      <c r="M61" s="478">
        <v>-5000</v>
      </c>
      <c r="N61" s="478">
        <v>-5000</v>
      </c>
      <c r="O61" s="479">
        <f t="shared" ref="O61:O77" si="61">SUM(C61:N61)</f>
        <v>-60000</v>
      </c>
    </row>
    <row r="62" spans="1:23" x14ac:dyDescent="0.4">
      <c r="B62" s="148" t="s">
        <v>90</v>
      </c>
      <c r="C62" s="478">
        <v>-5730</v>
      </c>
      <c r="D62" s="478">
        <v>-5730</v>
      </c>
      <c r="E62" s="478">
        <v>-5730</v>
      </c>
      <c r="F62" s="478">
        <v>-5730</v>
      </c>
      <c r="G62" s="478">
        <v>-5730</v>
      </c>
      <c r="H62" s="478">
        <v>-5730</v>
      </c>
      <c r="I62" s="478">
        <v>-5730</v>
      </c>
      <c r="J62" s="478">
        <v>-5730</v>
      </c>
      <c r="K62" s="478">
        <v>-5730</v>
      </c>
      <c r="L62" s="478">
        <v>-5730</v>
      </c>
      <c r="M62" s="478">
        <v>-5730</v>
      </c>
      <c r="N62" s="478">
        <v>-5730</v>
      </c>
      <c r="O62" s="479">
        <f t="shared" si="61"/>
        <v>-68760</v>
      </c>
      <c r="Q62" s="72"/>
      <c r="R62" s="72"/>
      <c r="S62" s="72"/>
      <c r="T62" s="72"/>
      <c r="U62" s="72"/>
      <c r="V62" s="72"/>
    </row>
    <row r="63" spans="1:23" s="72" customFormat="1" x14ac:dyDescent="0.4">
      <c r="B63" s="128" t="s">
        <v>91</v>
      </c>
      <c r="C63" s="480">
        <v>302</v>
      </c>
      <c r="D63" s="481">
        <v>550</v>
      </c>
      <c r="E63" s="481">
        <v>550</v>
      </c>
      <c r="F63" s="481">
        <v>550</v>
      </c>
      <c r="G63" s="481">
        <v>550</v>
      </c>
      <c r="H63" s="481">
        <v>550</v>
      </c>
      <c r="I63" s="481">
        <v>550</v>
      </c>
      <c r="J63" s="481">
        <v>550</v>
      </c>
      <c r="K63" s="481">
        <v>550</v>
      </c>
      <c r="L63" s="481">
        <v>550</v>
      </c>
      <c r="M63" s="481">
        <v>550</v>
      </c>
      <c r="N63" s="481">
        <v>550</v>
      </c>
      <c r="O63" s="482">
        <f t="shared" si="61"/>
        <v>6352</v>
      </c>
      <c r="P63"/>
    </row>
    <row r="64" spans="1:23" s="72" customFormat="1" x14ac:dyDescent="0.4">
      <c r="B64" s="128" t="s">
        <v>92</v>
      </c>
      <c r="C64" s="480">
        <v>301.61</v>
      </c>
      <c r="D64" s="481">
        <v>850</v>
      </c>
      <c r="E64" s="481">
        <v>850</v>
      </c>
      <c r="F64" s="481">
        <v>850</v>
      </c>
      <c r="G64" s="481">
        <v>850</v>
      </c>
      <c r="H64" s="481">
        <v>850</v>
      </c>
      <c r="I64" s="481">
        <v>850</v>
      </c>
      <c r="J64" s="481">
        <v>850</v>
      </c>
      <c r="K64" s="481">
        <v>850</v>
      </c>
      <c r="L64" s="481">
        <v>850</v>
      </c>
      <c r="M64" s="481">
        <v>850</v>
      </c>
      <c r="N64" s="481">
        <v>850</v>
      </c>
      <c r="O64" s="482">
        <f t="shared" si="61"/>
        <v>9651.61</v>
      </c>
      <c r="P64"/>
      <c r="Q64"/>
      <c r="R64"/>
      <c r="S64"/>
      <c r="T64"/>
      <c r="U64"/>
      <c r="V64"/>
    </row>
    <row r="65" spans="1:22" x14ac:dyDescent="0.4">
      <c r="A65" s="173"/>
      <c r="B65" s="128" t="s">
        <v>93</v>
      </c>
      <c r="C65" s="481"/>
      <c r="D65" s="481"/>
      <c r="E65" s="481"/>
      <c r="F65" s="480">
        <v>300</v>
      </c>
      <c r="G65" s="480">
        <v>300</v>
      </c>
      <c r="H65" s="481">
        <v>300</v>
      </c>
      <c r="I65" s="481">
        <v>300</v>
      </c>
      <c r="J65" s="481">
        <v>300</v>
      </c>
      <c r="K65" s="481">
        <v>300</v>
      </c>
      <c r="L65" s="481">
        <v>300</v>
      </c>
      <c r="M65" s="481">
        <v>300</v>
      </c>
      <c r="N65" s="481">
        <v>300</v>
      </c>
      <c r="O65" s="482">
        <f t="shared" si="61"/>
        <v>2700</v>
      </c>
      <c r="P65" s="72"/>
    </row>
    <row r="66" spans="1:22" x14ac:dyDescent="0.4">
      <c r="B66" s="128" t="s">
        <v>94</v>
      </c>
      <c r="C66" s="481"/>
      <c r="D66" s="481"/>
      <c r="E66" s="481"/>
      <c r="F66" s="480">
        <v>100</v>
      </c>
      <c r="G66" s="480">
        <v>100</v>
      </c>
      <c r="H66" s="481">
        <v>100</v>
      </c>
      <c r="I66" s="481">
        <v>100</v>
      </c>
      <c r="J66" s="481">
        <v>100</v>
      </c>
      <c r="K66" s="481">
        <v>100</v>
      </c>
      <c r="L66" s="481">
        <v>100</v>
      </c>
      <c r="M66" s="481">
        <v>100</v>
      </c>
      <c r="N66" s="481">
        <v>100</v>
      </c>
      <c r="O66" s="482">
        <f t="shared" si="61"/>
        <v>900</v>
      </c>
    </row>
    <row r="67" spans="1:22" x14ac:dyDescent="0.4">
      <c r="B67" s="128" t="s">
        <v>95</v>
      </c>
      <c r="C67" s="481"/>
      <c r="D67" s="481"/>
      <c r="E67" s="481"/>
      <c r="F67" s="480">
        <v>510</v>
      </c>
      <c r="G67" s="480">
        <v>510</v>
      </c>
      <c r="H67" s="481">
        <v>510</v>
      </c>
      <c r="I67" s="481">
        <v>510</v>
      </c>
      <c r="J67" s="481">
        <v>510</v>
      </c>
      <c r="K67" s="481">
        <v>510</v>
      </c>
      <c r="L67" s="481">
        <v>510</v>
      </c>
      <c r="M67" s="481">
        <v>510</v>
      </c>
      <c r="N67" s="481">
        <v>510</v>
      </c>
      <c r="O67" s="482">
        <f t="shared" si="61"/>
        <v>4590</v>
      </c>
    </row>
    <row r="68" spans="1:22" x14ac:dyDescent="0.4">
      <c r="B68" s="128" t="s">
        <v>96</v>
      </c>
      <c r="C68" s="481"/>
      <c r="D68" s="481"/>
      <c r="E68" s="481"/>
      <c r="F68" s="480">
        <v>510</v>
      </c>
      <c r="G68" s="480">
        <v>510</v>
      </c>
      <c r="H68" s="480">
        <v>510</v>
      </c>
      <c r="I68" s="480">
        <v>510</v>
      </c>
      <c r="J68" s="480">
        <v>510</v>
      </c>
      <c r="K68" s="480">
        <v>510</v>
      </c>
      <c r="L68" s="480">
        <v>510</v>
      </c>
      <c r="M68" s="480">
        <v>510</v>
      </c>
      <c r="N68" s="480">
        <v>510</v>
      </c>
      <c r="O68" s="482">
        <f t="shared" si="61"/>
        <v>4590</v>
      </c>
    </row>
    <row r="69" spans="1:22" x14ac:dyDescent="0.4">
      <c r="A69" s="83"/>
      <c r="B69" s="128" t="s">
        <v>97</v>
      </c>
      <c r="C69" s="480"/>
      <c r="D69" s="480"/>
      <c r="E69" s="480"/>
      <c r="F69" s="480">
        <v>325</v>
      </c>
      <c r="G69" s="480">
        <v>325</v>
      </c>
      <c r="H69" s="481">
        <v>325</v>
      </c>
      <c r="I69" s="481">
        <v>325</v>
      </c>
      <c r="J69" s="481">
        <v>325</v>
      </c>
      <c r="K69" s="481">
        <v>325</v>
      </c>
      <c r="L69" s="481">
        <v>325</v>
      </c>
      <c r="M69" s="481">
        <v>325</v>
      </c>
      <c r="N69" s="481">
        <v>325</v>
      </c>
      <c r="O69" s="482">
        <f t="shared" si="61"/>
        <v>2925</v>
      </c>
    </row>
    <row r="70" spans="1:22" s="72" customFormat="1" x14ac:dyDescent="0.4">
      <c r="A70" s="83"/>
      <c r="B70" s="128" t="s">
        <v>98</v>
      </c>
      <c r="C70" s="480"/>
      <c r="D70" s="481"/>
      <c r="E70" s="481"/>
      <c r="F70" s="480">
        <v>269</v>
      </c>
      <c r="G70" s="480">
        <v>269</v>
      </c>
      <c r="H70" s="481">
        <v>269</v>
      </c>
      <c r="I70" s="481">
        <v>269</v>
      </c>
      <c r="J70" s="481">
        <v>269</v>
      </c>
      <c r="K70" s="481">
        <v>269</v>
      </c>
      <c r="L70" s="481">
        <v>269</v>
      </c>
      <c r="M70" s="481">
        <v>269</v>
      </c>
      <c r="N70" s="481">
        <v>269</v>
      </c>
      <c r="O70" s="482">
        <f t="shared" si="61"/>
        <v>2421</v>
      </c>
    </row>
    <row r="71" spans="1:22" x14ac:dyDescent="0.4">
      <c r="A71" s="83"/>
      <c r="B71" s="128" t="s">
        <v>144</v>
      </c>
      <c r="C71" s="481"/>
      <c r="D71" s="481"/>
      <c r="E71" s="481"/>
      <c r="F71" s="480"/>
      <c r="G71" s="480">
        <v>1615</v>
      </c>
      <c r="H71" s="481">
        <v>1615</v>
      </c>
      <c r="I71" s="481">
        <v>1615</v>
      </c>
      <c r="J71" s="481">
        <v>1615</v>
      </c>
      <c r="K71" s="481">
        <v>1615</v>
      </c>
      <c r="L71" s="481">
        <v>1615</v>
      </c>
      <c r="M71" s="481">
        <v>1615</v>
      </c>
      <c r="N71" s="481">
        <v>1615</v>
      </c>
      <c r="O71" s="482">
        <f t="shared" si="61"/>
        <v>12920</v>
      </c>
      <c r="Q71" s="72"/>
      <c r="R71" s="72"/>
      <c r="S71" s="72"/>
      <c r="T71" s="72"/>
      <c r="U71" s="72"/>
      <c r="V71" s="72"/>
    </row>
    <row r="72" spans="1:22" s="72" customFormat="1" x14ac:dyDescent="0.4">
      <c r="A72" s="83"/>
      <c r="B72" s="148" t="s">
        <v>100</v>
      </c>
      <c r="C72" s="547"/>
      <c r="D72" s="478"/>
      <c r="E72" s="478">
        <v>-50</v>
      </c>
      <c r="F72" s="547">
        <v>-50</v>
      </c>
      <c r="G72" s="547">
        <v>-50</v>
      </c>
      <c r="H72" s="478">
        <v>-50</v>
      </c>
      <c r="I72" s="478">
        <v>-50</v>
      </c>
      <c r="J72" s="478">
        <v>-50</v>
      </c>
      <c r="K72" s="478">
        <v>-50</v>
      </c>
      <c r="L72" s="478">
        <v>-50</v>
      </c>
      <c r="M72" s="478">
        <v>-50</v>
      </c>
      <c r="N72" s="478">
        <v>-50</v>
      </c>
      <c r="O72" s="479">
        <f t="shared" si="61"/>
        <v>-500</v>
      </c>
      <c r="P72"/>
    </row>
    <row r="73" spans="1:22" s="73" customFormat="1" x14ac:dyDescent="0.4">
      <c r="A73" s="83"/>
      <c r="B73" s="72" t="s">
        <v>101</v>
      </c>
      <c r="C73" s="480"/>
      <c r="D73" s="480"/>
      <c r="E73" s="480"/>
      <c r="F73" s="480">
        <v>425</v>
      </c>
      <c r="G73" s="481">
        <v>425</v>
      </c>
      <c r="H73" s="481">
        <v>425</v>
      </c>
      <c r="I73" s="481">
        <v>425</v>
      </c>
      <c r="J73" s="481">
        <v>425</v>
      </c>
      <c r="K73" s="481">
        <v>425</v>
      </c>
      <c r="L73" s="481">
        <v>425</v>
      </c>
      <c r="M73" s="481">
        <v>425</v>
      </c>
      <c r="N73" s="481">
        <v>425</v>
      </c>
      <c r="O73" s="482">
        <f t="shared" si="61"/>
        <v>3825</v>
      </c>
    </row>
    <row r="74" spans="1:22" s="73" customFormat="1" x14ac:dyDescent="0.4">
      <c r="A74" s="83"/>
      <c r="B74" s="72" t="s">
        <v>102</v>
      </c>
      <c r="C74" s="480"/>
      <c r="D74" s="480"/>
      <c r="E74" s="480"/>
      <c r="F74" s="480"/>
      <c r="G74" s="480">
        <v>60</v>
      </c>
      <c r="H74" s="481">
        <v>60</v>
      </c>
      <c r="I74" s="481">
        <v>60</v>
      </c>
      <c r="J74" s="481">
        <v>60</v>
      </c>
      <c r="K74" s="481">
        <v>60</v>
      </c>
      <c r="L74" s="481">
        <v>60</v>
      </c>
      <c r="M74" s="481">
        <v>60</v>
      </c>
      <c r="N74" s="481">
        <v>60</v>
      </c>
      <c r="O74" s="482">
        <f t="shared" si="61"/>
        <v>480</v>
      </c>
    </row>
    <row r="75" spans="1:22" s="73" customFormat="1" x14ac:dyDescent="0.4">
      <c r="A75" s="550"/>
      <c r="B75" s="73" t="s">
        <v>103</v>
      </c>
      <c r="C75" s="547"/>
      <c r="D75" s="547"/>
      <c r="E75" s="547"/>
      <c r="F75" s="547"/>
      <c r="G75" s="547"/>
      <c r="H75" s="547"/>
      <c r="I75" s="547">
        <v>-2500</v>
      </c>
      <c r="J75" s="547">
        <v>-2500</v>
      </c>
      <c r="K75" s="547">
        <v>-2500</v>
      </c>
      <c r="L75" s="547">
        <v>-2500</v>
      </c>
      <c r="M75" s="547">
        <v>-2500</v>
      </c>
      <c r="N75" s="547">
        <v>-2500</v>
      </c>
      <c r="O75" s="479">
        <f t="shared" si="61"/>
        <v>-15000</v>
      </c>
    </row>
    <row r="76" spans="1:22" s="73" customFormat="1" x14ac:dyDescent="0.4">
      <c r="A76" s="83"/>
      <c r="B76" s="72" t="s">
        <v>104</v>
      </c>
      <c r="C76" s="480"/>
      <c r="D76" s="480"/>
      <c r="E76" s="480"/>
      <c r="F76" s="480">
        <v>385</v>
      </c>
      <c r="G76" s="480">
        <v>385</v>
      </c>
      <c r="H76" s="480">
        <v>385</v>
      </c>
      <c r="I76" s="480">
        <v>385</v>
      </c>
      <c r="J76" s="480">
        <v>385</v>
      </c>
      <c r="K76" s="480">
        <v>385</v>
      </c>
      <c r="L76" s="480">
        <v>385</v>
      </c>
      <c r="M76" s="480">
        <v>385</v>
      </c>
      <c r="N76" s="480">
        <v>385</v>
      </c>
      <c r="O76" s="482">
        <f t="shared" si="61"/>
        <v>3465</v>
      </c>
    </row>
    <row r="77" spans="1:22" s="73" customFormat="1" x14ac:dyDescent="0.4">
      <c r="A77" s="83"/>
      <c r="B77" s="73" t="s">
        <v>145</v>
      </c>
      <c r="C77" s="547"/>
      <c r="D77" s="547"/>
      <c r="E77" s="547"/>
      <c r="F77" s="547"/>
      <c r="G77" s="547">
        <v>-3770</v>
      </c>
      <c r="H77" s="547">
        <v>-3770</v>
      </c>
      <c r="I77" s="547">
        <v>-3770</v>
      </c>
      <c r="J77" s="547">
        <v>-3770</v>
      </c>
      <c r="K77" s="547">
        <v>-3770</v>
      </c>
      <c r="L77" s="547">
        <v>-3770</v>
      </c>
      <c r="M77" s="547">
        <v>-3770</v>
      </c>
      <c r="N77" s="547">
        <v>-3770</v>
      </c>
      <c r="O77" s="479">
        <f t="shared" si="61"/>
        <v>-30160</v>
      </c>
    </row>
    <row r="78" spans="1:22" s="73" customFormat="1" x14ac:dyDescent="0.4">
      <c r="A78" s="83"/>
      <c r="B78" s="72" t="s">
        <v>146</v>
      </c>
      <c r="C78" s="480"/>
      <c r="D78" s="480"/>
      <c r="E78" s="480"/>
      <c r="F78" s="480">
        <v>735</v>
      </c>
      <c r="G78" s="480">
        <v>735</v>
      </c>
      <c r="H78" s="480">
        <v>735</v>
      </c>
      <c r="I78" s="480">
        <v>735</v>
      </c>
      <c r="J78" s="480">
        <v>735</v>
      </c>
      <c r="K78" s="480">
        <v>735</v>
      </c>
      <c r="L78" s="480">
        <v>735</v>
      </c>
      <c r="M78" s="480">
        <v>735</v>
      </c>
      <c r="N78" s="480">
        <v>735</v>
      </c>
      <c r="O78" s="482">
        <f>SUM(C78:N78)</f>
        <v>6615</v>
      </c>
    </row>
    <row r="79" spans="1:22" s="73" customFormat="1" x14ac:dyDescent="0.4">
      <c r="A79" s="83"/>
      <c r="B79" s="72" t="s">
        <v>147</v>
      </c>
      <c r="C79" s="480"/>
      <c r="D79" s="480"/>
      <c r="E79" s="480"/>
      <c r="F79" s="480">
        <v>280</v>
      </c>
      <c r="G79" s="480">
        <v>525</v>
      </c>
      <c r="H79" s="480">
        <v>525</v>
      </c>
      <c r="I79" s="480">
        <v>525</v>
      </c>
      <c r="J79" s="480">
        <v>525</v>
      </c>
      <c r="K79" s="480">
        <v>525</v>
      </c>
      <c r="L79" s="480">
        <v>525</v>
      </c>
      <c r="M79" s="480">
        <v>525</v>
      </c>
      <c r="N79" s="480">
        <v>525</v>
      </c>
      <c r="O79" s="482">
        <f t="shared" ref="O79:O80" si="62">SUM(M79:N79)</f>
        <v>1050</v>
      </c>
    </row>
    <row r="80" spans="1:22" s="73" customFormat="1" x14ac:dyDescent="0.4">
      <c r="A80" s="83"/>
      <c r="B80" s="72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  <c r="N80" s="480"/>
      <c r="O80" s="479">
        <f t="shared" si="62"/>
        <v>0</v>
      </c>
    </row>
    <row r="81" spans="2:22" s="73" customFormat="1" x14ac:dyDescent="0.4">
      <c r="B81" s="71"/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83"/>
      <c r="N81" s="487"/>
      <c r="O81" s="482">
        <f>N81</f>
        <v>0</v>
      </c>
      <c r="P81" s="72"/>
      <c r="Q81"/>
      <c r="R81"/>
      <c r="S81"/>
      <c r="T81"/>
      <c r="U81"/>
      <c r="V81"/>
    </row>
    <row r="82" spans="2:22" x14ac:dyDescent="0.4">
      <c r="B82" s="10"/>
      <c r="C82" s="478"/>
      <c r="D82" s="478"/>
      <c r="E82" s="478"/>
      <c r="F82" s="478"/>
      <c r="G82" s="488"/>
      <c r="H82" s="488"/>
      <c r="I82" s="488"/>
      <c r="J82" s="488"/>
      <c r="K82" s="481"/>
      <c r="L82" s="488"/>
      <c r="M82" s="488"/>
      <c r="N82" s="488"/>
      <c r="O82" s="482"/>
    </row>
    <row r="83" spans="2:22" x14ac:dyDescent="0.4">
      <c r="B83" s="99" t="s">
        <v>107</v>
      </c>
      <c r="C83" s="489">
        <f t="shared" ref="C83:O83" si="63">SUM(C59:C82)</f>
        <v>135784.60999999999</v>
      </c>
      <c r="D83" s="489">
        <f t="shared" si="63"/>
        <v>136581</v>
      </c>
      <c r="E83" s="489">
        <f t="shared" si="63"/>
        <v>136531</v>
      </c>
      <c r="F83" s="489">
        <f t="shared" si="63"/>
        <v>140370</v>
      </c>
      <c r="G83" s="489">
        <f t="shared" si="63"/>
        <v>138520</v>
      </c>
      <c r="H83" s="489">
        <f t="shared" si="63"/>
        <v>138520</v>
      </c>
      <c r="I83" s="489">
        <f t="shared" si="63"/>
        <v>136020</v>
      </c>
      <c r="J83" s="489">
        <f t="shared" si="63"/>
        <v>136020</v>
      </c>
      <c r="K83" s="482">
        <f t="shared" si="63"/>
        <v>136020</v>
      </c>
      <c r="L83" s="489">
        <f t="shared" si="63"/>
        <v>136020</v>
      </c>
      <c r="M83" s="489">
        <f t="shared" si="63"/>
        <v>136020</v>
      </c>
      <c r="N83" s="489">
        <f t="shared" si="63"/>
        <v>136020</v>
      </c>
      <c r="O83" s="482">
        <f t="shared" si="63"/>
        <v>1638996.61</v>
      </c>
      <c r="P83"/>
    </row>
    <row r="84" spans="2:22" x14ac:dyDescent="0.4">
      <c r="B84" s="99" t="s">
        <v>108</v>
      </c>
      <c r="C84" s="479">
        <f>C83-C59</f>
        <v>-10126.390000000014</v>
      </c>
      <c r="D84" s="482">
        <f>D83-C83</f>
        <v>796.39000000001397</v>
      </c>
      <c r="E84" s="482">
        <f t="shared" ref="E84:N84" si="64">E83-D83</f>
        <v>-50</v>
      </c>
      <c r="F84" s="482">
        <f t="shared" si="64"/>
        <v>3839</v>
      </c>
      <c r="G84" s="489">
        <f t="shared" si="64"/>
        <v>-1850</v>
      </c>
      <c r="H84" s="489">
        <f t="shared" si="64"/>
        <v>0</v>
      </c>
      <c r="I84" s="489">
        <f t="shared" si="64"/>
        <v>-2500</v>
      </c>
      <c r="J84" s="489">
        <f t="shared" si="64"/>
        <v>0</v>
      </c>
      <c r="K84" s="482">
        <f>K83-J83</f>
        <v>0</v>
      </c>
      <c r="L84" s="482">
        <f t="shared" si="64"/>
        <v>0</v>
      </c>
      <c r="M84" s="482">
        <f t="shared" si="64"/>
        <v>0</v>
      </c>
      <c r="N84" s="489">
        <f t="shared" si="64"/>
        <v>0</v>
      </c>
      <c r="O84" s="546">
        <f>SUM(C84:N84)</f>
        <v>-9891</v>
      </c>
      <c r="P84"/>
    </row>
    <row r="85" spans="2:22" x14ac:dyDescent="0.4">
      <c r="B85" s="99"/>
      <c r="C85" s="100"/>
      <c r="D85" s="100"/>
      <c r="E85" s="100"/>
      <c r="F85" s="100"/>
      <c r="G85" s="100"/>
      <c r="H85" s="100"/>
      <c r="I85" s="100"/>
      <c r="J85" s="100"/>
      <c r="K85" s="126"/>
      <c r="L85" s="100"/>
      <c r="M85" s="100"/>
      <c r="N85" s="100"/>
      <c r="O85" s="100"/>
      <c r="P85"/>
      <c r="Q85" s="3"/>
      <c r="R85" s="3"/>
      <c r="S85" s="3"/>
      <c r="T85" s="3"/>
      <c r="U85" s="3"/>
      <c r="V85" s="3"/>
    </row>
    <row r="86" spans="2:22" s="3" customFormat="1" x14ac:dyDescent="0.4">
      <c r="B86" s="120"/>
      <c r="C86" s="215"/>
      <c r="D86" s="90"/>
      <c r="E86" s="90"/>
      <c r="F86" s="90"/>
      <c r="G86" s="90"/>
      <c r="H86" s="90"/>
      <c r="I86" s="90"/>
      <c r="J86" s="90"/>
      <c r="K86" s="127"/>
      <c r="L86" s="90"/>
      <c r="M86" s="90"/>
      <c r="N86" s="90"/>
      <c r="O86" s="90"/>
      <c r="P86"/>
      <c r="Q86"/>
      <c r="R86"/>
      <c r="S86"/>
      <c r="T86"/>
      <c r="U86"/>
      <c r="V86"/>
    </row>
    <row r="87" spans="2:22" x14ac:dyDescent="0.4">
      <c r="B87" s="99" t="s">
        <v>109</v>
      </c>
      <c r="C87" s="100">
        <f t="shared" ref="C87:O87" si="65">C83-C59</f>
        <v>-10126.390000000014</v>
      </c>
      <c r="D87" s="100">
        <f t="shared" si="65"/>
        <v>-9330</v>
      </c>
      <c r="E87" s="100">
        <f t="shared" si="65"/>
        <v>-9380</v>
      </c>
      <c r="F87" s="100">
        <f t="shared" si="65"/>
        <v>-5541</v>
      </c>
      <c r="G87" s="100">
        <f t="shared" si="65"/>
        <v>-7391</v>
      </c>
      <c r="H87" s="100">
        <f t="shared" si="65"/>
        <v>-7391</v>
      </c>
      <c r="I87" s="100">
        <f t="shared" si="65"/>
        <v>-9891</v>
      </c>
      <c r="J87" s="100">
        <f t="shared" si="65"/>
        <v>-9891</v>
      </c>
      <c r="K87" s="126">
        <f t="shared" si="65"/>
        <v>-9891</v>
      </c>
      <c r="L87" s="100">
        <f t="shared" si="65"/>
        <v>-9891</v>
      </c>
      <c r="M87" s="100">
        <f t="shared" si="65"/>
        <v>-9891</v>
      </c>
      <c r="N87" s="100">
        <f t="shared" si="65"/>
        <v>-9891</v>
      </c>
      <c r="O87" s="100">
        <f t="shared" si="65"/>
        <v>-111935.3899999999</v>
      </c>
    </row>
    <row r="88" spans="2:22" x14ac:dyDescent="0.4">
      <c r="G88" s="3"/>
      <c r="P88"/>
    </row>
    <row r="89" spans="2:22" x14ac:dyDescent="0.4">
      <c r="B89" s="216" t="s">
        <v>110</v>
      </c>
      <c r="C89" s="309"/>
      <c r="D89" s="309"/>
      <c r="E89" s="309">
        <v>138827</v>
      </c>
      <c r="F89" s="181"/>
      <c r="G89" s="309"/>
      <c r="H89" s="309"/>
      <c r="I89" s="309"/>
      <c r="J89" s="309"/>
      <c r="K89" s="303"/>
      <c r="L89" s="309"/>
      <c r="M89" s="309"/>
      <c r="N89" s="181"/>
      <c r="O89" s="181"/>
      <c r="P89"/>
    </row>
    <row r="90" spans="2:22" x14ac:dyDescent="0.4">
      <c r="B90" s="83" t="s">
        <v>111</v>
      </c>
      <c r="C90" s="132"/>
      <c r="D90" s="132"/>
      <c r="E90" s="542">
        <f>E89-E83</f>
        <v>2296</v>
      </c>
      <c r="G90" s="466"/>
      <c r="H90" s="132"/>
      <c r="I90" s="149"/>
      <c r="M90" s="412"/>
      <c r="P90"/>
    </row>
    <row r="91" spans="2:22" x14ac:dyDescent="0.4">
      <c r="B91" s="189"/>
      <c r="C91" s="132"/>
      <c r="D91" s="132"/>
      <c r="E91" s="132"/>
      <c r="F91" s="132"/>
      <c r="G91" s="132"/>
      <c r="H91" s="132"/>
      <c r="K91" s="132"/>
      <c r="L91" s="132"/>
      <c r="M91" s="132"/>
      <c r="N91" s="132"/>
      <c r="P91"/>
    </row>
    <row r="92" spans="2:22" x14ac:dyDescent="0.4">
      <c r="B92" s="83"/>
      <c r="C92" s="90"/>
      <c r="D92" s="90"/>
      <c r="E92" s="90"/>
      <c r="F92" s="90"/>
      <c r="G92" s="90"/>
      <c r="H92" s="90"/>
      <c r="I92" s="90"/>
      <c r="J92" s="90"/>
      <c r="K92" s="127"/>
      <c r="L92" s="90"/>
      <c r="M92" s="90"/>
      <c r="N92" s="90"/>
      <c r="P92"/>
    </row>
    <row r="93" spans="2:22" x14ac:dyDescent="0.4">
      <c r="B93" s="83"/>
      <c r="C93" s="90"/>
      <c r="D93" s="90"/>
      <c r="E93" s="90"/>
      <c r="F93" s="90"/>
      <c r="G93" s="90"/>
      <c r="H93" s="90"/>
      <c r="I93" s="90"/>
      <c r="J93" s="90"/>
      <c r="K93" s="127"/>
      <c r="L93" s="90"/>
      <c r="M93" s="90"/>
      <c r="N93" s="90"/>
      <c r="P93"/>
    </row>
    <row r="94" spans="2:22" x14ac:dyDescent="0.4">
      <c r="E94" s="543" t="s">
        <v>112</v>
      </c>
      <c r="F94" s="544" t="s">
        <v>113</v>
      </c>
      <c r="G94" s="545"/>
      <c r="L94" s="90"/>
      <c r="P94"/>
    </row>
    <row r="95" spans="2:22" x14ac:dyDescent="0.4">
      <c r="G95" s="3"/>
      <c r="H95" s="150"/>
      <c r="I95" s="159"/>
      <c r="J95" s="159"/>
      <c r="K95" s="290"/>
      <c r="L95" s="90"/>
      <c r="P95"/>
    </row>
    <row r="96" spans="2:22" x14ac:dyDescent="0.4">
      <c r="G96" s="124"/>
      <c r="P96"/>
    </row>
    <row r="99" spans="4:16" x14ac:dyDescent="0.4">
      <c r="G99" s="151"/>
    </row>
    <row r="100" spans="4:16" x14ac:dyDescent="0.4">
      <c r="D100" s="90"/>
      <c r="E100" s="132"/>
      <c r="F100" s="90"/>
      <c r="G100" s="90"/>
    </row>
    <row r="102" spans="4:16" x14ac:dyDescent="0.4">
      <c r="D102" s="205"/>
      <c r="F102" s="150"/>
    </row>
    <row r="103" spans="4:16" x14ac:dyDescent="0.4">
      <c r="H103" s="161">
        <v>1</v>
      </c>
      <c r="I103" s="161">
        <v>2</v>
      </c>
      <c r="J103" s="161">
        <v>3</v>
      </c>
      <c r="K103" s="291">
        <v>4</v>
      </c>
      <c r="L103" s="161">
        <v>5</v>
      </c>
      <c r="M103" s="161">
        <v>6</v>
      </c>
      <c r="N103" s="161">
        <v>7</v>
      </c>
      <c r="O103" s="161">
        <v>8</v>
      </c>
      <c r="P103" s="161">
        <v>10</v>
      </c>
    </row>
    <row r="104" spans="4:16" x14ac:dyDescent="0.4">
      <c r="F104" s="151"/>
      <c r="G104" s="130">
        <v>2022</v>
      </c>
      <c r="H104" s="130">
        <v>2023</v>
      </c>
      <c r="I104" s="130">
        <v>2024</v>
      </c>
      <c r="J104" s="130">
        <v>2025</v>
      </c>
      <c r="K104" s="292">
        <v>2026</v>
      </c>
      <c r="L104" s="130">
        <v>2027</v>
      </c>
      <c r="M104" s="130">
        <v>2028</v>
      </c>
      <c r="N104" s="130">
        <v>2029</v>
      </c>
      <c r="O104" s="130">
        <v>2030</v>
      </c>
      <c r="P104" s="130">
        <v>2032</v>
      </c>
    </row>
    <row r="106" spans="4:16" x14ac:dyDescent="0.4">
      <c r="F106" t="s">
        <v>114</v>
      </c>
      <c r="G106" s="90"/>
      <c r="H106" s="90">
        <v>185000</v>
      </c>
      <c r="I106" s="90">
        <f>H106+50000</f>
        <v>235000</v>
      </c>
      <c r="J106" s="90">
        <f t="shared" ref="J106:O106" si="66">I106+50000</f>
        <v>285000</v>
      </c>
      <c r="K106" s="127">
        <f>J106+50000</f>
        <v>335000</v>
      </c>
      <c r="L106" s="90">
        <f t="shared" si="66"/>
        <v>385000</v>
      </c>
      <c r="M106" s="90">
        <f t="shared" si="66"/>
        <v>435000</v>
      </c>
      <c r="N106" s="90">
        <f t="shared" si="66"/>
        <v>485000</v>
      </c>
      <c r="O106" s="90">
        <f t="shared" si="66"/>
        <v>535000</v>
      </c>
      <c r="P106" s="90" t="e">
        <f>#REF!+50000</f>
        <v>#REF!</v>
      </c>
    </row>
    <row r="108" spans="4:16" x14ac:dyDescent="0.4">
      <c r="F108" s="83" t="s">
        <v>115</v>
      </c>
      <c r="G108" s="160">
        <f>G106*1.5</f>
        <v>0</v>
      </c>
      <c r="H108" s="160">
        <v>130000</v>
      </c>
      <c r="I108" s="160">
        <v>400000</v>
      </c>
      <c r="J108" s="160">
        <f t="shared" ref="J108:P108" si="67">J106*1.5</f>
        <v>427500</v>
      </c>
      <c r="K108" s="293">
        <f t="shared" si="67"/>
        <v>502500</v>
      </c>
      <c r="L108" s="160">
        <f t="shared" si="67"/>
        <v>577500</v>
      </c>
      <c r="M108" s="160">
        <f t="shared" si="67"/>
        <v>652500</v>
      </c>
      <c r="N108" s="160">
        <f t="shared" si="67"/>
        <v>727500</v>
      </c>
      <c r="O108" s="160">
        <f t="shared" si="67"/>
        <v>802500</v>
      </c>
      <c r="P108" s="160" t="e">
        <f t="shared" si="67"/>
        <v>#REF!</v>
      </c>
    </row>
    <row r="110" spans="4:16" x14ac:dyDescent="0.4">
      <c r="F110" t="s">
        <v>116</v>
      </c>
      <c r="H110" s="90">
        <v>100000</v>
      </c>
      <c r="I110" s="90"/>
      <c r="J110" s="90"/>
      <c r="K110" s="127"/>
      <c r="L110" s="90"/>
      <c r="M110" s="90"/>
      <c r="N110" s="90"/>
      <c r="O110" s="90"/>
      <c r="P110" s="103"/>
    </row>
    <row r="112" spans="4:16" x14ac:dyDescent="0.4">
      <c r="F112" s="162" t="s">
        <v>117</v>
      </c>
      <c r="G112" s="163">
        <f>SUM(G106:G111)</f>
        <v>0</v>
      </c>
      <c r="H112" s="163">
        <f t="shared" ref="H112:P112" si="68">SUM(H106:H111)</f>
        <v>415000</v>
      </c>
      <c r="I112" s="163">
        <f t="shared" si="68"/>
        <v>635000</v>
      </c>
      <c r="J112" s="163">
        <f t="shared" si="68"/>
        <v>712500</v>
      </c>
      <c r="K112" s="294">
        <f t="shared" si="68"/>
        <v>837500</v>
      </c>
      <c r="L112" s="163">
        <f t="shared" si="68"/>
        <v>962500</v>
      </c>
      <c r="M112" s="163">
        <f t="shared" si="68"/>
        <v>1087500</v>
      </c>
      <c r="N112" s="163">
        <f t="shared" si="68"/>
        <v>1212500</v>
      </c>
      <c r="O112" s="163">
        <f t="shared" si="68"/>
        <v>1337500</v>
      </c>
      <c r="P112" s="163" t="e">
        <f t="shared" si="68"/>
        <v>#REF!</v>
      </c>
    </row>
    <row r="114" spans="6:16" x14ac:dyDescent="0.4">
      <c r="F114" s="164" t="s">
        <v>118</v>
      </c>
      <c r="G114" s="165">
        <f>G112*12</f>
        <v>0</v>
      </c>
      <c r="H114" s="165">
        <f t="shared" ref="H114:P114" si="69">H112*12</f>
        <v>4980000</v>
      </c>
      <c r="I114" s="165">
        <f t="shared" si="69"/>
        <v>7620000</v>
      </c>
      <c r="J114" s="165">
        <f t="shared" si="69"/>
        <v>8550000</v>
      </c>
      <c r="K114" s="295">
        <f t="shared" si="69"/>
        <v>10050000</v>
      </c>
      <c r="L114" s="165">
        <f t="shared" si="69"/>
        <v>11550000</v>
      </c>
      <c r="M114" s="165">
        <f t="shared" si="69"/>
        <v>13050000</v>
      </c>
      <c r="N114" s="165">
        <f t="shared" si="69"/>
        <v>14550000</v>
      </c>
      <c r="O114" s="165">
        <f t="shared" si="69"/>
        <v>16050000</v>
      </c>
      <c r="P114" s="165" t="e">
        <f t="shared" si="69"/>
        <v>#REF!</v>
      </c>
    </row>
    <row r="116" spans="6:16" x14ac:dyDescent="0.4">
      <c r="G116" s="90"/>
      <c r="H116" s="90"/>
      <c r="I116" s="90"/>
      <c r="J116" s="90"/>
      <c r="K116" s="127"/>
      <c r="L116" s="90"/>
      <c r="M116" s="90"/>
      <c r="N116" s="90"/>
      <c r="O116" s="90"/>
      <c r="P116" s="90"/>
    </row>
    <row r="117" spans="6:16" x14ac:dyDescent="0.4">
      <c r="F117" s="166"/>
      <c r="G117" s="132"/>
      <c r="H117" s="132"/>
      <c r="I117" s="132"/>
      <c r="J117" s="132"/>
      <c r="K117" s="289"/>
      <c r="L117" s="132"/>
      <c r="M117" s="132"/>
      <c r="N117" s="132"/>
      <c r="O117" s="132"/>
      <c r="P117" s="132"/>
    </row>
    <row r="118" spans="6:16" x14ac:dyDescent="0.4">
      <c r="F118" s="83"/>
      <c r="G118" s="90"/>
      <c r="H118" s="90"/>
      <c r="I118" s="90"/>
      <c r="J118" s="90"/>
      <c r="K118" s="127"/>
      <c r="L118" s="90"/>
      <c r="M118" s="90"/>
      <c r="N118" s="90"/>
      <c r="O118" s="90"/>
      <c r="P118" s="90"/>
    </row>
    <row r="119" spans="6:16" x14ac:dyDescent="0.4">
      <c r="F119" s="83"/>
      <c r="G119" s="132"/>
      <c r="H119" s="132"/>
      <c r="I119" s="132"/>
      <c r="J119" s="132"/>
      <c r="K119" s="289"/>
      <c r="L119" s="132"/>
      <c r="M119" s="132"/>
      <c r="N119" s="132"/>
      <c r="O119" s="132"/>
      <c r="P119" s="132"/>
    </row>
    <row r="120" spans="6:16" x14ac:dyDescent="0.4">
      <c r="F120" s="83"/>
      <c r="G120" s="132"/>
      <c r="H120" s="132"/>
      <c r="I120" s="132"/>
      <c r="J120" s="132"/>
      <c r="K120" s="289"/>
      <c r="L120" s="132"/>
      <c r="M120" s="132"/>
      <c r="N120" s="132"/>
      <c r="O120" s="132"/>
      <c r="P120" s="132"/>
    </row>
    <row r="155" spans="5:16" x14ac:dyDescent="0.4">
      <c r="E155" s="72"/>
      <c r="J155" s="3"/>
      <c r="K155"/>
      <c r="P155"/>
    </row>
    <row r="156" spans="5:16" x14ac:dyDescent="0.4">
      <c r="E156" s="72"/>
      <c r="J156" s="3"/>
      <c r="K156"/>
      <c r="P156"/>
    </row>
    <row r="157" spans="5:16" x14ac:dyDescent="0.4">
      <c r="E157" s="72"/>
      <c r="J157" s="3"/>
      <c r="K157"/>
      <c r="P157"/>
    </row>
    <row r="158" spans="5:16" x14ac:dyDescent="0.4">
      <c r="E158" s="72"/>
      <c r="J158" s="3"/>
      <c r="K158"/>
      <c r="P158"/>
    </row>
    <row r="159" spans="5:16" x14ac:dyDescent="0.4">
      <c r="E159" s="72"/>
      <c r="J159" s="3"/>
      <c r="K159"/>
      <c r="P159"/>
    </row>
    <row r="160" spans="5:16" x14ac:dyDescent="0.4">
      <c r="E160" s="72"/>
      <c r="J160" s="3"/>
      <c r="K160"/>
      <c r="P160"/>
    </row>
    <row r="161" spans="5:16" x14ac:dyDescent="0.4">
      <c r="E161" s="72"/>
      <c r="J161" s="3"/>
      <c r="K161"/>
      <c r="P161"/>
    </row>
    <row r="162" spans="5:16" x14ac:dyDescent="0.4">
      <c r="E162" s="72"/>
      <c r="J162" s="3"/>
      <c r="K162"/>
      <c r="P162"/>
    </row>
    <row r="163" spans="5:16" x14ac:dyDescent="0.4">
      <c r="E163" s="72"/>
      <c r="J163" s="3"/>
      <c r="K163"/>
      <c r="P163"/>
    </row>
    <row r="164" spans="5:16" x14ac:dyDescent="0.4">
      <c r="E164" s="72"/>
      <c r="J164" s="3"/>
      <c r="K164"/>
      <c r="P164"/>
    </row>
    <row r="165" spans="5:16" x14ac:dyDescent="0.4">
      <c r="E165" s="72"/>
      <c r="J165" s="3"/>
      <c r="K165"/>
      <c r="P165"/>
    </row>
    <row r="166" spans="5:16" x14ac:dyDescent="0.4">
      <c r="E166" s="72"/>
      <c r="J166" s="3"/>
      <c r="K166"/>
      <c r="P166"/>
    </row>
    <row r="167" spans="5:16" x14ac:dyDescent="0.4">
      <c r="E167" s="72"/>
      <c r="J167" s="3"/>
      <c r="K167"/>
      <c r="P167"/>
    </row>
    <row r="168" spans="5:16" x14ac:dyDescent="0.4">
      <c r="E168" s="72"/>
      <c r="J168" s="3"/>
      <c r="K168"/>
      <c r="P168"/>
    </row>
    <row r="169" spans="5:16" x14ac:dyDescent="0.4">
      <c r="E169" s="72"/>
      <c r="J169" s="3"/>
      <c r="K169"/>
      <c r="P169"/>
    </row>
    <row r="170" spans="5:16" x14ac:dyDescent="0.4">
      <c r="E170" s="72"/>
      <c r="J170" s="3"/>
      <c r="K170"/>
      <c r="P170"/>
    </row>
    <row r="171" spans="5:16" x14ac:dyDescent="0.4">
      <c r="E171" s="72"/>
      <c r="J171" s="3"/>
      <c r="K171"/>
      <c r="P171"/>
    </row>
  </sheetData>
  <mergeCells count="5">
    <mergeCell ref="G1:I1"/>
    <mergeCell ref="A2:B2"/>
    <mergeCell ref="A19:A21"/>
    <mergeCell ref="A10:A12"/>
    <mergeCell ref="A14:A17"/>
  </mergeCells>
  <phoneticPr fontId="27" type="noConversion"/>
  <conditionalFormatting sqref="C22:O22 C28:O28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orientation="portrait" r:id="rId1"/>
  <ignoredErrors>
    <ignoredError sqref="F20 O6 O41 O45 O50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FA1A-71DB-48E6-BAC8-D6A8A7346C18}">
  <dimension ref="A1:W190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7" sqref="C47:E47"/>
    </sheetView>
  </sheetViews>
  <sheetFormatPr defaultRowHeight="14.6" x14ac:dyDescent="0.4"/>
  <cols>
    <col min="1" max="1" width="36.53515625" customWidth="1"/>
    <col min="2" max="2" width="38" customWidth="1"/>
    <col min="3" max="3" width="11.15234375" customWidth="1"/>
    <col min="4" max="6" width="14.84375" customWidth="1"/>
    <col min="7" max="7" width="19.15234375" customWidth="1"/>
    <col min="8" max="8" width="15" bestFit="1" customWidth="1"/>
    <col min="9" max="9" width="12.53515625" bestFit="1" customWidth="1"/>
    <col min="10" max="10" width="12.53515625" customWidth="1"/>
    <col min="11" max="11" width="12.53515625" style="72" customWidth="1"/>
    <col min="12" max="13" width="12.53515625" customWidth="1"/>
    <col min="14" max="14" width="12.69140625" customWidth="1"/>
    <col min="15" max="15" width="15.53515625" customWidth="1"/>
    <col min="16" max="16" width="13.3046875" style="3" bestFit="1" customWidth="1"/>
    <col min="17" max="17" width="13.3828125" bestFit="1" customWidth="1"/>
    <col min="18" max="18" width="13.3046875" bestFit="1" customWidth="1"/>
    <col min="19" max="19" width="14.53515625" customWidth="1"/>
    <col min="20" max="20" width="12.84375" bestFit="1" customWidth="1"/>
    <col min="21" max="21" width="12.15234375" bestFit="1" customWidth="1"/>
    <col min="22" max="25" width="11" bestFit="1" customWidth="1"/>
  </cols>
  <sheetData>
    <row r="1" spans="1:22" ht="23.6" thickBot="1" x14ac:dyDescent="0.65">
      <c r="A1" s="83"/>
      <c r="B1" s="312"/>
      <c r="E1" s="158"/>
      <c r="F1" s="161"/>
      <c r="G1" s="675">
        <v>2025</v>
      </c>
      <c r="H1" s="675"/>
      <c r="I1" s="675"/>
      <c r="K1" s="131"/>
      <c r="L1" s="307"/>
    </row>
    <row r="2" spans="1:22" ht="15" thickBot="1" x14ac:dyDescent="0.45">
      <c r="A2" s="676" t="s">
        <v>0</v>
      </c>
      <c r="B2" s="676"/>
      <c r="C2" s="426" t="s">
        <v>1</v>
      </c>
      <c r="D2" s="426" t="s">
        <v>2</v>
      </c>
      <c r="E2" s="426" t="s">
        <v>3</v>
      </c>
      <c r="F2" s="426" t="s">
        <v>4</v>
      </c>
      <c r="G2" s="426" t="s">
        <v>5</v>
      </c>
      <c r="H2" s="426" t="s">
        <v>6</v>
      </c>
      <c r="I2" s="426" t="s">
        <v>7</v>
      </c>
      <c r="J2" s="426" t="s">
        <v>8</v>
      </c>
      <c r="K2" s="426" t="s">
        <v>9</v>
      </c>
      <c r="L2" s="426" t="s">
        <v>10</v>
      </c>
      <c r="M2" s="426" t="s">
        <v>11</v>
      </c>
      <c r="N2" s="426" t="s">
        <v>12</v>
      </c>
      <c r="O2" s="426" t="s">
        <v>13</v>
      </c>
    </row>
    <row r="3" spans="1:22" ht="15.75" customHeight="1" thickBot="1" x14ac:dyDescent="0.45">
      <c r="A3" s="422" t="s">
        <v>14</v>
      </c>
      <c r="B3" s="224" t="s">
        <v>15</v>
      </c>
      <c r="C3" s="225">
        <v>322280</v>
      </c>
      <c r="D3" s="225">
        <v>321976</v>
      </c>
      <c r="E3" s="362">
        <v>328979</v>
      </c>
      <c r="F3" s="225">
        <v>382362</v>
      </c>
      <c r="G3" s="225">
        <v>381216</v>
      </c>
      <c r="H3" s="225">
        <v>364130</v>
      </c>
      <c r="I3" s="225">
        <v>316503</v>
      </c>
      <c r="J3" s="225">
        <v>320352</v>
      </c>
      <c r="K3" s="225">
        <v>316248</v>
      </c>
      <c r="L3" s="225">
        <v>310492</v>
      </c>
      <c r="M3" s="225">
        <v>315280</v>
      </c>
      <c r="N3" s="313">
        <v>318600</v>
      </c>
      <c r="O3" s="136">
        <f>SUM(C3:N3)</f>
        <v>3998418</v>
      </c>
      <c r="Q3" s="255" t="s">
        <v>16</v>
      </c>
      <c r="S3" s="296"/>
      <c r="T3" s="296"/>
      <c r="U3" s="296"/>
      <c r="V3" s="296"/>
    </row>
    <row r="4" spans="1:22" ht="15" customHeight="1" x14ac:dyDescent="0.4">
      <c r="A4" s="423"/>
      <c r="B4" s="77" t="s">
        <v>17</v>
      </c>
      <c r="C4" s="131"/>
      <c r="D4" s="131"/>
      <c r="E4" s="131"/>
      <c r="F4" s="131"/>
      <c r="G4" s="131"/>
      <c r="H4" s="76"/>
      <c r="I4" s="131"/>
      <c r="J4" s="131"/>
      <c r="K4" s="131"/>
      <c r="L4" s="491"/>
      <c r="M4" s="414"/>
      <c r="N4" s="131"/>
      <c r="O4" s="136">
        <f>SUM(C4:N4)</f>
        <v>0</v>
      </c>
      <c r="Q4" s="256" t="s">
        <v>148</v>
      </c>
      <c r="S4" s="296"/>
      <c r="T4" s="296"/>
      <c r="U4" s="296"/>
      <c r="V4" s="296"/>
    </row>
    <row r="5" spans="1:22" ht="15" customHeight="1" x14ac:dyDescent="0.4">
      <c r="A5" s="423"/>
      <c r="B5" s="77" t="s">
        <v>19</v>
      </c>
      <c r="C5" s="69"/>
      <c r="D5" s="69"/>
      <c r="E5" s="69"/>
      <c r="F5" s="69"/>
      <c r="G5" s="69"/>
      <c r="H5" s="79"/>
      <c r="I5" s="69"/>
      <c r="J5" s="69"/>
      <c r="K5" s="69"/>
      <c r="L5" s="492"/>
      <c r="M5" s="306"/>
      <c r="N5" s="133"/>
      <c r="O5" s="137">
        <f>SUM(C5:N5)</f>
        <v>0</v>
      </c>
      <c r="Q5" s="255" t="s">
        <v>20</v>
      </c>
      <c r="S5" s="296"/>
      <c r="T5" s="296"/>
      <c r="U5" s="296"/>
      <c r="V5" s="296"/>
    </row>
    <row r="6" spans="1:22" ht="15" customHeight="1" x14ac:dyDescent="0.4">
      <c r="A6" s="423"/>
      <c r="B6" s="77" t="s">
        <v>21</v>
      </c>
      <c r="C6" s="69"/>
      <c r="D6" s="69"/>
      <c r="E6" s="69"/>
      <c r="F6" s="69"/>
      <c r="G6" s="69"/>
      <c r="H6" s="79"/>
      <c r="I6" s="69"/>
      <c r="J6" s="69"/>
      <c r="K6" s="69"/>
      <c r="L6" s="492"/>
      <c r="M6" s="306"/>
      <c r="N6" s="79"/>
      <c r="O6" s="138">
        <f>SUM(F6:N6)</f>
        <v>0</v>
      </c>
      <c r="P6" s="58"/>
      <c r="Q6" s="255" t="s">
        <v>149</v>
      </c>
      <c r="S6" s="296"/>
      <c r="T6" s="296"/>
      <c r="U6" s="296"/>
      <c r="V6" s="296"/>
    </row>
    <row r="7" spans="1:22" ht="15.75" customHeight="1" thickBot="1" x14ac:dyDescent="0.45">
      <c r="A7" s="424"/>
      <c r="B7" s="80" t="s">
        <v>23</v>
      </c>
      <c r="C7" s="167"/>
      <c r="D7" s="167"/>
      <c r="E7" s="167"/>
      <c r="F7" s="167"/>
      <c r="G7" s="167"/>
      <c r="H7" s="88"/>
      <c r="I7" s="88"/>
      <c r="J7" s="167"/>
      <c r="K7" s="167"/>
      <c r="L7" s="493"/>
      <c r="M7" s="415"/>
      <c r="N7" s="121"/>
      <c r="O7" s="139">
        <f>SUM(C7:N7)</f>
        <v>0</v>
      </c>
      <c r="Q7" s="255" t="s">
        <v>24</v>
      </c>
      <c r="S7" s="296"/>
      <c r="T7" s="296"/>
      <c r="U7" s="296"/>
      <c r="V7" s="296"/>
    </row>
    <row r="8" spans="1:22" ht="15.75" customHeight="1" thickBot="1" x14ac:dyDescent="0.45">
      <c r="A8" s="425"/>
      <c r="B8" s="367" t="s">
        <v>25</v>
      </c>
      <c r="C8" s="89"/>
      <c r="D8" s="89"/>
      <c r="E8" s="89"/>
      <c r="F8" s="89"/>
      <c r="G8" s="89"/>
      <c r="H8" s="82"/>
      <c r="I8" s="89"/>
      <c r="J8" s="89"/>
      <c r="K8" s="89"/>
      <c r="L8" s="494"/>
      <c r="M8" s="416"/>
      <c r="N8" s="75"/>
      <c r="O8" s="140">
        <f>SUM(C8:N8)</f>
        <v>0</v>
      </c>
      <c r="Q8" s="254"/>
      <c r="S8" s="296"/>
      <c r="T8" s="296"/>
      <c r="U8" s="296"/>
      <c r="V8" s="296"/>
    </row>
    <row r="9" spans="1:22" ht="14.5" customHeight="1" thickBot="1" x14ac:dyDescent="0.45">
      <c r="A9" s="106"/>
      <c r="B9" s="107"/>
      <c r="C9" s="108"/>
      <c r="D9" s="109"/>
      <c r="E9" s="144"/>
      <c r="F9" s="144"/>
      <c r="G9" s="109"/>
      <c r="H9" s="194"/>
      <c r="I9" s="194"/>
      <c r="J9" s="194"/>
      <c r="K9" s="108"/>
      <c r="L9" s="113"/>
      <c r="M9" s="113"/>
      <c r="N9" s="108"/>
      <c r="O9" s="135"/>
      <c r="Q9" s="151"/>
      <c r="S9" s="151"/>
      <c r="T9" s="254"/>
      <c r="U9" s="296"/>
    </row>
    <row r="10" spans="1:22" ht="14.5" customHeight="1" thickBot="1" x14ac:dyDescent="0.45">
      <c r="A10" s="677" t="s">
        <v>26</v>
      </c>
      <c r="B10" s="432" t="s">
        <v>150</v>
      </c>
      <c r="C10" s="433">
        <v>40401</v>
      </c>
      <c r="D10" s="498">
        <v>103232</v>
      </c>
      <c r="E10" s="499">
        <v>59881</v>
      </c>
      <c r="F10" s="433">
        <v>142704</v>
      </c>
      <c r="G10" s="433">
        <v>144085</v>
      </c>
      <c r="H10" s="433">
        <v>62777</v>
      </c>
      <c r="I10" s="433">
        <v>58928</v>
      </c>
      <c r="J10" s="433">
        <v>244650</v>
      </c>
      <c r="K10" s="433">
        <v>73181</v>
      </c>
      <c r="L10" s="433">
        <v>108546</v>
      </c>
      <c r="M10" s="433">
        <v>90268</v>
      </c>
      <c r="N10" s="434">
        <v>111861</v>
      </c>
      <c r="O10" s="435">
        <f>SUM(C10:N10)</f>
        <v>1240514</v>
      </c>
      <c r="P10" s="38"/>
      <c r="Q10" s="158"/>
      <c r="U10" s="254"/>
    </row>
    <row r="11" spans="1:22" s="73" customFormat="1" ht="15" thickBot="1" x14ac:dyDescent="0.45">
      <c r="A11" s="677"/>
      <c r="B11" s="502" t="s">
        <v>28</v>
      </c>
      <c r="C11" s="158"/>
      <c r="D11" s="158"/>
      <c r="E11" s="158"/>
      <c r="F11" s="178"/>
      <c r="G11" s="158"/>
      <c r="H11" s="158"/>
      <c r="I11" s="178"/>
      <c r="J11" s="158"/>
      <c r="K11" s="158"/>
      <c r="L11" s="58"/>
      <c r="M11" s="58"/>
      <c r="N11" s="2">
        <v>4418</v>
      </c>
      <c r="O11" s="500">
        <f>SUM(C11:N11)</f>
        <v>4418</v>
      </c>
      <c r="P11" s="38"/>
      <c r="Q11" s="297"/>
      <c r="S11" s="257"/>
      <c r="T11" s="298"/>
      <c r="U11" s="297"/>
    </row>
    <row r="12" spans="1:22" s="73" customFormat="1" ht="15" thickBot="1" x14ac:dyDescent="0.45">
      <c r="A12" s="677"/>
      <c r="B12" s="503" t="s">
        <v>29</v>
      </c>
      <c r="C12" s="172"/>
      <c r="D12" s="172"/>
      <c r="E12" s="172"/>
      <c r="F12" s="172"/>
      <c r="G12" s="172"/>
      <c r="H12" s="172"/>
      <c r="I12" s="172"/>
      <c r="J12" s="172"/>
      <c r="K12" s="158"/>
      <c r="L12" s="361"/>
      <c r="M12" s="361"/>
      <c r="N12" s="172">
        <v>-16530</v>
      </c>
      <c r="O12" s="501">
        <f>SUM(C12:N12)</f>
        <v>-16530</v>
      </c>
      <c r="P12" s="74"/>
      <c r="S12" s="159"/>
      <c r="U12" s="159"/>
    </row>
    <row r="13" spans="1:22" s="73" customFormat="1" ht="14.5" customHeight="1" thickBot="1" x14ac:dyDescent="0.45">
      <c r="A13" s="111"/>
      <c r="B13" s="112"/>
      <c r="C13" s="108"/>
      <c r="D13" s="108"/>
      <c r="E13" s="113"/>
      <c r="F13" s="113"/>
      <c r="G13" s="108"/>
      <c r="H13" s="108"/>
      <c r="I13" s="113"/>
      <c r="J13" s="108"/>
      <c r="K13" s="108"/>
      <c r="L13" s="114"/>
      <c r="M13" s="114"/>
      <c r="N13" s="114"/>
      <c r="O13" s="114"/>
      <c r="P13" s="496" t="s">
        <v>40</v>
      </c>
      <c r="Q13" s="421"/>
      <c r="R13" s="127"/>
      <c r="S13" s="159"/>
      <c r="U13" s="159"/>
    </row>
    <row r="14" spans="1:22" ht="14.5" customHeight="1" thickBot="1" x14ac:dyDescent="0.45">
      <c r="A14" s="677" t="s">
        <v>30</v>
      </c>
      <c r="B14" s="193" t="s">
        <v>31</v>
      </c>
      <c r="C14" s="310"/>
      <c r="D14" s="310"/>
      <c r="E14" s="353"/>
      <c r="F14" s="142"/>
      <c r="G14" s="142"/>
      <c r="H14" s="310"/>
      <c r="I14" s="142"/>
      <c r="J14" s="310"/>
      <c r="K14" s="310"/>
      <c r="L14" s="142"/>
      <c r="M14" s="142"/>
      <c r="N14" s="310">
        <v>18000</v>
      </c>
      <c r="O14" s="142">
        <f>SUM(C14:N14)</f>
        <v>18000</v>
      </c>
      <c r="P14" s="497">
        <v>49235</v>
      </c>
      <c r="Q14" s="155"/>
      <c r="R14" s="127"/>
      <c r="S14" s="31"/>
      <c r="T14" s="132">
        <f>R20-R21-R22</f>
        <v>66787</v>
      </c>
    </row>
    <row r="15" spans="1:22" ht="14.5" customHeight="1" thickBot="1" x14ac:dyDescent="0.45">
      <c r="A15" s="677"/>
      <c r="B15" s="368" t="s">
        <v>32</v>
      </c>
      <c r="C15" s="369"/>
      <c r="D15" s="369"/>
      <c r="E15" s="370"/>
      <c r="F15" s="370"/>
      <c r="G15" s="379"/>
      <c r="H15" s="379"/>
      <c r="I15" s="370"/>
      <c r="J15" s="379"/>
      <c r="K15" s="379"/>
      <c r="L15" s="370"/>
      <c r="M15" s="370"/>
      <c r="N15" s="370"/>
      <c r="O15" s="141">
        <f>SUM(C15:N15)</f>
        <v>0</v>
      </c>
      <c r="P15" s="38"/>
      <c r="R15" s="151"/>
      <c r="S15" s="159"/>
    </row>
    <row r="16" spans="1:22" ht="15" customHeight="1" thickBot="1" x14ac:dyDescent="0.45">
      <c r="A16" s="677"/>
      <c r="B16" s="427" t="s">
        <v>33</v>
      </c>
      <c r="C16" s="428"/>
      <c r="D16" s="428"/>
      <c r="E16" s="428"/>
      <c r="F16" s="428"/>
      <c r="G16" s="428"/>
      <c r="H16" s="428"/>
      <c r="I16" s="428"/>
      <c r="J16" s="428"/>
      <c r="K16" s="428"/>
      <c r="L16" s="429"/>
      <c r="M16" s="429"/>
      <c r="N16" s="428"/>
      <c r="O16" s="230"/>
      <c r="Q16" s="151"/>
    </row>
    <row r="17" spans="1:21" ht="15" thickBot="1" x14ac:dyDescent="0.45">
      <c r="A17" s="677"/>
      <c r="B17" s="436" t="s">
        <v>34</v>
      </c>
      <c r="C17" s="437"/>
      <c r="D17" s="437"/>
      <c r="E17" s="437"/>
      <c r="F17" s="438"/>
      <c r="G17" s="438"/>
      <c r="H17" s="438"/>
      <c r="I17" s="438"/>
      <c r="J17" s="438"/>
      <c r="K17" s="438"/>
      <c r="L17" s="439"/>
      <c r="M17" s="439"/>
      <c r="N17" s="438"/>
      <c r="O17" s="231"/>
    </row>
    <row r="18" spans="1:21" ht="32.25" customHeight="1" thickBot="1" x14ac:dyDescent="0.45">
      <c r="A18" s="115"/>
      <c r="B18" s="475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4"/>
      <c r="N18" s="473"/>
      <c r="O18" s="473"/>
    </row>
    <row r="19" spans="1:21" s="72" customFormat="1" ht="26.25" customHeight="1" thickBot="1" x14ac:dyDescent="0.45">
      <c r="A19" s="666" t="s">
        <v>35</v>
      </c>
      <c r="B19" s="102" t="s">
        <v>36</v>
      </c>
      <c r="C19" s="471">
        <f t="shared" ref="C19:M19" si="0">C3+C6+C10</f>
        <v>362681</v>
      </c>
      <c r="D19" s="471">
        <f t="shared" si="0"/>
        <v>425208</v>
      </c>
      <c r="E19" s="471">
        <f t="shared" si="0"/>
        <v>388860</v>
      </c>
      <c r="F19" s="471">
        <f t="shared" si="0"/>
        <v>525066</v>
      </c>
      <c r="G19" s="471">
        <f t="shared" si="0"/>
        <v>525301</v>
      </c>
      <c r="H19" s="471">
        <f t="shared" si="0"/>
        <v>426907</v>
      </c>
      <c r="I19" s="471">
        <f t="shared" si="0"/>
        <v>375431</v>
      </c>
      <c r="J19" s="471">
        <f t="shared" si="0"/>
        <v>565002</v>
      </c>
      <c r="K19" s="471">
        <f t="shared" si="0"/>
        <v>389429</v>
      </c>
      <c r="L19" s="495">
        <f t="shared" si="0"/>
        <v>419038</v>
      </c>
      <c r="M19" s="495">
        <f t="shared" si="0"/>
        <v>405548</v>
      </c>
      <c r="N19" s="101">
        <f>N3+N6+N10+N11+N12</f>
        <v>418349</v>
      </c>
      <c r="O19" s="217">
        <f>SUM(C19:N19)</f>
        <v>5226820</v>
      </c>
      <c r="P19" s="3"/>
      <c r="R19" s="393" t="s">
        <v>37</v>
      </c>
      <c r="S19" s="387" t="s">
        <v>38</v>
      </c>
      <c r="T19" s="387"/>
    </row>
    <row r="20" spans="1:21" s="72" customFormat="1" ht="15" thickBot="1" x14ac:dyDescent="0.45">
      <c r="A20" s="666"/>
      <c r="B20" s="430" t="s">
        <v>39</v>
      </c>
      <c r="C20" s="431">
        <f>C3+C5+C6+C10+C11+C16+C12</f>
        <v>362681</v>
      </c>
      <c r="D20" s="431">
        <f>D3+D5+D6+D10+D11+D16+D12</f>
        <v>425208</v>
      </c>
      <c r="E20" s="431">
        <f>E3+E5+E6+E10+E11+E16+E12+E14</f>
        <v>388860</v>
      </c>
      <c r="F20" s="431">
        <f>F19+F16</f>
        <v>525066</v>
      </c>
      <c r="G20" s="431">
        <f>G3+G5+G6+G10+G11+G16+G12+G14</f>
        <v>525301</v>
      </c>
      <c r="H20" s="431">
        <f>H3+H5+H6+H10+H11+H16+H12+H14</f>
        <v>426907</v>
      </c>
      <c r="I20" s="431">
        <f>I3+I5+I6+I10+I11+I16+I12+I14</f>
        <v>375431</v>
      </c>
      <c r="J20" s="431">
        <f>J3+J5+J6+J10+J11+J16+J12+J14</f>
        <v>565002</v>
      </c>
      <c r="K20" s="431">
        <f>K3+K5+K6+K7+K8+K10+K11+K12+K14+K16</f>
        <v>389429</v>
      </c>
      <c r="L20" s="431">
        <f>L3+L5+L6+L7+L8+L10+L11+L12+L14+L16</f>
        <v>419038</v>
      </c>
      <c r="M20" s="431">
        <f>M3+M5+M6+M7+M8+M10+M11+M12+M14+M16</f>
        <v>405548</v>
      </c>
      <c r="N20" s="431">
        <f>N3+N5+N6+N7+N8+N10+N11+N12+N14+N16</f>
        <v>436349</v>
      </c>
      <c r="O20" s="232"/>
      <c r="P20" s="71"/>
      <c r="R20" s="388">
        <v>310492</v>
      </c>
      <c r="S20" s="389" t="s">
        <v>40</v>
      </c>
      <c r="T20" s="387"/>
    </row>
    <row r="21" spans="1:21" ht="15" thickBot="1" x14ac:dyDescent="0.45">
      <c r="A21" s="666"/>
      <c r="B21" s="440" t="s">
        <v>41</v>
      </c>
      <c r="C21" s="441">
        <f>C3+C5+C6+C10+C11+C12+C17</f>
        <v>362681</v>
      </c>
      <c r="D21" s="441">
        <f>D3+D5+D6+D10+D11+D12+D17</f>
        <v>425208</v>
      </c>
      <c r="E21" s="441">
        <f>E3+E5+E6+E10+E11+E12+E17+E14</f>
        <v>388860</v>
      </c>
      <c r="F21" s="441">
        <f>F19+F17</f>
        <v>525066</v>
      </c>
      <c r="G21" s="441">
        <f>G3+G5+G6+G10+G11+G12+G17+G14</f>
        <v>525301</v>
      </c>
      <c r="H21" s="441">
        <f>H3+H5+H6+H10+H11+H12+H17+H14</f>
        <v>426907</v>
      </c>
      <c r="I21" s="441">
        <f>I3+I5+I6+I10+I11+I12+I17+I14</f>
        <v>375431</v>
      </c>
      <c r="J21" s="441">
        <f>J3+J5+J6+J10+J11+J12+J17+J14</f>
        <v>565002</v>
      </c>
      <c r="K21" s="441">
        <f>K3+K5+K6+K7+K8+K10+K11+K12+K14+K17</f>
        <v>389429</v>
      </c>
      <c r="L21" s="441">
        <f>L3+L5+L6+L7+L8+L10+L11+L12+L14+L17</f>
        <v>419038</v>
      </c>
      <c r="M21" s="441">
        <f>M3+M5+M6+M7+M8+M10+M11+M12+M14+M17</f>
        <v>405548</v>
      </c>
      <c r="N21" s="441">
        <f>N3+N5+N6+N7+N8+N10+N11+N12+N14+N17</f>
        <v>436349</v>
      </c>
      <c r="O21" s="233"/>
      <c r="P21" s="71"/>
      <c r="R21" s="390">
        <f>84424+9675</f>
        <v>94099</v>
      </c>
      <c r="S21" s="391" t="s">
        <v>42</v>
      </c>
      <c r="T21" s="391"/>
    </row>
    <row r="22" spans="1:21" ht="15" thickBot="1" x14ac:dyDescent="0.45">
      <c r="A22" s="91" t="s">
        <v>43</v>
      </c>
      <c r="B22" s="93" t="s">
        <v>44</v>
      </c>
      <c r="C22" s="356">
        <f t="shared" ref="C22:N22" si="1">C19-C26</f>
        <v>-37319</v>
      </c>
      <c r="D22" s="356">
        <f t="shared" si="1"/>
        <v>25208</v>
      </c>
      <c r="E22" s="356">
        <f t="shared" si="1"/>
        <v>-11140</v>
      </c>
      <c r="F22" s="356">
        <f t="shared" si="1"/>
        <v>125066</v>
      </c>
      <c r="G22" s="356">
        <f t="shared" si="1"/>
        <v>125301</v>
      </c>
      <c r="H22" s="356">
        <f t="shared" si="1"/>
        <v>26907</v>
      </c>
      <c r="I22" s="356">
        <f t="shared" si="1"/>
        <v>-24569</v>
      </c>
      <c r="J22" s="356">
        <f t="shared" si="1"/>
        <v>165002</v>
      </c>
      <c r="K22" s="356">
        <f t="shared" si="1"/>
        <v>-10571</v>
      </c>
      <c r="L22" s="356">
        <f t="shared" si="1"/>
        <v>19038</v>
      </c>
      <c r="M22" s="356">
        <f t="shared" si="1"/>
        <v>5548</v>
      </c>
      <c r="N22" s="356">
        <f t="shared" si="1"/>
        <v>18348</v>
      </c>
      <c r="O22" s="234">
        <f>SUM(C22:N22)</f>
        <v>426819</v>
      </c>
      <c r="Q22" s="2"/>
      <c r="R22" s="390">
        <v>149606</v>
      </c>
      <c r="S22" s="391" t="s">
        <v>45</v>
      </c>
      <c r="T22" s="391"/>
    </row>
    <row r="23" spans="1:21" s="3" customFormat="1" ht="15" thickBot="1" x14ac:dyDescent="0.45">
      <c r="A23" s="117"/>
      <c r="B23" s="118"/>
      <c r="C23" s="371"/>
      <c r="D23" s="371"/>
      <c r="E23" s="371"/>
      <c r="F23" s="371"/>
      <c r="G23" s="371"/>
      <c r="H23" s="371"/>
      <c r="I23" s="371"/>
      <c r="J23" s="371"/>
      <c r="K23" s="109"/>
      <c r="L23" s="371"/>
      <c r="M23" s="371"/>
      <c r="N23" s="371"/>
      <c r="O23" s="119"/>
      <c r="R23" s="394">
        <f>R20-R21-R22</f>
        <v>66787</v>
      </c>
      <c r="S23" s="392" t="s">
        <v>46</v>
      </c>
      <c r="T23" s="392"/>
    </row>
    <row r="24" spans="1:21" s="3" customFormat="1" x14ac:dyDescent="0.4">
      <c r="A24" s="347" t="s">
        <v>47</v>
      </c>
      <c r="B24" s="94" t="s">
        <v>48</v>
      </c>
      <c r="C24" s="372">
        <f>C19</f>
        <v>362681</v>
      </c>
      <c r="D24" s="372">
        <f t="shared" ref="D24:N24" si="2">C24+D19</f>
        <v>787889</v>
      </c>
      <c r="E24" s="372">
        <f t="shared" si="2"/>
        <v>1176749</v>
      </c>
      <c r="F24" s="372">
        <f t="shared" si="2"/>
        <v>1701815</v>
      </c>
      <c r="G24" s="372">
        <f t="shared" si="2"/>
        <v>2227116</v>
      </c>
      <c r="H24" s="372">
        <f t="shared" si="2"/>
        <v>2654023</v>
      </c>
      <c r="I24" s="372">
        <f t="shared" si="2"/>
        <v>3029454</v>
      </c>
      <c r="J24" s="372">
        <f t="shared" si="2"/>
        <v>3594456</v>
      </c>
      <c r="K24" s="377">
        <f t="shared" si="2"/>
        <v>3983885</v>
      </c>
      <c r="L24" s="372">
        <f t="shared" si="2"/>
        <v>4402923</v>
      </c>
      <c r="M24" s="372">
        <f t="shared" si="2"/>
        <v>4808471</v>
      </c>
      <c r="N24" s="372">
        <f t="shared" si="2"/>
        <v>5226820</v>
      </c>
      <c r="O24" s="78">
        <f>N24</f>
        <v>5226820</v>
      </c>
      <c r="Q24" s="58"/>
    </row>
    <row r="25" spans="1:21" s="3" customFormat="1" x14ac:dyDescent="0.4">
      <c r="A25" s="381"/>
      <c r="B25" s="95" t="s">
        <v>49</v>
      </c>
      <c r="C25" s="373">
        <f>C19</f>
        <v>362681</v>
      </c>
      <c r="D25" s="373">
        <f t="shared" ref="D25:N25" si="3">C25+D19</f>
        <v>787889</v>
      </c>
      <c r="E25" s="373">
        <f t="shared" si="3"/>
        <v>1176749</v>
      </c>
      <c r="F25" s="373">
        <f t="shared" si="3"/>
        <v>1701815</v>
      </c>
      <c r="G25" s="373">
        <f t="shared" si="3"/>
        <v>2227116</v>
      </c>
      <c r="H25" s="373">
        <f t="shared" si="3"/>
        <v>2654023</v>
      </c>
      <c r="I25" s="373">
        <f t="shared" si="3"/>
        <v>3029454</v>
      </c>
      <c r="J25" s="373">
        <f t="shared" si="3"/>
        <v>3594456</v>
      </c>
      <c r="K25" s="373">
        <f t="shared" si="3"/>
        <v>3983885</v>
      </c>
      <c r="L25" s="373">
        <f t="shared" si="3"/>
        <v>4402923</v>
      </c>
      <c r="M25" s="373">
        <f t="shared" si="3"/>
        <v>4808471</v>
      </c>
      <c r="N25" s="373">
        <f t="shared" si="3"/>
        <v>5226820</v>
      </c>
      <c r="O25" s="98"/>
      <c r="Q25" s="58"/>
    </row>
    <row r="26" spans="1:21" s="3" customFormat="1" ht="15" thickBot="1" x14ac:dyDescent="0.45">
      <c r="A26" s="348" t="s">
        <v>50</v>
      </c>
      <c r="B26" s="104" t="s">
        <v>51</v>
      </c>
      <c r="C26" s="346">
        <v>400000</v>
      </c>
      <c r="D26" s="346">
        <v>400000</v>
      </c>
      <c r="E26" s="346">
        <v>400000</v>
      </c>
      <c r="F26" s="346">
        <v>400000</v>
      </c>
      <c r="G26" s="346">
        <v>400000</v>
      </c>
      <c r="H26" s="346">
        <v>400000</v>
      </c>
      <c r="I26" s="346">
        <v>400000</v>
      </c>
      <c r="J26" s="346">
        <v>400000</v>
      </c>
      <c r="K26" s="346">
        <v>400000</v>
      </c>
      <c r="L26" s="346">
        <v>400000</v>
      </c>
      <c r="M26" s="346">
        <v>400000</v>
      </c>
      <c r="N26" s="346">
        <v>400001</v>
      </c>
      <c r="O26" s="105">
        <f>SUM(C26:N26)</f>
        <v>4800001</v>
      </c>
      <c r="Q26" s="3" t="s">
        <v>52</v>
      </c>
      <c r="R26" s="3" t="s">
        <v>53</v>
      </c>
    </row>
    <row r="27" spans="1:21" s="3" customFormat="1" x14ac:dyDescent="0.4">
      <c r="A27" s="206"/>
      <c r="B27" s="95" t="s">
        <v>54</v>
      </c>
      <c r="C27" s="373">
        <f>C26</f>
        <v>400000</v>
      </c>
      <c r="D27" s="373">
        <f t="shared" ref="D27:N27" si="4">C27+D26</f>
        <v>800000</v>
      </c>
      <c r="E27" s="373">
        <f t="shared" si="4"/>
        <v>1200000</v>
      </c>
      <c r="F27" s="373">
        <f t="shared" si="4"/>
        <v>1600000</v>
      </c>
      <c r="G27" s="373">
        <f t="shared" si="4"/>
        <v>2000000</v>
      </c>
      <c r="H27" s="373">
        <f t="shared" si="4"/>
        <v>2400000</v>
      </c>
      <c r="I27" s="373">
        <f t="shared" si="4"/>
        <v>2800000</v>
      </c>
      <c r="J27" s="373">
        <f t="shared" si="4"/>
        <v>3200000</v>
      </c>
      <c r="K27" s="378">
        <f t="shared" si="4"/>
        <v>3600000</v>
      </c>
      <c r="L27" s="373">
        <f t="shared" si="4"/>
        <v>4000000</v>
      </c>
      <c r="M27" s="373">
        <f t="shared" si="4"/>
        <v>4400000</v>
      </c>
      <c r="N27" s="373">
        <f t="shared" si="4"/>
        <v>4800001</v>
      </c>
      <c r="O27" s="98">
        <f>N27</f>
        <v>4800001</v>
      </c>
      <c r="Q27" s="90">
        <v>55014</v>
      </c>
      <c r="R27" s="90">
        <v>84424</v>
      </c>
      <c r="S27" t="s">
        <v>55</v>
      </c>
      <c r="T27" s="132">
        <f t="shared" ref="T27:T32" si="5">R27-Q27</f>
        <v>29410</v>
      </c>
      <c r="U27" s="476">
        <f>T27/R27</f>
        <v>0.34836065573770492</v>
      </c>
    </row>
    <row r="28" spans="1:21" ht="15" hidden="1" customHeight="1" x14ac:dyDescent="0.4">
      <c r="A28" s="206" t="s">
        <v>56</v>
      </c>
      <c r="B28" s="93"/>
      <c r="C28" s="356">
        <f t="shared" ref="C28:N28" si="6">C24-C27</f>
        <v>-37319</v>
      </c>
      <c r="D28" s="356">
        <f t="shared" si="6"/>
        <v>-12111</v>
      </c>
      <c r="E28" s="356">
        <f t="shared" si="6"/>
        <v>-23251</v>
      </c>
      <c r="F28" s="356">
        <f t="shared" si="6"/>
        <v>101815</v>
      </c>
      <c r="G28" s="380">
        <f t="shared" si="6"/>
        <v>227116</v>
      </c>
      <c r="H28" s="97">
        <f t="shared" si="6"/>
        <v>254023</v>
      </c>
      <c r="I28" s="97">
        <f t="shared" si="6"/>
        <v>229454</v>
      </c>
      <c r="J28" s="380">
        <f t="shared" si="6"/>
        <v>394456</v>
      </c>
      <c r="K28" s="397">
        <f t="shared" si="6"/>
        <v>383885</v>
      </c>
      <c r="L28" s="97">
        <f t="shared" si="6"/>
        <v>402923</v>
      </c>
      <c r="M28" s="97">
        <f t="shared" si="6"/>
        <v>408471</v>
      </c>
      <c r="N28" s="97">
        <f t="shared" si="6"/>
        <v>426819</v>
      </c>
      <c r="O28" s="84">
        <f>N28</f>
        <v>426819</v>
      </c>
      <c r="Q28" s="90"/>
      <c r="R28" s="90"/>
      <c r="T28" s="132">
        <f t="shared" si="5"/>
        <v>0</v>
      </c>
      <c r="U28" s="477"/>
    </row>
    <row r="29" spans="1:21" hidden="1" x14ac:dyDescent="0.4">
      <c r="A29" s="206" t="s">
        <v>56</v>
      </c>
      <c r="B29" s="134"/>
      <c r="C29" s="357" t="s">
        <v>1</v>
      </c>
      <c r="D29" s="357" t="s">
        <v>2</v>
      </c>
      <c r="E29" s="357" t="s">
        <v>3</v>
      </c>
      <c r="F29" s="357" t="s">
        <v>4</v>
      </c>
      <c r="G29" s="357" t="s">
        <v>5</v>
      </c>
      <c r="H29" s="7" t="s">
        <v>6</v>
      </c>
      <c r="I29" s="7" t="s">
        <v>7</v>
      </c>
      <c r="J29" s="357" t="s">
        <v>8</v>
      </c>
      <c r="K29" s="398" t="s">
        <v>9</v>
      </c>
      <c r="L29" s="7" t="s">
        <v>10</v>
      </c>
      <c r="M29" s="7" t="s">
        <v>11</v>
      </c>
      <c r="N29" s="7" t="s">
        <v>12</v>
      </c>
      <c r="O29" s="8">
        <v>2019</v>
      </c>
      <c r="Q29" s="90"/>
      <c r="R29" s="90"/>
      <c r="T29" s="132">
        <f t="shared" si="5"/>
        <v>0</v>
      </c>
      <c r="U29" s="477"/>
    </row>
    <row r="30" spans="1:21" hidden="1" x14ac:dyDescent="0.4">
      <c r="A30" s="206" t="s">
        <v>56</v>
      </c>
      <c r="B30" s="4"/>
      <c r="C30" s="5" t="e">
        <f>SUMIFS(#REF!,#REF!,1,#REF!,2019,#REF!,"open")</f>
        <v>#REF!</v>
      </c>
      <c r="D30" s="5" t="e">
        <f>SUMIFS(#REF!,#REF!,2,#REF!,2019,#REF!,"open")</f>
        <v>#REF!</v>
      </c>
      <c r="E30" s="5" t="e">
        <f>SUMIFS(#REF!,#REF!,3,#REF!,2019,#REF!,"open")</f>
        <v>#REF!</v>
      </c>
      <c r="F30" s="5" t="e">
        <f>SUMIFS(#REF!,#REF!,4,#REF!,2019,#REF!,"open")</f>
        <v>#REF!</v>
      </c>
      <c r="G30" s="5" t="e">
        <f>SUMIFS(#REF!,#REF!,5,#REF!,2019,#REF!,"open")</f>
        <v>#REF!</v>
      </c>
      <c r="H30" s="5" t="e">
        <f>SUMIFS(#REF!,#REF!,6,#REF!,2019,#REF!,"open")</f>
        <v>#REF!</v>
      </c>
      <c r="I30" s="5" t="e">
        <f>SUMIFS(#REF!,#REF!,7,#REF!,2019,#REF!,"open")</f>
        <v>#REF!</v>
      </c>
      <c r="J30" s="5" t="e">
        <f>SUMIFS(#REF!,#REF!,8,#REF!,2019,#REF!,"open")</f>
        <v>#REF!</v>
      </c>
      <c r="K30" s="69" t="e">
        <f>SUMIFS(#REF!,#REF!,9,#REF!,2019,#REF!,"open")</f>
        <v>#REF!</v>
      </c>
      <c r="L30" s="5" t="e">
        <f>SUMIFS(#REF!,#REF!,10,#REF!,2019,#REF!,"open")</f>
        <v>#REF!</v>
      </c>
      <c r="M30" s="5" t="e">
        <f>SUMIFS(#REF!,#REF!,11,#REF!,2019,#REF!,"open")</f>
        <v>#REF!</v>
      </c>
      <c r="N30" s="5" t="e">
        <f>SUMIFS(#REF!,#REF!,12,#REF!,2019,#REF!,"open")</f>
        <v>#REF!</v>
      </c>
      <c r="O30" s="40" t="e">
        <f>SUM(C30:N30)</f>
        <v>#REF!</v>
      </c>
      <c r="Q30" s="90"/>
      <c r="R30" s="90"/>
      <c r="T30" s="132">
        <f t="shared" si="5"/>
        <v>0</v>
      </c>
      <c r="U30" s="477"/>
    </row>
    <row r="31" spans="1:21" hidden="1" x14ac:dyDescent="0.4">
      <c r="A31" s="206" t="s">
        <v>56</v>
      </c>
      <c r="B31" s="4"/>
      <c r="C31" s="5" t="e">
        <f>SUMIFS(#REF!,#REF!,1,#REF!,2019,#REF!,"*",#REF!,"open")</f>
        <v>#REF!</v>
      </c>
      <c r="D31" s="5" t="e">
        <f>SUMIFS(#REF!,#REF!,2,#REF!,2019,#REF!,"*",#REF!,"open")</f>
        <v>#REF!</v>
      </c>
      <c r="E31" s="5" t="e">
        <f>SUMIFS(#REF!,#REF!,3,#REF!,2019,#REF!,"*",#REF!,"open")</f>
        <v>#REF!</v>
      </c>
      <c r="F31" s="5" t="e">
        <f>SUMIFS(#REF!,#REF!,4,#REF!,2019,#REF!,"*",#REF!,"open")</f>
        <v>#REF!</v>
      </c>
      <c r="G31" s="5" t="e">
        <f>SUMIFS(#REF!,#REF!,5,#REF!,2019,#REF!,"*",#REF!,"open")</f>
        <v>#REF!</v>
      </c>
      <c r="H31" s="5" t="e">
        <f>SUMIFS(#REF!,#REF!,6,#REF!,2019,#REF!,"*",#REF!,"open")</f>
        <v>#REF!</v>
      </c>
      <c r="I31" s="5" t="e">
        <f>SUMIFS(#REF!,#REF!,7,#REF!,2019,#REF!,"*",#REF!,"open")</f>
        <v>#REF!</v>
      </c>
      <c r="J31" s="5" t="e">
        <f>SUMIFS(#REF!,#REF!,8,#REF!,2019,#REF!,"*",#REF!,"open")</f>
        <v>#REF!</v>
      </c>
      <c r="K31" s="69" t="e">
        <f>SUMIFS(#REF!,#REF!,9,#REF!,2019,#REF!,"*",#REF!,"open")</f>
        <v>#REF!</v>
      </c>
      <c r="L31" s="5" t="e">
        <f>SUMIFS(#REF!,#REF!,10,#REF!,2019,#REF!,"*",#REF!,"open")</f>
        <v>#REF!</v>
      </c>
      <c r="M31" s="5" t="e">
        <f>SUMIFS(#REF!,#REF!,11,#REF!,2019,#REF!,"*",#REF!,"open")</f>
        <v>#REF!</v>
      </c>
      <c r="N31" s="5" t="e">
        <f>SUMIFS(#REF!,#REF!,12,#REF!,2019,#REF!,"*",#REF!,"open")</f>
        <v>#REF!</v>
      </c>
      <c r="O31" s="5" t="e">
        <f>SUM(C31:N31)</f>
        <v>#REF!</v>
      </c>
      <c r="Q31" s="90"/>
      <c r="R31" s="90"/>
      <c r="T31" s="132">
        <f t="shared" si="5"/>
        <v>0</v>
      </c>
      <c r="U31" s="477"/>
    </row>
    <row r="32" spans="1:21" x14ac:dyDescent="0.4">
      <c r="A32" s="207"/>
      <c r="B32" s="311" t="s">
        <v>57</v>
      </c>
      <c r="C32" s="69">
        <f>C19-C26</f>
        <v>-37319</v>
      </c>
      <c r="D32" s="69">
        <f>D19-D26+C32</f>
        <v>-12111</v>
      </c>
      <c r="E32" s="69">
        <f>E19-E26+D32</f>
        <v>-23251</v>
      </c>
      <c r="F32" s="69">
        <f>F19-F26+E32</f>
        <v>101815</v>
      </c>
      <c r="G32" s="69">
        <f>G19-G26+F32</f>
        <v>227116</v>
      </c>
      <c r="H32" s="79"/>
      <c r="I32" s="79"/>
      <c r="J32" s="69"/>
      <c r="K32" s="69"/>
      <c r="L32" s="182"/>
      <c r="M32" s="182"/>
      <c r="N32" s="182"/>
      <c r="O32" s="182"/>
      <c r="Q32" s="90">
        <v>6228</v>
      </c>
      <c r="R32" s="90">
        <v>9675</v>
      </c>
      <c r="S32" t="s">
        <v>58</v>
      </c>
      <c r="T32" s="132">
        <f t="shared" si="5"/>
        <v>3447</v>
      </c>
      <c r="U32" s="477">
        <f>28/95</f>
        <v>0.29473684210526313</v>
      </c>
    </row>
    <row r="33" spans="1:23" s="3" customFormat="1" x14ac:dyDescent="0.4">
      <c r="A33" s="72"/>
      <c r="B33"/>
      <c r="C33" s="2"/>
      <c r="D33" s="2"/>
      <c r="E33" s="2"/>
      <c r="F33" s="2"/>
      <c r="G33" s="2"/>
      <c r="H33" s="2"/>
      <c r="I33" s="2"/>
      <c r="J33" s="2"/>
      <c r="K33" s="399"/>
      <c r="L33" s="153"/>
      <c r="M33" s="153"/>
      <c r="N33" s="153"/>
      <c r="O33"/>
      <c r="Q33" s="90"/>
      <c r="R33" s="90"/>
      <c r="S33" s="308"/>
      <c r="T33" s="125"/>
    </row>
    <row r="34" spans="1:23" s="3" customFormat="1" x14ac:dyDescent="0.4">
      <c r="A34" s="155" t="s">
        <v>59</v>
      </c>
      <c r="B34" s="250" t="s">
        <v>60</v>
      </c>
      <c r="C34" s="251">
        <f>20000+95079</f>
        <v>115079</v>
      </c>
      <c r="D34" s="251">
        <f>20000+95079</f>
        <v>115079</v>
      </c>
      <c r="E34" s="251">
        <f>20000+95079</f>
        <v>115079</v>
      </c>
      <c r="F34" s="251"/>
      <c r="G34" s="251"/>
      <c r="H34" s="251"/>
      <c r="I34" s="251"/>
      <c r="J34" s="251"/>
      <c r="K34" s="251"/>
      <c r="L34" s="251"/>
      <c r="M34" s="251"/>
      <c r="N34" s="251"/>
      <c r="O34" s="265">
        <f>SUM(C34:N34)</f>
        <v>345237</v>
      </c>
      <c r="Q34" s="90">
        <f>SUM(Q27:Q33)</f>
        <v>61242</v>
      </c>
      <c r="R34" s="103">
        <f>SUM(R27:R33)</f>
        <v>94099</v>
      </c>
      <c r="S34" s="124"/>
      <c r="T34" s="125"/>
    </row>
    <row r="35" spans="1:23" s="3" customFormat="1" x14ac:dyDescent="0.4">
      <c r="A35" s="155" t="s">
        <v>61</v>
      </c>
      <c r="B35" s="250" t="s">
        <v>62</v>
      </c>
      <c r="C35" s="251">
        <v>68924</v>
      </c>
      <c r="D35" s="251">
        <v>68925</v>
      </c>
      <c r="E35" s="265">
        <v>68926</v>
      </c>
      <c r="F35" s="265"/>
      <c r="G35" s="251"/>
      <c r="H35" s="251"/>
      <c r="I35" s="251"/>
      <c r="J35" s="251"/>
      <c r="K35" s="251"/>
      <c r="L35" s="251"/>
      <c r="M35" s="251"/>
      <c r="N35" s="251"/>
      <c r="O35" s="251">
        <f>SUM(C35:N35)</f>
        <v>206775</v>
      </c>
      <c r="Q35" s="150"/>
      <c r="R35" s="150"/>
      <c r="S35" s="124"/>
      <c r="T35" s="125"/>
    </row>
    <row r="36" spans="1:23" s="3" customFormat="1" x14ac:dyDescent="0.4">
      <c r="A36" s="155" t="s">
        <v>63</v>
      </c>
      <c r="B36" s="252" t="s">
        <v>64</v>
      </c>
      <c r="C36" s="251">
        <f>C34-C35</f>
        <v>46155</v>
      </c>
      <c r="D36" s="251">
        <f>D34-D35</f>
        <v>46154</v>
      </c>
      <c r="E36" s="251">
        <f>E34-E35</f>
        <v>46153</v>
      </c>
      <c r="F36" s="251"/>
      <c r="G36" s="251"/>
      <c r="H36" s="251"/>
      <c r="I36" s="251"/>
      <c r="J36" s="251"/>
      <c r="K36" s="251"/>
      <c r="L36" s="251"/>
      <c r="M36" s="251"/>
      <c r="N36" s="251"/>
      <c r="O36" s="251">
        <f>SUM(C36:N36)</f>
        <v>138462</v>
      </c>
      <c r="Q36" s="124">
        <f>R34-Q34</f>
        <v>32857</v>
      </c>
      <c r="R36" s="386">
        <f>Q36/R34</f>
        <v>0.34917480525829181</v>
      </c>
      <c r="S36" s="124"/>
      <c r="T36" s="125"/>
    </row>
    <row r="37" spans="1:23" s="3" customFormat="1" x14ac:dyDescent="0.4">
      <c r="A37" s="72"/>
      <c r="B37" s="252" t="s">
        <v>65</v>
      </c>
      <c r="C37" s="363">
        <f>C36/C34</f>
        <v>0.40107230685007689</v>
      </c>
      <c r="D37" s="363">
        <f>D36/D34</f>
        <v>0.40106361716733724</v>
      </c>
      <c r="E37" s="363">
        <f>E36/E34</f>
        <v>0.40105492748459753</v>
      </c>
      <c r="F37" s="363"/>
      <c r="G37" s="363"/>
      <c r="H37" s="363"/>
      <c r="I37" s="363"/>
      <c r="J37" s="363"/>
      <c r="K37" s="363"/>
      <c r="L37" s="363"/>
      <c r="M37" s="363"/>
      <c r="N37" s="363"/>
      <c r="O37" s="253">
        <f>O36/O34</f>
        <v>0.40106361716733724</v>
      </c>
      <c r="Q37" s="58"/>
    </row>
    <row r="38" spans="1:23" s="123" customFormat="1" x14ac:dyDescent="0.4">
      <c r="A38" s="122"/>
      <c r="B38" s="219" t="s">
        <v>66</v>
      </c>
      <c r="C38" s="221">
        <f t="shared" ref="C38:N38" si="7">C3</f>
        <v>322280</v>
      </c>
      <c r="D38" s="221">
        <f t="shared" si="7"/>
        <v>321976</v>
      </c>
      <c r="E38" s="221">
        <f t="shared" si="7"/>
        <v>328979</v>
      </c>
      <c r="F38" s="221">
        <f t="shared" si="7"/>
        <v>382362</v>
      </c>
      <c r="G38" s="221">
        <f t="shared" si="7"/>
        <v>381216</v>
      </c>
      <c r="H38" s="221">
        <f t="shared" si="7"/>
        <v>364130</v>
      </c>
      <c r="I38" s="221">
        <f t="shared" si="7"/>
        <v>316503</v>
      </c>
      <c r="J38" s="221">
        <f t="shared" si="7"/>
        <v>320352</v>
      </c>
      <c r="K38" s="221">
        <f t="shared" si="7"/>
        <v>316248</v>
      </c>
      <c r="L38" s="221">
        <f t="shared" si="7"/>
        <v>310492</v>
      </c>
      <c r="M38" s="221">
        <f t="shared" si="7"/>
        <v>315280</v>
      </c>
      <c r="N38" s="221">
        <f t="shared" si="7"/>
        <v>318600</v>
      </c>
      <c r="O38" s="220">
        <f>SUM(C38:N38)</f>
        <v>3998418</v>
      </c>
      <c r="P38" s="3"/>
      <c r="Q38" s="103"/>
      <c r="R38" s="3"/>
      <c r="S38" s="3"/>
      <c r="T38" s="3"/>
      <c r="U38" s="3"/>
      <c r="V38" s="3"/>
      <c r="W38" s="3"/>
    </row>
    <row r="39" spans="1:23" s="123" customFormat="1" x14ac:dyDescent="0.4">
      <c r="A39" s="122"/>
      <c r="B39" s="219" t="s">
        <v>67</v>
      </c>
      <c r="C39" s="463">
        <v>102260</v>
      </c>
      <c r="D39" s="463">
        <v>99047</v>
      </c>
      <c r="E39" s="463">
        <v>118852</v>
      </c>
      <c r="F39" s="463">
        <v>145278</v>
      </c>
      <c r="G39" s="463">
        <v>142903</v>
      </c>
      <c r="H39" s="463">
        <v>135588</v>
      </c>
      <c r="I39" s="463">
        <v>110189</v>
      </c>
      <c r="J39" s="463">
        <v>111801</v>
      </c>
      <c r="K39" s="463">
        <v>110187</v>
      </c>
      <c r="L39" s="463">
        <v>107556</v>
      </c>
      <c r="M39" s="463">
        <v>110176</v>
      </c>
      <c r="N39" s="463">
        <v>110177</v>
      </c>
      <c r="O39" s="220">
        <f>SUM(C39:N39)</f>
        <v>1404014</v>
      </c>
      <c r="P39" s="3"/>
      <c r="Q39" s="58"/>
      <c r="R39" s="3"/>
      <c r="S39" s="3"/>
      <c r="T39" s="3"/>
      <c r="U39" s="3"/>
      <c r="V39" s="3"/>
      <c r="W39" s="3"/>
    </row>
    <row r="40" spans="1:23" s="123" customFormat="1" x14ac:dyDescent="0.4">
      <c r="A40" s="155"/>
      <c r="B40" s="222" t="s">
        <v>68</v>
      </c>
      <c r="C40" s="221">
        <f t="shared" ref="C40:N40" si="8">C38-C39</f>
        <v>220020</v>
      </c>
      <c r="D40" s="221">
        <f t="shared" si="8"/>
        <v>222929</v>
      </c>
      <c r="E40" s="221">
        <f t="shared" si="8"/>
        <v>210127</v>
      </c>
      <c r="F40" s="221">
        <f t="shared" si="8"/>
        <v>237084</v>
      </c>
      <c r="G40" s="221">
        <f t="shared" si="8"/>
        <v>238313</v>
      </c>
      <c r="H40" s="221">
        <f t="shared" si="8"/>
        <v>228542</v>
      </c>
      <c r="I40" s="221">
        <f t="shared" si="8"/>
        <v>206314</v>
      </c>
      <c r="J40" s="221">
        <f t="shared" si="8"/>
        <v>208551</v>
      </c>
      <c r="K40" s="221">
        <f t="shared" si="8"/>
        <v>206061</v>
      </c>
      <c r="L40" s="221">
        <f t="shared" si="8"/>
        <v>202936</v>
      </c>
      <c r="M40" s="221">
        <f t="shared" si="8"/>
        <v>205104</v>
      </c>
      <c r="N40" s="221">
        <f t="shared" si="8"/>
        <v>208423</v>
      </c>
      <c r="O40" s="221">
        <f>SUM(C40:N40)</f>
        <v>2594404</v>
      </c>
      <c r="P40" s="58"/>
      <c r="Q40" s="3"/>
      <c r="R40" s="3"/>
      <c r="S40" s="3"/>
      <c r="T40" s="3"/>
      <c r="U40" s="3"/>
      <c r="V40" s="3"/>
      <c r="W40" s="3"/>
    </row>
    <row r="41" spans="1:23" s="123" customFormat="1" x14ac:dyDescent="0.4">
      <c r="A41" s="155"/>
      <c r="B41" s="222" t="s">
        <v>69</v>
      </c>
      <c r="C41" s="364">
        <f t="shared" ref="C41:O41" si="9">C40/C38</f>
        <v>0.68269827479210621</v>
      </c>
      <c r="D41" s="364">
        <f t="shared" si="9"/>
        <v>0.69237769274728556</v>
      </c>
      <c r="E41" s="364">
        <f t="shared" si="9"/>
        <v>0.63872466023667163</v>
      </c>
      <c r="F41" s="364">
        <f t="shared" si="9"/>
        <v>0.62005115571108005</v>
      </c>
      <c r="G41" s="364">
        <f t="shared" si="9"/>
        <v>0.62513902879207583</v>
      </c>
      <c r="H41" s="364">
        <f t="shared" si="9"/>
        <v>0.62763848076236506</v>
      </c>
      <c r="I41" s="364">
        <f t="shared" si="9"/>
        <v>0.65185480074438473</v>
      </c>
      <c r="J41" s="364">
        <f t="shared" si="9"/>
        <v>0.65100576865448012</v>
      </c>
      <c r="K41" s="364">
        <f t="shared" si="9"/>
        <v>0.65158040525157468</v>
      </c>
      <c r="L41" s="364">
        <f t="shared" si="9"/>
        <v>0.65359493964417759</v>
      </c>
      <c r="M41" s="364">
        <f t="shared" si="9"/>
        <v>0.65054554681552901</v>
      </c>
      <c r="N41" s="364">
        <f t="shared" si="9"/>
        <v>0.65418392969240424</v>
      </c>
      <c r="O41" s="223">
        <f t="shared" si="9"/>
        <v>0.64885762318997164</v>
      </c>
      <c r="P41" s="58"/>
      <c r="Q41" s="3"/>
      <c r="R41" s="3"/>
      <c r="S41" s="3"/>
      <c r="T41" s="3"/>
      <c r="U41" s="3"/>
      <c r="V41" s="3"/>
      <c r="W41" s="3"/>
    </row>
    <row r="42" spans="1:23" s="3" customFormat="1" x14ac:dyDescent="0.4">
      <c r="A42" s="122"/>
      <c r="B42" s="208" t="s">
        <v>71</v>
      </c>
      <c r="C42" s="209">
        <f t="shared" ref="C42:M42" si="10">C10</f>
        <v>40401</v>
      </c>
      <c r="D42" s="209">
        <f t="shared" si="10"/>
        <v>103232</v>
      </c>
      <c r="E42" s="209">
        <f t="shared" si="10"/>
        <v>59881</v>
      </c>
      <c r="F42" s="209">
        <f t="shared" si="10"/>
        <v>142704</v>
      </c>
      <c r="G42" s="209">
        <f t="shared" si="10"/>
        <v>144085</v>
      </c>
      <c r="H42" s="209">
        <f t="shared" si="10"/>
        <v>62777</v>
      </c>
      <c r="I42" s="209">
        <f t="shared" si="10"/>
        <v>58928</v>
      </c>
      <c r="J42" s="209">
        <f t="shared" si="10"/>
        <v>244650</v>
      </c>
      <c r="K42" s="209">
        <f t="shared" si="10"/>
        <v>73181</v>
      </c>
      <c r="L42" s="209">
        <f t="shared" si="10"/>
        <v>108546</v>
      </c>
      <c r="M42" s="209">
        <f t="shared" si="10"/>
        <v>90268</v>
      </c>
      <c r="N42" s="209">
        <v>99748</v>
      </c>
      <c r="O42" s="210">
        <f>SUM(C42:N42)</f>
        <v>1228401</v>
      </c>
      <c r="P42" s="58"/>
    </row>
    <row r="43" spans="1:23" s="3" customFormat="1" x14ac:dyDescent="0.4">
      <c r="A43" s="122"/>
      <c r="B43" s="208" t="s">
        <v>72</v>
      </c>
      <c r="C43" s="472">
        <v>28221</v>
      </c>
      <c r="D43" s="472">
        <v>69474</v>
      </c>
      <c r="E43" s="472">
        <v>35161</v>
      </c>
      <c r="F43" s="472">
        <v>83376</v>
      </c>
      <c r="G43" s="472">
        <v>99661</v>
      </c>
      <c r="H43" s="472">
        <v>40425</v>
      </c>
      <c r="I43" s="472">
        <v>39040</v>
      </c>
      <c r="J43" s="472">
        <v>193722</v>
      </c>
      <c r="K43" s="472">
        <v>45707</v>
      </c>
      <c r="L43" s="472">
        <v>62784</v>
      </c>
      <c r="M43" s="472">
        <v>59227</v>
      </c>
      <c r="N43" s="472">
        <v>58463</v>
      </c>
      <c r="O43" s="210">
        <f>SUM(C43:N43)</f>
        <v>815261</v>
      </c>
      <c r="P43" s="58"/>
    </row>
    <row r="44" spans="1:23" s="3" customFormat="1" x14ac:dyDescent="0.4">
      <c r="A44" s="155"/>
      <c r="B44" s="211" t="s">
        <v>73</v>
      </c>
      <c r="C44" s="212">
        <f t="shared" ref="C44:N44" si="11">C42-C43</f>
        <v>12180</v>
      </c>
      <c r="D44" s="212">
        <f t="shared" si="11"/>
        <v>33758</v>
      </c>
      <c r="E44" s="212">
        <f t="shared" si="11"/>
        <v>24720</v>
      </c>
      <c r="F44" s="212">
        <f t="shared" si="11"/>
        <v>59328</v>
      </c>
      <c r="G44" s="212">
        <f t="shared" si="11"/>
        <v>44424</v>
      </c>
      <c r="H44" s="212">
        <f t="shared" si="11"/>
        <v>22352</v>
      </c>
      <c r="I44" s="212">
        <f t="shared" si="11"/>
        <v>19888</v>
      </c>
      <c r="J44" s="212">
        <f t="shared" si="11"/>
        <v>50928</v>
      </c>
      <c r="K44" s="212">
        <f t="shared" si="11"/>
        <v>27474</v>
      </c>
      <c r="L44" s="212">
        <f t="shared" si="11"/>
        <v>45762</v>
      </c>
      <c r="M44" s="212">
        <f t="shared" si="11"/>
        <v>31041</v>
      </c>
      <c r="N44" s="212">
        <f t="shared" si="11"/>
        <v>41285</v>
      </c>
      <c r="O44" s="213">
        <f>SUM(C44:N44)</f>
        <v>413140</v>
      </c>
      <c r="P44" s="58"/>
      <c r="Q44" s="188"/>
    </row>
    <row r="45" spans="1:23" s="3" customFormat="1" x14ac:dyDescent="0.4">
      <c r="A45" s="155"/>
      <c r="B45" s="211" t="s">
        <v>74</v>
      </c>
      <c r="C45" s="365">
        <f t="shared" ref="C45:O45" si="12">C44/C42</f>
        <v>0.30147768619588622</v>
      </c>
      <c r="D45" s="365">
        <f t="shared" si="12"/>
        <v>0.32701100433973962</v>
      </c>
      <c r="E45" s="365">
        <f t="shared" si="12"/>
        <v>0.41281875720178351</v>
      </c>
      <c r="F45" s="365">
        <f t="shared" si="12"/>
        <v>0.41574167507568111</v>
      </c>
      <c r="G45" s="365">
        <f t="shared" si="12"/>
        <v>0.30831800673213727</v>
      </c>
      <c r="H45" s="365">
        <f t="shared" si="12"/>
        <v>0.35605396881023305</v>
      </c>
      <c r="I45" s="365">
        <f t="shared" si="12"/>
        <v>0.33749660602769482</v>
      </c>
      <c r="J45" s="249">
        <f t="shared" si="12"/>
        <v>0.20816676885346413</v>
      </c>
      <c r="K45" s="249">
        <f t="shared" si="12"/>
        <v>0.37542531531408424</v>
      </c>
      <c r="L45" s="249">
        <f t="shared" si="12"/>
        <v>0.42159084627715437</v>
      </c>
      <c r="M45" s="249">
        <f t="shared" si="12"/>
        <v>0.34387601364824744</v>
      </c>
      <c r="N45" s="249">
        <f t="shared" si="12"/>
        <v>0.41389301038617315</v>
      </c>
      <c r="O45" s="214">
        <f t="shared" si="12"/>
        <v>0.33632339928085375</v>
      </c>
      <c r="P45" s="58"/>
      <c r="Q45" s="143"/>
    </row>
    <row r="46" spans="1:23" s="3" customFormat="1" x14ac:dyDescent="0.4">
      <c r="A46" s="155"/>
      <c r="B46" s="122" t="s">
        <v>76</v>
      </c>
      <c r="C46" s="366"/>
      <c r="D46" s="366"/>
      <c r="E46" s="366"/>
      <c r="F46" s="366"/>
      <c r="G46" s="366"/>
      <c r="H46" s="366"/>
      <c r="I46" s="366"/>
      <c r="J46" s="366"/>
      <c r="K46" s="400"/>
      <c r="L46" s="366"/>
      <c r="M46" s="264"/>
      <c r="N46" s="264"/>
      <c r="O46" s="201"/>
      <c r="P46" s="58"/>
    </row>
    <row r="47" spans="1:23" s="154" customFormat="1" ht="15" thickBot="1" x14ac:dyDescent="0.45">
      <c r="A47" s="122"/>
      <c r="B47" s="196" t="s">
        <v>77</v>
      </c>
      <c r="C47" s="197">
        <f t="shared" ref="C47:N47" si="13">C38+C42</f>
        <v>362681</v>
      </c>
      <c r="D47" s="197">
        <f t="shared" si="13"/>
        <v>425208</v>
      </c>
      <c r="E47" s="197">
        <f t="shared" si="13"/>
        <v>388860</v>
      </c>
      <c r="F47" s="197">
        <f t="shared" si="13"/>
        <v>525066</v>
      </c>
      <c r="G47" s="197">
        <f t="shared" si="13"/>
        <v>525301</v>
      </c>
      <c r="H47" s="197">
        <f t="shared" si="13"/>
        <v>426907</v>
      </c>
      <c r="I47" s="197">
        <f t="shared" si="13"/>
        <v>375431</v>
      </c>
      <c r="J47" s="263">
        <f t="shared" si="13"/>
        <v>565002</v>
      </c>
      <c r="K47" s="281">
        <f t="shared" si="13"/>
        <v>389429</v>
      </c>
      <c r="L47" s="263">
        <f t="shared" si="13"/>
        <v>419038</v>
      </c>
      <c r="M47" s="263">
        <f t="shared" si="13"/>
        <v>405548</v>
      </c>
      <c r="N47" s="263">
        <f t="shared" si="13"/>
        <v>418348</v>
      </c>
      <c r="O47" s="198">
        <f>SUM(C47:N47)</f>
        <v>5226819</v>
      </c>
      <c r="P47" s="58"/>
      <c r="Q47" s="3"/>
      <c r="R47" s="3"/>
      <c r="S47" s="3"/>
      <c r="T47" s="3"/>
      <c r="U47" s="3"/>
      <c r="V47" s="3"/>
      <c r="W47" s="3"/>
    </row>
    <row r="48" spans="1:23" s="154" customFormat="1" ht="15" thickTop="1" x14ac:dyDescent="0.4">
      <c r="A48" s="122"/>
      <c r="B48" s="122" t="s">
        <v>78</v>
      </c>
      <c r="C48" s="2">
        <f>C39+C43</f>
        <v>130481</v>
      </c>
      <c r="D48" s="2">
        <f>D39+D43</f>
        <v>168521</v>
      </c>
      <c r="E48" s="2">
        <f>E39+E43</f>
        <v>154013</v>
      </c>
      <c r="F48" s="2">
        <f>F39+F43</f>
        <v>228654</v>
      </c>
      <c r="G48" s="2">
        <f t="shared" ref="G48:N48" si="14">G39+G43+G46</f>
        <v>242564</v>
      </c>
      <c r="H48" s="2">
        <f t="shared" si="14"/>
        <v>176013</v>
      </c>
      <c r="I48" s="2">
        <f t="shared" si="14"/>
        <v>149229</v>
      </c>
      <c r="J48" s="2">
        <f t="shared" si="14"/>
        <v>305523</v>
      </c>
      <c r="K48" s="158">
        <f t="shared" si="14"/>
        <v>155894</v>
      </c>
      <c r="L48" s="2">
        <f t="shared" si="14"/>
        <v>170340</v>
      </c>
      <c r="M48" s="2">
        <f t="shared" si="14"/>
        <v>169403</v>
      </c>
      <c r="N48" s="2">
        <f t="shared" si="14"/>
        <v>168640</v>
      </c>
      <c r="O48" s="152">
        <f>SUM(C48:N48)</f>
        <v>2219275</v>
      </c>
      <c r="P48" s="58"/>
      <c r="Q48" s="200"/>
      <c r="R48" s="200"/>
      <c r="S48" s="200"/>
      <c r="T48" s="200"/>
      <c r="U48" s="200"/>
      <c r="V48" s="200"/>
      <c r="W48" s="3"/>
    </row>
    <row r="49" spans="1:23" s="157" customFormat="1" x14ac:dyDescent="0.4">
      <c r="A49" s="156"/>
      <c r="B49" s="190" t="s">
        <v>79</v>
      </c>
      <c r="C49" s="358">
        <f t="shared" ref="C49:N49" si="15">C47-C48</f>
        <v>232200</v>
      </c>
      <c r="D49" s="358">
        <f t="shared" si="15"/>
        <v>256687</v>
      </c>
      <c r="E49" s="358">
        <f t="shared" si="15"/>
        <v>234847</v>
      </c>
      <c r="F49" s="358">
        <f t="shared" si="15"/>
        <v>296412</v>
      </c>
      <c r="G49" s="358">
        <f t="shared" si="15"/>
        <v>282737</v>
      </c>
      <c r="H49" s="358">
        <f t="shared" si="15"/>
        <v>250894</v>
      </c>
      <c r="I49" s="358">
        <f t="shared" si="15"/>
        <v>226202</v>
      </c>
      <c r="J49" s="358">
        <f t="shared" si="15"/>
        <v>259479</v>
      </c>
      <c r="K49" s="402">
        <f t="shared" si="15"/>
        <v>233535</v>
      </c>
      <c r="L49" s="358">
        <f t="shared" si="15"/>
        <v>248698</v>
      </c>
      <c r="M49" s="358">
        <f t="shared" si="15"/>
        <v>236145</v>
      </c>
      <c r="N49" s="358">
        <f t="shared" si="15"/>
        <v>249708</v>
      </c>
      <c r="O49" s="192">
        <f>SUM(C49:N49)</f>
        <v>3007544</v>
      </c>
      <c r="P49" s="199"/>
      <c r="Q49" s="200"/>
      <c r="R49" s="200"/>
      <c r="S49" s="200"/>
      <c r="T49" s="200"/>
      <c r="U49" s="200"/>
      <c r="V49" s="200"/>
      <c r="W49" s="200"/>
    </row>
    <row r="50" spans="1:23" s="200" customFormat="1" x14ac:dyDescent="0.4">
      <c r="A50" s="156"/>
      <c r="B50" s="156" t="s">
        <v>80</v>
      </c>
      <c r="C50" s="359">
        <f t="shared" ref="C50:O50" si="16">C49/C47</f>
        <v>0.6402320496524494</v>
      </c>
      <c r="D50" s="359">
        <f t="shared" si="16"/>
        <v>0.60367396662339368</v>
      </c>
      <c r="E50" s="359">
        <f t="shared" si="16"/>
        <v>0.60393714961682865</v>
      </c>
      <c r="F50" s="359">
        <f t="shared" si="16"/>
        <v>0.56452331706871139</v>
      </c>
      <c r="G50" s="359">
        <f t="shared" si="16"/>
        <v>0.53823807683594738</v>
      </c>
      <c r="H50" s="359">
        <f t="shared" si="16"/>
        <v>0.58770177111174093</v>
      </c>
      <c r="I50" s="359">
        <f t="shared" si="16"/>
        <v>0.60251284523654147</v>
      </c>
      <c r="J50" s="359">
        <f t="shared" si="16"/>
        <v>0.4592532415814457</v>
      </c>
      <c r="K50" s="384">
        <f t="shared" si="16"/>
        <v>0.59968569366944935</v>
      </c>
      <c r="L50" s="359">
        <f t="shared" si="16"/>
        <v>0.59349748710140848</v>
      </c>
      <c r="M50" s="359">
        <f t="shared" si="16"/>
        <v>0.58228619053724839</v>
      </c>
      <c r="N50" s="359">
        <f t="shared" si="16"/>
        <v>0.59689062694216299</v>
      </c>
      <c r="O50" s="236">
        <f t="shared" si="16"/>
        <v>0.57540618873544314</v>
      </c>
      <c r="P50" s="199"/>
      <c r="Q50" s="3"/>
      <c r="R50" s="3"/>
      <c r="S50" s="3"/>
      <c r="T50" s="3"/>
      <c r="U50" s="3"/>
      <c r="V50" s="3"/>
    </row>
    <row r="51" spans="1:23" s="3" customFormat="1" x14ac:dyDescent="0.4">
      <c r="A51" s="155"/>
      <c r="B51" s="242" t="s">
        <v>81</v>
      </c>
      <c r="C51" s="463">
        <v>235000</v>
      </c>
      <c r="D51" s="463">
        <v>218200</v>
      </c>
      <c r="E51" s="463">
        <v>210000</v>
      </c>
      <c r="F51" s="463">
        <v>204000</v>
      </c>
      <c r="G51" s="463">
        <v>204000</v>
      </c>
      <c r="H51" s="463">
        <v>204000</v>
      </c>
      <c r="I51" s="463">
        <v>204000</v>
      </c>
      <c r="J51" s="463">
        <v>204000</v>
      </c>
      <c r="K51" s="463">
        <v>204000</v>
      </c>
      <c r="L51" s="463">
        <v>204000</v>
      </c>
      <c r="M51" s="463">
        <v>204001</v>
      </c>
      <c r="N51" s="463">
        <v>204002</v>
      </c>
      <c r="O51" s="244">
        <f>SUM(C51:N51)</f>
        <v>2499203</v>
      </c>
      <c r="P51" s="58"/>
      <c r="Q51"/>
      <c r="R51"/>
      <c r="S51"/>
      <c r="T51"/>
      <c r="U51"/>
      <c r="V51"/>
    </row>
    <row r="52" spans="1:23" x14ac:dyDescent="0.4">
      <c r="A52" s="155"/>
      <c r="B52" s="122" t="s">
        <v>82</v>
      </c>
      <c r="C52" s="361">
        <f t="shared" ref="C52:N52" si="17">C49-C51</f>
        <v>-2800</v>
      </c>
      <c r="D52" s="465">
        <f t="shared" si="17"/>
        <v>38487</v>
      </c>
      <c r="E52" s="465">
        <f t="shared" si="17"/>
        <v>24847</v>
      </c>
      <c r="F52" s="465">
        <f t="shared" si="17"/>
        <v>92412</v>
      </c>
      <c r="G52" s="465">
        <f t="shared" si="17"/>
        <v>78737</v>
      </c>
      <c r="H52" s="465">
        <f t="shared" si="17"/>
        <v>46894</v>
      </c>
      <c r="I52" s="465">
        <f t="shared" si="17"/>
        <v>22202</v>
      </c>
      <c r="J52" s="465">
        <f t="shared" si="17"/>
        <v>55479</v>
      </c>
      <c r="K52" s="465">
        <f t="shared" si="17"/>
        <v>29535</v>
      </c>
      <c r="L52" s="465">
        <f t="shared" si="17"/>
        <v>44698</v>
      </c>
      <c r="M52" s="465">
        <f t="shared" si="17"/>
        <v>32144</v>
      </c>
      <c r="N52" s="465">
        <f t="shared" si="17"/>
        <v>45706</v>
      </c>
      <c r="O52" s="178">
        <f>SUM(C52:N52)</f>
        <v>508341</v>
      </c>
      <c r="P52" s="143"/>
    </row>
    <row r="53" spans="1:23" x14ac:dyDescent="0.4">
      <c r="A53" s="155"/>
      <c r="B53" s="122" t="s">
        <v>83</v>
      </c>
      <c r="C53" s="469">
        <f t="shared" ref="C53:N53" si="18">C52/C19</f>
        <v>-7.7202831138107591E-3</v>
      </c>
      <c r="D53" s="468">
        <f t="shared" si="18"/>
        <v>9.0513348761076931E-2</v>
      </c>
      <c r="E53" s="468">
        <f t="shared" si="18"/>
        <v>6.3897032350974645E-2</v>
      </c>
      <c r="F53" s="468">
        <f t="shared" si="18"/>
        <v>0.17600073133663197</v>
      </c>
      <c r="G53" s="468">
        <f t="shared" si="18"/>
        <v>0.14988930156234234</v>
      </c>
      <c r="H53" s="470">
        <f t="shared" si="18"/>
        <v>0.10984593834254298</v>
      </c>
      <c r="I53" s="470">
        <f t="shared" si="18"/>
        <v>5.9137364788736144E-2</v>
      </c>
      <c r="J53" s="470">
        <f t="shared" si="18"/>
        <v>9.8192572769653916E-2</v>
      </c>
      <c r="K53" s="470">
        <f t="shared" si="18"/>
        <v>7.584180941840489E-2</v>
      </c>
      <c r="L53" s="470">
        <f t="shared" si="18"/>
        <v>0.10666813033662818</v>
      </c>
      <c r="M53" s="470">
        <f t="shared" si="18"/>
        <v>7.9260654719046822E-2</v>
      </c>
      <c r="N53" s="470">
        <f t="shared" si="18"/>
        <v>0.1092532789608676</v>
      </c>
      <c r="O53" s="58"/>
      <c r="P53" s="143"/>
    </row>
    <row r="54" spans="1:23" ht="6.75" customHeight="1" x14ac:dyDescent="0.4">
      <c r="A54" s="237"/>
      <c r="B54" s="238"/>
      <c r="C54" s="360"/>
      <c r="D54" s="360"/>
      <c r="E54" s="360"/>
      <c r="F54" s="360"/>
      <c r="G54" s="360"/>
      <c r="H54" s="360"/>
      <c r="I54" s="239"/>
      <c r="J54" s="385"/>
      <c r="K54" s="403"/>
      <c r="L54" s="240"/>
      <c r="M54" s="240"/>
      <c r="N54" s="240"/>
      <c r="O54" s="239"/>
      <c r="P54" s="143"/>
    </row>
    <row r="55" spans="1:23" x14ac:dyDescent="0.4">
      <c r="A55" s="155"/>
      <c r="B55" s="155" t="s">
        <v>84</v>
      </c>
      <c r="C55" s="158">
        <f t="shared" ref="C55:N55" si="19">C19*0.18</f>
        <v>65282.579999999994</v>
      </c>
      <c r="D55" s="158">
        <f t="shared" si="19"/>
        <v>76537.440000000002</v>
      </c>
      <c r="E55" s="158">
        <f t="shared" si="19"/>
        <v>69994.8</v>
      </c>
      <c r="F55" s="158">
        <f t="shared" si="19"/>
        <v>94511.87999999999</v>
      </c>
      <c r="G55" s="158">
        <f t="shared" si="19"/>
        <v>94554.18</v>
      </c>
      <c r="H55" s="158">
        <f t="shared" si="19"/>
        <v>76843.259999999995</v>
      </c>
      <c r="I55" s="158">
        <f t="shared" si="19"/>
        <v>67577.58</v>
      </c>
      <c r="J55" s="158">
        <f t="shared" si="19"/>
        <v>101700.36</v>
      </c>
      <c r="K55" s="158">
        <f t="shared" si="19"/>
        <v>70097.22</v>
      </c>
      <c r="L55" s="158">
        <f t="shared" si="19"/>
        <v>75426.84</v>
      </c>
      <c r="M55" s="158">
        <f t="shared" si="19"/>
        <v>72998.64</v>
      </c>
      <c r="N55" s="158">
        <f t="shared" si="19"/>
        <v>75302.819999999992</v>
      </c>
      <c r="O55" s="344">
        <f>SUM(C55:N55)</f>
        <v>940827.59999999986</v>
      </c>
      <c r="P55" s="345" t="s">
        <v>85</v>
      </c>
    </row>
    <row r="56" spans="1:23" ht="28.5" customHeight="1" x14ac:dyDescent="0.4">
      <c r="A56" s="245"/>
      <c r="B56" s="246"/>
      <c r="C56" s="376"/>
      <c r="D56" s="376"/>
      <c r="E56" s="376"/>
      <c r="F56" s="376"/>
      <c r="G56" s="247"/>
      <c r="H56" s="247"/>
      <c r="I56" s="247"/>
      <c r="J56" s="376"/>
      <c r="K56" s="286"/>
      <c r="L56" s="247"/>
      <c r="M56" s="247"/>
      <c r="N56" s="247"/>
      <c r="O56" s="247"/>
      <c r="P56" s="143"/>
    </row>
    <row r="57" spans="1:23" ht="39.75" customHeight="1" x14ac:dyDescent="0.4">
      <c r="A57" s="154" t="s">
        <v>86</v>
      </c>
      <c r="B57" s="241"/>
      <c r="C57" s="241"/>
      <c r="D57" s="241"/>
      <c r="E57" s="241"/>
      <c r="F57" s="241"/>
      <c r="G57" s="241"/>
      <c r="H57" s="241"/>
      <c r="I57" s="241"/>
      <c r="J57" s="241"/>
      <c r="K57" s="287"/>
      <c r="L57" s="241"/>
      <c r="M57" s="241"/>
      <c r="N57" s="241"/>
      <c r="O57" s="241"/>
      <c r="P57" s="1"/>
    </row>
    <row r="58" spans="1:23" ht="15" thickBot="1" x14ac:dyDescent="0.45">
      <c r="B58" s="10"/>
      <c r="G58" s="90"/>
      <c r="H58" s="90"/>
      <c r="I58" s="73"/>
      <c r="P58" s="1"/>
      <c r="R58" s="2"/>
    </row>
    <row r="59" spans="1:23" ht="15" thickBot="1" x14ac:dyDescent="0.45">
      <c r="A59" s="130" t="s">
        <v>87</v>
      </c>
      <c r="B59" s="120" t="s">
        <v>151</v>
      </c>
      <c r="C59" s="467">
        <v>177353</v>
      </c>
      <c r="D59" s="127">
        <f t="shared" ref="D59:N59" si="20">C59</f>
        <v>177353</v>
      </c>
      <c r="E59" s="127">
        <f t="shared" si="20"/>
        <v>177353</v>
      </c>
      <c r="F59" s="127">
        <f t="shared" si="20"/>
        <v>177353</v>
      </c>
      <c r="G59" s="127">
        <f t="shared" si="20"/>
        <v>177353</v>
      </c>
      <c r="H59" s="127">
        <f t="shared" si="20"/>
        <v>177353</v>
      </c>
      <c r="I59" s="127">
        <f t="shared" si="20"/>
        <v>177353</v>
      </c>
      <c r="J59" s="127">
        <f t="shared" si="20"/>
        <v>177353</v>
      </c>
      <c r="K59" s="127">
        <f t="shared" si="20"/>
        <v>177353</v>
      </c>
      <c r="L59" s="127">
        <f t="shared" si="20"/>
        <v>177353</v>
      </c>
      <c r="M59" s="127">
        <f t="shared" si="20"/>
        <v>177353</v>
      </c>
      <c r="N59" s="127">
        <f t="shared" si="20"/>
        <v>177353</v>
      </c>
      <c r="O59" s="126">
        <f t="shared" ref="O59:O76" si="21">SUM(C59:N59)</f>
        <v>2128236</v>
      </c>
      <c r="P59" s="1"/>
    </row>
    <row r="60" spans="1:23" x14ac:dyDescent="0.4">
      <c r="B60" s="1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26">
        <f t="shared" si="21"/>
        <v>0</v>
      </c>
    </row>
    <row r="61" spans="1:23" x14ac:dyDescent="0.4">
      <c r="B61" s="148" t="s">
        <v>89</v>
      </c>
      <c r="C61" s="478">
        <v>-12500</v>
      </c>
      <c r="D61" s="478">
        <v>-12500</v>
      </c>
      <c r="E61" s="478">
        <v>-12500</v>
      </c>
      <c r="F61" s="478">
        <v>-12500</v>
      </c>
      <c r="G61" s="478">
        <v>-12500</v>
      </c>
      <c r="H61" s="478">
        <v>-12500</v>
      </c>
      <c r="I61" s="478">
        <v>-12500</v>
      </c>
      <c r="J61" s="478">
        <v>-12500</v>
      </c>
      <c r="K61" s="478">
        <v>-12500</v>
      </c>
      <c r="L61" s="478">
        <v>-12500</v>
      </c>
      <c r="M61" s="478">
        <v>-12500</v>
      </c>
      <c r="N61" s="478">
        <v>-12500</v>
      </c>
      <c r="O61" s="479">
        <f t="shared" si="21"/>
        <v>-150000</v>
      </c>
    </row>
    <row r="62" spans="1:23" x14ac:dyDescent="0.4">
      <c r="B62" s="148" t="s">
        <v>152</v>
      </c>
      <c r="C62" s="478"/>
      <c r="D62" s="478"/>
      <c r="E62" s="478">
        <v>-4265</v>
      </c>
      <c r="F62" s="478">
        <v>-4265</v>
      </c>
      <c r="G62" s="478">
        <v>-4265</v>
      </c>
      <c r="H62" s="478">
        <v>-4265</v>
      </c>
      <c r="I62" s="478">
        <v>-4265</v>
      </c>
      <c r="J62" s="478">
        <v>-4265</v>
      </c>
      <c r="K62" s="478">
        <v>-4265</v>
      </c>
      <c r="L62" s="478">
        <v>-4265</v>
      </c>
      <c r="M62" s="478">
        <v>-4265</v>
      </c>
      <c r="N62" s="478">
        <v>-4265</v>
      </c>
      <c r="O62" s="479">
        <f t="shared" si="21"/>
        <v>-42650</v>
      </c>
      <c r="Q62" s="72"/>
      <c r="R62" s="72"/>
      <c r="S62" s="72"/>
      <c r="T62" s="72"/>
      <c r="U62" s="72"/>
      <c r="V62" s="72"/>
    </row>
    <row r="63" spans="1:23" s="72" customFormat="1" x14ac:dyDescent="0.4">
      <c r="B63" s="148" t="s">
        <v>153</v>
      </c>
      <c r="C63" s="480"/>
      <c r="D63" s="481"/>
      <c r="E63" s="478">
        <v>-110</v>
      </c>
      <c r="F63" s="478">
        <v>-110</v>
      </c>
      <c r="G63" s="478">
        <v>-110</v>
      </c>
      <c r="H63" s="478">
        <v>-110</v>
      </c>
      <c r="I63" s="478">
        <v>-110</v>
      </c>
      <c r="J63" s="478">
        <v>-110</v>
      </c>
      <c r="K63" s="478">
        <v>-110</v>
      </c>
      <c r="L63" s="478">
        <v>-110</v>
      </c>
      <c r="M63" s="478">
        <v>-110</v>
      </c>
      <c r="N63" s="478">
        <v>-110</v>
      </c>
      <c r="O63" s="479">
        <f t="shared" si="21"/>
        <v>-1100</v>
      </c>
      <c r="P63"/>
    </row>
    <row r="64" spans="1:23" s="72" customFormat="1" x14ac:dyDescent="0.4">
      <c r="B64" s="148" t="s">
        <v>154</v>
      </c>
      <c r="C64" s="480"/>
      <c r="D64" s="481"/>
      <c r="E64" s="478">
        <v>-24750</v>
      </c>
      <c r="F64" s="478">
        <v>-24750</v>
      </c>
      <c r="G64" s="478">
        <v>-24750</v>
      </c>
      <c r="H64" s="478">
        <v>-24750</v>
      </c>
      <c r="I64" s="478">
        <v>-24750</v>
      </c>
      <c r="J64" s="478">
        <v>-24750</v>
      </c>
      <c r="K64" s="478">
        <v>-24750</v>
      </c>
      <c r="L64" s="478">
        <v>-24750</v>
      </c>
      <c r="M64" s="478">
        <v>-24750</v>
      </c>
      <c r="N64" s="478">
        <v>-24750</v>
      </c>
      <c r="O64" s="479">
        <f t="shared" si="21"/>
        <v>-247500</v>
      </c>
      <c r="P64"/>
      <c r="Q64"/>
      <c r="R64"/>
      <c r="S64"/>
      <c r="T64"/>
      <c r="U64"/>
      <c r="V64"/>
    </row>
    <row r="65" spans="1:22" x14ac:dyDescent="0.4">
      <c r="A65" s="173"/>
      <c r="B65" s="128" t="s">
        <v>155</v>
      </c>
      <c r="C65" s="481"/>
      <c r="D65" s="481">
        <v>640</v>
      </c>
      <c r="E65" s="481">
        <v>640</v>
      </c>
      <c r="F65" s="481">
        <v>640</v>
      </c>
      <c r="G65" s="481">
        <v>640</v>
      </c>
      <c r="H65" s="481">
        <v>640</v>
      </c>
      <c r="I65" s="481">
        <v>640</v>
      </c>
      <c r="J65" s="481">
        <v>640</v>
      </c>
      <c r="K65" s="481">
        <v>640</v>
      </c>
      <c r="L65" s="481">
        <v>640</v>
      </c>
      <c r="M65" s="481">
        <v>640</v>
      </c>
      <c r="N65" s="481">
        <v>640</v>
      </c>
      <c r="O65" s="482">
        <f t="shared" si="21"/>
        <v>7040</v>
      </c>
      <c r="P65" s="72"/>
    </row>
    <row r="66" spans="1:22" x14ac:dyDescent="0.4">
      <c r="B66" s="128" t="s">
        <v>156</v>
      </c>
      <c r="C66" s="481"/>
      <c r="D66" s="481">
        <v>510</v>
      </c>
      <c r="E66" s="481">
        <v>510</v>
      </c>
      <c r="F66" s="481">
        <v>510</v>
      </c>
      <c r="G66" s="481">
        <v>510</v>
      </c>
      <c r="H66" s="481">
        <v>510</v>
      </c>
      <c r="I66" s="481">
        <v>510</v>
      </c>
      <c r="J66" s="481">
        <v>510</v>
      </c>
      <c r="K66" s="481">
        <v>510</v>
      </c>
      <c r="L66" s="481">
        <v>510</v>
      </c>
      <c r="M66" s="481">
        <v>510</v>
      </c>
      <c r="N66" s="481">
        <v>510</v>
      </c>
      <c r="O66" s="482">
        <f t="shared" si="21"/>
        <v>5610</v>
      </c>
    </row>
    <row r="67" spans="1:22" x14ac:dyDescent="0.4">
      <c r="B67" s="128" t="s">
        <v>157</v>
      </c>
      <c r="C67" s="488"/>
      <c r="D67" s="481"/>
      <c r="E67" s="481">
        <v>510</v>
      </c>
      <c r="F67" s="481">
        <v>510</v>
      </c>
      <c r="G67" s="481">
        <v>510</v>
      </c>
      <c r="H67" s="481">
        <v>510</v>
      </c>
      <c r="I67" s="481">
        <v>510</v>
      </c>
      <c r="J67" s="481">
        <v>510</v>
      </c>
      <c r="K67" s="481">
        <v>510</v>
      </c>
      <c r="L67" s="481">
        <v>510</v>
      </c>
      <c r="M67" s="481">
        <v>510</v>
      </c>
      <c r="N67" s="481">
        <v>510</v>
      </c>
      <c r="O67" s="482">
        <f t="shared" si="21"/>
        <v>5100</v>
      </c>
    </row>
    <row r="68" spans="1:22" x14ac:dyDescent="0.4">
      <c r="B68" s="128" t="s">
        <v>158</v>
      </c>
      <c r="C68" s="481"/>
      <c r="D68" s="481"/>
      <c r="E68" s="481"/>
      <c r="F68" s="481">
        <v>4755</v>
      </c>
      <c r="G68" s="481">
        <v>4755</v>
      </c>
      <c r="H68" s="481">
        <v>4755</v>
      </c>
      <c r="I68" s="481">
        <v>4755</v>
      </c>
      <c r="J68" s="481">
        <v>4755</v>
      </c>
      <c r="K68" s="481">
        <v>4755</v>
      </c>
      <c r="L68" s="481">
        <v>4755</v>
      </c>
      <c r="M68" s="481">
        <v>4755</v>
      </c>
      <c r="N68" s="481">
        <v>4755</v>
      </c>
      <c r="O68" s="482">
        <f t="shared" si="21"/>
        <v>42795</v>
      </c>
    </row>
    <row r="69" spans="1:22" x14ac:dyDescent="0.4">
      <c r="B69" s="148" t="s">
        <v>159</v>
      </c>
      <c r="C69" s="488"/>
      <c r="D69" s="488"/>
      <c r="E69" s="481"/>
      <c r="F69" s="481"/>
      <c r="G69" s="478">
        <v>-1300</v>
      </c>
      <c r="H69" s="478">
        <v>-1300</v>
      </c>
      <c r="I69" s="478">
        <v>-1300</v>
      </c>
      <c r="J69" s="478">
        <v>-1300</v>
      </c>
      <c r="K69" s="478">
        <v>-1300</v>
      </c>
      <c r="L69" s="478">
        <v>-1300</v>
      </c>
      <c r="M69" s="478">
        <v>-1300</v>
      </c>
      <c r="N69" s="478">
        <v>-1300</v>
      </c>
      <c r="O69" s="479">
        <f t="shared" si="21"/>
        <v>-10400</v>
      </c>
    </row>
    <row r="70" spans="1:22" x14ac:dyDescent="0.4">
      <c r="B70" s="148" t="s">
        <v>160</v>
      </c>
      <c r="C70" s="488"/>
      <c r="D70" s="488"/>
      <c r="E70" s="478"/>
      <c r="F70" s="478"/>
      <c r="G70" s="478">
        <v>-1142</v>
      </c>
      <c r="H70" s="478">
        <v>-1142</v>
      </c>
      <c r="I70" s="478">
        <v>-1142</v>
      </c>
      <c r="J70" s="478">
        <v>-1142</v>
      </c>
      <c r="K70" s="478">
        <v>-1142</v>
      </c>
      <c r="L70" s="478">
        <v>-1142</v>
      </c>
      <c r="M70" s="478">
        <v>-1142</v>
      </c>
      <c r="N70" s="478">
        <v>-1142</v>
      </c>
      <c r="O70" s="479">
        <f t="shared" si="21"/>
        <v>-9136</v>
      </c>
      <c r="Q70" s="72"/>
      <c r="R70" s="72"/>
      <c r="S70" s="72"/>
      <c r="T70" s="72"/>
      <c r="U70" s="72"/>
      <c r="V70" s="72"/>
    </row>
    <row r="71" spans="1:22" s="72" customFormat="1" x14ac:dyDescent="0.4">
      <c r="A71" s="129"/>
      <c r="B71" s="10" t="s">
        <v>161</v>
      </c>
      <c r="C71" s="484"/>
      <c r="D71" s="485"/>
      <c r="E71" s="488"/>
      <c r="F71" s="488">
        <v>1350</v>
      </c>
      <c r="G71" s="488">
        <v>1350</v>
      </c>
      <c r="H71" s="488">
        <v>1350</v>
      </c>
      <c r="I71" s="488">
        <v>1350</v>
      </c>
      <c r="J71" s="488">
        <v>1350</v>
      </c>
      <c r="K71" s="488">
        <v>1350</v>
      </c>
      <c r="L71" s="488">
        <v>1350</v>
      </c>
      <c r="M71" s="488">
        <v>1350</v>
      </c>
      <c r="N71" s="488">
        <v>1350</v>
      </c>
      <c r="O71" s="482">
        <f t="shared" si="21"/>
        <v>12150</v>
      </c>
    </row>
    <row r="72" spans="1:22" s="72" customFormat="1" x14ac:dyDescent="0.4">
      <c r="B72" s="148" t="s">
        <v>162</v>
      </c>
      <c r="C72" s="480"/>
      <c r="D72" s="481"/>
      <c r="E72" s="478">
        <v>-110</v>
      </c>
      <c r="F72" s="478">
        <v>-110</v>
      </c>
      <c r="G72" s="478">
        <v>-110</v>
      </c>
      <c r="H72" s="478">
        <v>-110</v>
      </c>
      <c r="I72" s="478">
        <v>-110</v>
      </c>
      <c r="J72" s="478">
        <v>-110</v>
      </c>
      <c r="K72" s="478">
        <v>-110</v>
      </c>
      <c r="L72" s="478">
        <v>-110</v>
      </c>
      <c r="M72" s="478">
        <v>-110</v>
      </c>
      <c r="N72" s="478">
        <v>-110</v>
      </c>
      <c r="O72" s="479">
        <f t="shared" si="21"/>
        <v>-1100</v>
      </c>
      <c r="P72"/>
    </row>
    <row r="73" spans="1:22" x14ac:dyDescent="0.4">
      <c r="B73" s="128" t="s">
        <v>163</v>
      </c>
      <c r="C73" s="488"/>
      <c r="D73" s="488"/>
      <c r="E73" s="478"/>
      <c r="F73" s="481"/>
      <c r="G73" s="481">
        <v>510</v>
      </c>
      <c r="H73" s="481">
        <v>510</v>
      </c>
      <c r="I73" s="481">
        <v>510</v>
      </c>
      <c r="J73" s="481">
        <v>510</v>
      </c>
      <c r="K73" s="481">
        <v>510</v>
      </c>
      <c r="L73" s="481">
        <v>510</v>
      </c>
      <c r="M73" s="481">
        <v>510</v>
      </c>
      <c r="N73" s="481">
        <v>510</v>
      </c>
      <c r="O73" s="482">
        <f t="shared" si="21"/>
        <v>4080</v>
      </c>
      <c r="Q73" s="72"/>
      <c r="R73" s="72"/>
      <c r="S73" s="72"/>
      <c r="T73" s="72"/>
      <c r="U73" s="72"/>
      <c r="V73" s="72"/>
    </row>
    <row r="74" spans="1:22" s="72" customFormat="1" x14ac:dyDescent="0.4">
      <c r="A74" s="129"/>
      <c r="B74" s="128" t="s">
        <v>164</v>
      </c>
      <c r="C74" s="480"/>
      <c r="D74" s="481"/>
      <c r="E74" s="481"/>
      <c r="F74" s="481"/>
      <c r="G74" s="481">
        <v>1350</v>
      </c>
      <c r="H74" s="481">
        <v>1350</v>
      </c>
      <c r="I74" s="481">
        <v>1350</v>
      </c>
      <c r="J74" s="481">
        <v>1350</v>
      </c>
      <c r="K74" s="481">
        <v>1350</v>
      </c>
      <c r="L74" s="481">
        <v>1350</v>
      </c>
      <c r="M74" s="481">
        <v>1350</v>
      </c>
      <c r="N74" s="481">
        <v>1350</v>
      </c>
      <c r="O74" s="482">
        <f t="shared" si="21"/>
        <v>10800</v>
      </c>
    </row>
    <row r="75" spans="1:22" s="72" customFormat="1" x14ac:dyDescent="0.4">
      <c r="A75" s="129"/>
      <c r="B75" s="148" t="s">
        <v>165</v>
      </c>
      <c r="C75" s="480"/>
      <c r="D75" s="481"/>
      <c r="E75" s="481"/>
      <c r="F75" s="481"/>
      <c r="G75" s="481"/>
      <c r="H75" s="478">
        <v>-2000</v>
      </c>
      <c r="I75" s="478">
        <v>-2000</v>
      </c>
      <c r="J75" s="478">
        <v>-2000</v>
      </c>
      <c r="K75" s="478">
        <v>-2000</v>
      </c>
      <c r="L75" s="478">
        <v>-2000</v>
      </c>
      <c r="M75" s="478">
        <v>-2000</v>
      </c>
      <c r="N75" s="478">
        <v>-2000</v>
      </c>
      <c r="O75" s="482">
        <f t="shared" si="21"/>
        <v>-14000</v>
      </c>
      <c r="Q75"/>
      <c r="R75"/>
      <c r="S75"/>
      <c r="T75"/>
      <c r="U75"/>
      <c r="V75"/>
    </row>
    <row r="76" spans="1:22" s="72" customFormat="1" x14ac:dyDescent="0.4">
      <c r="A76" s="129"/>
      <c r="B76" s="128" t="s">
        <v>166</v>
      </c>
      <c r="C76" s="480"/>
      <c r="D76" s="481"/>
      <c r="E76" s="481"/>
      <c r="F76" s="481"/>
      <c r="G76" s="481"/>
      <c r="H76" s="481"/>
      <c r="I76" s="481">
        <v>1045</v>
      </c>
      <c r="J76" s="481">
        <v>1045</v>
      </c>
      <c r="K76" s="481">
        <v>1045</v>
      </c>
      <c r="L76" s="481">
        <v>1045</v>
      </c>
      <c r="M76" s="481">
        <v>1045</v>
      </c>
      <c r="N76" s="481">
        <v>1045</v>
      </c>
      <c r="O76" s="482">
        <f t="shared" si="21"/>
        <v>6270</v>
      </c>
    </row>
    <row r="77" spans="1:22" s="72" customFormat="1" x14ac:dyDescent="0.4">
      <c r="B77" s="128" t="s">
        <v>167</v>
      </c>
      <c r="C77" s="481"/>
      <c r="D77" s="481"/>
      <c r="E77" s="481"/>
      <c r="F77" s="481"/>
      <c r="G77" s="481"/>
      <c r="H77" s="481">
        <v>510</v>
      </c>
      <c r="I77" s="481">
        <v>510</v>
      </c>
      <c r="J77" s="481">
        <v>510</v>
      </c>
      <c r="K77" s="481">
        <v>510</v>
      </c>
      <c r="L77" s="481">
        <v>510</v>
      </c>
      <c r="M77" s="481">
        <v>510</v>
      </c>
      <c r="N77" s="481">
        <v>510</v>
      </c>
      <c r="O77" s="482">
        <f>SUM(G77:N77)</f>
        <v>3570</v>
      </c>
      <c r="P77" s="71"/>
    </row>
    <row r="78" spans="1:22" s="72" customFormat="1" x14ac:dyDescent="0.4">
      <c r="A78" s="129"/>
      <c r="B78" s="128" t="s">
        <v>168</v>
      </c>
      <c r="C78" s="480"/>
      <c r="D78" s="481"/>
      <c r="E78" s="481"/>
      <c r="F78" s="481"/>
      <c r="G78" s="481"/>
      <c r="H78" s="481"/>
      <c r="I78" s="481"/>
      <c r="J78" s="481">
        <v>1245</v>
      </c>
      <c r="K78" s="481">
        <v>1245</v>
      </c>
      <c r="L78" s="481">
        <v>1245</v>
      </c>
      <c r="M78" s="481">
        <v>1245</v>
      </c>
      <c r="N78" s="481">
        <v>1245</v>
      </c>
      <c r="O78" s="482">
        <f>SUM(C78:N78)</f>
        <v>6225</v>
      </c>
    </row>
    <row r="79" spans="1:22" s="72" customFormat="1" x14ac:dyDescent="0.4">
      <c r="A79" s="129"/>
      <c r="B79" s="128" t="s">
        <v>169</v>
      </c>
      <c r="C79" s="480"/>
      <c r="D79" s="481"/>
      <c r="E79" s="481"/>
      <c r="F79" s="481"/>
      <c r="G79" s="481"/>
      <c r="H79" s="481"/>
      <c r="I79" s="481"/>
      <c r="J79" s="481"/>
      <c r="K79" s="481">
        <v>605</v>
      </c>
      <c r="L79" s="481">
        <v>605</v>
      </c>
      <c r="M79" s="481">
        <v>605</v>
      </c>
      <c r="N79" s="481">
        <v>605</v>
      </c>
      <c r="O79" s="482">
        <f>SUM(C79:N79)</f>
        <v>2420</v>
      </c>
    </row>
    <row r="80" spans="1:22" s="72" customFormat="1" x14ac:dyDescent="0.4">
      <c r="A80" s="129"/>
      <c r="B80" s="128" t="s">
        <v>170</v>
      </c>
      <c r="C80" s="480"/>
      <c r="D80" s="481"/>
      <c r="E80" s="481"/>
      <c r="F80" s="481"/>
      <c r="G80" s="481"/>
      <c r="H80" s="481"/>
      <c r="I80" s="481"/>
      <c r="J80" s="481"/>
      <c r="K80" s="481"/>
      <c r="L80" s="481">
        <v>595</v>
      </c>
      <c r="M80" s="481">
        <v>595</v>
      </c>
      <c r="N80" s="481">
        <v>595</v>
      </c>
      <c r="O80" s="482">
        <f>SUM(C80:N80)</f>
        <v>1785</v>
      </c>
    </row>
    <row r="81" spans="1:22" s="72" customFormat="1" x14ac:dyDescent="0.4">
      <c r="B81" s="128" t="s">
        <v>171</v>
      </c>
      <c r="C81" s="481"/>
      <c r="D81" s="481"/>
      <c r="E81" s="481">
        <v>600</v>
      </c>
      <c r="F81" s="481">
        <v>600</v>
      </c>
      <c r="G81" s="481">
        <v>600</v>
      </c>
      <c r="H81" s="481">
        <v>600</v>
      </c>
      <c r="I81" s="481">
        <v>600</v>
      </c>
      <c r="J81" s="481">
        <v>600</v>
      </c>
      <c r="K81" s="481">
        <v>600</v>
      </c>
      <c r="L81" s="481">
        <v>600</v>
      </c>
      <c r="M81" s="481">
        <v>600</v>
      </c>
      <c r="N81" s="481">
        <v>600</v>
      </c>
      <c r="O81" s="482">
        <f>SUM(G81:N81)</f>
        <v>4800</v>
      </c>
      <c r="P81" s="71"/>
    </row>
    <row r="82" spans="1:22" s="72" customFormat="1" x14ac:dyDescent="0.4">
      <c r="B82" s="128" t="s">
        <v>172</v>
      </c>
      <c r="C82" s="481"/>
      <c r="D82" s="481"/>
      <c r="E82" s="481"/>
      <c r="F82" s="481"/>
      <c r="G82" s="481"/>
      <c r="H82" s="481"/>
      <c r="I82" s="481"/>
      <c r="J82" s="481"/>
      <c r="K82" s="481"/>
      <c r="L82" s="481">
        <v>510</v>
      </c>
      <c r="M82" s="481">
        <v>510</v>
      </c>
      <c r="N82" s="481">
        <v>510</v>
      </c>
      <c r="O82" s="482">
        <f>SUM(G82:N82)</f>
        <v>1530</v>
      </c>
      <c r="P82" s="71"/>
    </row>
    <row r="83" spans="1:22" s="72" customFormat="1" x14ac:dyDescent="0.4">
      <c r="B83" s="128"/>
      <c r="C83" s="481"/>
      <c r="D83" s="481"/>
      <c r="E83" s="481"/>
      <c r="F83" s="481"/>
      <c r="G83" s="481"/>
      <c r="H83" s="481"/>
      <c r="I83" s="481"/>
      <c r="J83" s="481"/>
      <c r="K83" s="481"/>
      <c r="L83" s="481"/>
      <c r="M83" s="481"/>
      <c r="N83" s="481"/>
      <c r="O83" s="482">
        <f>SUM(G83:N83)</f>
        <v>0</v>
      </c>
      <c r="P83" s="71"/>
    </row>
    <row r="84" spans="1:22" s="72" customFormat="1" x14ac:dyDescent="0.4">
      <c r="B84" s="128"/>
      <c r="C84" s="481"/>
      <c r="D84" s="481"/>
      <c r="E84" s="481"/>
      <c r="F84" s="481"/>
      <c r="G84" s="481"/>
      <c r="H84" s="481"/>
      <c r="I84" s="481"/>
      <c r="J84" s="481"/>
      <c r="K84" s="481"/>
      <c r="L84" s="481"/>
      <c r="M84" s="481"/>
      <c r="N84" s="481"/>
      <c r="O84" s="482">
        <f>SUM(G84:N84)</f>
        <v>0</v>
      </c>
    </row>
    <row r="85" spans="1:22" s="72" customFormat="1" x14ac:dyDescent="0.4">
      <c r="B85" s="128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1"/>
      <c r="N85" s="481"/>
      <c r="O85" s="482">
        <f>SUM(G85:N85)</f>
        <v>0</v>
      </c>
      <c r="P85" s="71"/>
    </row>
    <row r="86" spans="1:22" s="72" customFormat="1" x14ac:dyDescent="0.4">
      <c r="B86" s="128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2">
        <f>SUM(H86:N86)</f>
        <v>0</v>
      </c>
    </row>
    <row r="87" spans="1:22" x14ac:dyDescent="0.4">
      <c r="B87" s="148"/>
      <c r="C87" s="478"/>
      <c r="D87" s="478"/>
      <c r="E87" s="478"/>
      <c r="F87" s="478"/>
      <c r="G87" s="488"/>
      <c r="H87" s="488"/>
      <c r="I87" s="488"/>
      <c r="J87" s="488"/>
      <c r="K87" s="478"/>
      <c r="L87" s="478"/>
      <c r="M87" s="478"/>
      <c r="N87" s="478"/>
      <c r="O87" s="482">
        <f>SUM(G87:N87)</f>
        <v>0</v>
      </c>
      <c r="P87"/>
      <c r="Q87" s="72"/>
      <c r="R87" s="72"/>
      <c r="S87" s="72"/>
      <c r="T87" s="72"/>
      <c r="U87" s="72"/>
      <c r="V87" s="72"/>
    </row>
    <row r="88" spans="1:22" s="72" customFormat="1" x14ac:dyDescent="0.4">
      <c r="A88" s="129"/>
      <c r="B88" s="128"/>
      <c r="C88" s="480"/>
      <c r="D88" s="481"/>
      <c r="E88" s="481"/>
      <c r="F88" s="478"/>
      <c r="G88" s="478"/>
      <c r="H88" s="478"/>
      <c r="I88" s="478"/>
      <c r="J88" s="478"/>
      <c r="K88" s="481"/>
      <c r="L88" s="481"/>
      <c r="M88" s="481"/>
      <c r="N88" s="481"/>
      <c r="O88" s="482">
        <f>SUM(H88:N88)</f>
        <v>0</v>
      </c>
      <c r="Q88"/>
      <c r="R88"/>
      <c r="S88"/>
      <c r="T88"/>
      <c r="U88"/>
      <c r="V88"/>
    </row>
    <row r="89" spans="1:22" x14ac:dyDescent="0.4">
      <c r="B89" s="128"/>
      <c r="C89" s="488"/>
      <c r="D89" s="488"/>
      <c r="E89" s="488"/>
      <c r="F89" s="488"/>
      <c r="G89" s="488"/>
      <c r="H89" s="488"/>
      <c r="I89" s="488"/>
      <c r="J89" s="488"/>
      <c r="K89" s="481"/>
      <c r="L89" s="488"/>
      <c r="M89" s="488"/>
      <c r="N89" s="488"/>
      <c r="O89" s="482">
        <f>SUM(H89:N89)</f>
        <v>0</v>
      </c>
    </row>
    <row r="90" spans="1:22" x14ac:dyDescent="0.4">
      <c r="B90" s="73"/>
      <c r="C90" s="487"/>
      <c r="D90" s="487"/>
      <c r="E90" s="487"/>
      <c r="F90" s="487"/>
      <c r="G90" s="487"/>
      <c r="H90" s="487"/>
      <c r="I90" s="488"/>
      <c r="J90" s="488"/>
      <c r="K90" s="488"/>
      <c r="L90" s="488"/>
      <c r="M90" s="488"/>
      <c r="N90" s="488"/>
      <c r="O90" s="482">
        <f>SUM(H90:N90)</f>
        <v>0</v>
      </c>
      <c r="P90"/>
    </row>
    <row r="91" spans="1:22" x14ac:dyDescent="0.4">
      <c r="B91" s="10"/>
      <c r="C91" s="483"/>
      <c r="D91" s="483"/>
      <c r="E91" s="483"/>
      <c r="F91" s="483"/>
      <c r="G91" s="483"/>
      <c r="H91" s="487"/>
      <c r="I91" s="487"/>
      <c r="J91" s="487"/>
      <c r="K91" s="486"/>
      <c r="L91" s="488"/>
      <c r="M91" s="488"/>
      <c r="N91" s="488"/>
      <c r="O91" s="482">
        <f>SUM(H91:N91)</f>
        <v>0</v>
      </c>
      <c r="P91"/>
    </row>
    <row r="92" spans="1:22" x14ac:dyDescent="0.4">
      <c r="B92" s="73"/>
      <c r="C92" s="487"/>
      <c r="D92" s="487"/>
      <c r="E92" s="487"/>
      <c r="F92" s="487"/>
      <c r="G92" s="487"/>
      <c r="H92" s="487"/>
      <c r="I92" s="478"/>
      <c r="J92" s="478"/>
      <c r="K92" s="481"/>
      <c r="L92" s="478"/>
      <c r="M92" s="478"/>
      <c r="N92" s="478"/>
      <c r="O92" s="482">
        <f>SUM(I92:N92)</f>
        <v>0</v>
      </c>
    </row>
    <row r="93" spans="1:22" x14ac:dyDescent="0.4">
      <c r="B93" s="73"/>
      <c r="C93" s="487"/>
      <c r="D93" s="487"/>
      <c r="E93" s="487"/>
      <c r="F93" s="487"/>
      <c r="G93" s="487"/>
      <c r="H93" s="487"/>
      <c r="I93" s="486"/>
      <c r="J93" s="486"/>
      <c r="K93" s="486"/>
      <c r="L93" s="486"/>
      <c r="M93" s="486"/>
      <c r="N93" s="478"/>
      <c r="O93" s="482">
        <f>SUM(H93:N93)</f>
        <v>0</v>
      </c>
    </row>
    <row r="94" spans="1:22" x14ac:dyDescent="0.4">
      <c r="B94" s="71"/>
      <c r="C94" s="487"/>
      <c r="D94" s="487"/>
      <c r="E94" s="487"/>
      <c r="F94" s="487"/>
      <c r="G94" s="487"/>
      <c r="H94" s="487"/>
      <c r="I94" s="486"/>
      <c r="J94" s="486"/>
      <c r="K94" s="486"/>
      <c r="L94" s="486"/>
      <c r="M94" s="486"/>
      <c r="N94" s="486"/>
      <c r="O94" s="482">
        <f>SUM(H94:N94)</f>
        <v>0</v>
      </c>
    </row>
    <row r="95" spans="1:22" x14ac:dyDescent="0.4">
      <c r="B95" s="71"/>
      <c r="C95" s="487"/>
      <c r="D95" s="487"/>
      <c r="E95" s="487"/>
      <c r="F95" s="487"/>
      <c r="G95" s="487"/>
      <c r="H95" s="487"/>
      <c r="I95" s="486"/>
      <c r="J95" s="486"/>
      <c r="K95" s="486"/>
      <c r="L95" s="486"/>
      <c r="M95" s="486"/>
      <c r="N95" s="486"/>
      <c r="O95" s="482">
        <f>SUM(H95:N95)</f>
        <v>0</v>
      </c>
      <c r="Q95" s="73"/>
      <c r="R95" s="73"/>
      <c r="S95" s="73"/>
      <c r="T95" s="73"/>
      <c r="U95" s="73"/>
      <c r="V95" s="73"/>
    </row>
    <row r="96" spans="1:22" s="73" customFormat="1" x14ac:dyDescent="0.4">
      <c r="C96" s="478"/>
      <c r="D96" s="478"/>
      <c r="E96" s="478"/>
      <c r="F96" s="478"/>
      <c r="G96" s="478"/>
      <c r="H96" s="478"/>
      <c r="I96" s="478"/>
      <c r="J96" s="478"/>
      <c r="K96" s="478"/>
      <c r="L96" s="478"/>
      <c r="M96" s="478"/>
      <c r="N96" s="478"/>
      <c r="O96" s="482">
        <f>SUM(H96:N96)</f>
        <v>0</v>
      </c>
    </row>
    <row r="97" spans="2:22" s="73" customFormat="1" x14ac:dyDescent="0.4">
      <c r="B97"/>
      <c r="C97" s="478"/>
      <c r="D97" s="478"/>
      <c r="E97" s="478"/>
      <c r="F97" s="478"/>
      <c r="G97" s="478"/>
      <c r="H97" s="478"/>
      <c r="I97" s="478"/>
      <c r="J97" s="478"/>
      <c r="K97" s="478"/>
      <c r="L97" s="478"/>
      <c r="M97" s="483"/>
      <c r="N97" s="483"/>
      <c r="O97" s="482">
        <f>SUM(M97:N97)</f>
        <v>0</v>
      </c>
    </row>
    <row r="98" spans="2:22" s="73" customFormat="1" x14ac:dyDescent="0.4">
      <c r="C98" s="478"/>
      <c r="D98" s="478"/>
      <c r="E98" s="478"/>
      <c r="F98" s="478"/>
      <c r="G98" s="478"/>
      <c r="H98" s="478"/>
      <c r="I98" s="478"/>
      <c r="J98" s="478"/>
      <c r="K98" s="478"/>
      <c r="L98" s="478"/>
      <c r="M98" s="478"/>
      <c r="N98" s="478"/>
      <c r="O98" s="482">
        <f>SUM(M98:N98)</f>
        <v>0</v>
      </c>
    </row>
    <row r="99" spans="2:22" s="73" customFormat="1" x14ac:dyDescent="0.4">
      <c r="C99" s="478"/>
      <c r="D99" s="478"/>
      <c r="E99" s="478"/>
      <c r="F99" s="478"/>
      <c r="G99" s="478"/>
      <c r="H99" s="478"/>
      <c r="I99" s="478"/>
      <c r="J99" s="478"/>
      <c r="K99" s="478"/>
      <c r="L99" s="478"/>
      <c r="M99" s="478"/>
      <c r="N99" s="478"/>
      <c r="O99" s="482">
        <f>SUM(M99:N99)</f>
        <v>0</v>
      </c>
    </row>
    <row r="100" spans="2:22" s="73" customFormat="1" x14ac:dyDescent="0.4">
      <c r="B100" s="71"/>
      <c r="C100" s="478"/>
      <c r="D100" s="478"/>
      <c r="E100" s="478"/>
      <c r="F100" s="478"/>
      <c r="G100" s="478"/>
      <c r="H100" s="478"/>
      <c r="I100" s="478"/>
      <c r="J100" s="478"/>
      <c r="K100" s="478"/>
      <c r="L100" s="478"/>
      <c r="M100" s="483"/>
      <c r="N100" s="487"/>
      <c r="O100" s="482">
        <f>N100</f>
        <v>0</v>
      </c>
      <c r="P100" s="72"/>
      <c r="Q100"/>
      <c r="R100"/>
      <c r="S100"/>
      <c r="T100"/>
      <c r="U100"/>
      <c r="V100"/>
    </row>
    <row r="101" spans="2:22" x14ac:dyDescent="0.4">
      <c r="B101" s="10"/>
      <c r="C101" s="478"/>
      <c r="D101" s="478"/>
      <c r="E101" s="478"/>
      <c r="F101" s="478"/>
      <c r="G101" s="488"/>
      <c r="H101" s="488"/>
      <c r="I101" s="488"/>
      <c r="J101" s="488"/>
      <c r="K101" s="481"/>
      <c r="L101" s="488"/>
      <c r="M101" s="488"/>
      <c r="N101" s="488"/>
      <c r="O101" s="482"/>
    </row>
    <row r="102" spans="2:22" x14ac:dyDescent="0.4">
      <c r="B102" s="99" t="s">
        <v>107</v>
      </c>
      <c r="C102" s="489">
        <f t="shared" ref="C102:O102" si="22">SUM(C59:C101)</f>
        <v>164853</v>
      </c>
      <c r="D102" s="489">
        <f t="shared" si="22"/>
        <v>166003</v>
      </c>
      <c r="E102" s="489">
        <f t="shared" si="22"/>
        <v>137878</v>
      </c>
      <c r="F102" s="489">
        <f t="shared" si="22"/>
        <v>143983</v>
      </c>
      <c r="G102" s="489">
        <f t="shared" si="22"/>
        <v>143401</v>
      </c>
      <c r="H102" s="489">
        <f t="shared" si="22"/>
        <v>141911</v>
      </c>
      <c r="I102" s="489">
        <f t="shared" si="22"/>
        <v>142956</v>
      </c>
      <c r="J102" s="489">
        <f t="shared" si="22"/>
        <v>144201</v>
      </c>
      <c r="K102" s="482">
        <f t="shared" si="22"/>
        <v>144806</v>
      </c>
      <c r="L102" s="489">
        <f t="shared" si="22"/>
        <v>145911</v>
      </c>
      <c r="M102" s="489">
        <f t="shared" si="22"/>
        <v>145911</v>
      </c>
      <c r="N102" s="489">
        <f t="shared" si="22"/>
        <v>145911</v>
      </c>
      <c r="O102" s="482">
        <f t="shared" si="22"/>
        <v>1766525</v>
      </c>
      <c r="P102"/>
    </row>
    <row r="103" spans="2:22" x14ac:dyDescent="0.4">
      <c r="B103" s="99" t="s">
        <v>108</v>
      </c>
      <c r="C103" s="489">
        <f>C102-C59</f>
        <v>-12500</v>
      </c>
      <c r="D103" s="482">
        <f t="shared" ref="D103:N103" si="23">D102-C102</f>
        <v>1150</v>
      </c>
      <c r="E103" s="482">
        <f t="shared" si="23"/>
        <v>-28125</v>
      </c>
      <c r="F103" s="482">
        <f t="shared" si="23"/>
        <v>6105</v>
      </c>
      <c r="G103" s="489">
        <f t="shared" si="23"/>
        <v>-582</v>
      </c>
      <c r="H103" s="489">
        <f t="shared" si="23"/>
        <v>-1490</v>
      </c>
      <c r="I103" s="489">
        <f t="shared" si="23"/>
        <v>1045</v>
      </c>
      <c r="J103" s="489">
        <f t="shared" si="23"/>
        <v>1245</v>
      </c>
      <c r="K103" s="482">
        <f t="shared" si="23"/>
        <v>605</v>
      </c>
      <c r="L103" s="482">
        <f t="shared" si="23"/>
        <v>1105</v>
      </c>
      <c r="M103" s="482">
        <f t="shared" si="23"/>
        <v>0</v>
      </c>
      <c r="N103" s="489">
        <f t="shared" si="23"/>
        <v>0</v>
      </c>
      <c r="O103" s="490">
        <f>SUM(C103:N103)</f>
        <v>-31442</v>
      </c>
      <c r="P103"/>
    </row>
    <row r="104" spans="2:22" x14ac:dyDescent="0.4">
      <c r="B104" s="99"/>
      <c r="C104" s="100"/>
      <c r="D104" s="100"/>
      <c r="E104" s="100"/>
      <c r="F104" s="100"/>
      <c r="G104" s="100"/>
      <c r="H104" s="100"/>
      <c r="I104" s="100"/>
      <c r="J104" s="100"/>
      <c r="K104" s="126"/>
      <c r="L104" s="100"/>
      <c r="M104" s="100"/>
      <c r="N104" s="100"/>
      <c r="O104" s="100"/>
      <c r="P104"/>
      <c r="Q104" s="3"/>
      <c r="R104" s="3"/>
      <c r="S104" s="3"/>
      <c r="T104" s="3"/>
      <c r="U104" s="3"/>
      <c r="V104" s="3"/>
    </row>
    <row r="105" spans="2:22" s="3" customFormat="1" x14ac:dyDescent="0.4">
      <c r="B105" s="120"/>
      <c r="C105" s="215"/>
      <c r="D105" s="90"/>
      <c r="E105" s="90"/>
      <c r="F105" s="90"/>
      <c r="G105" s="90"/>
      <c r="H105" s="90"/>
      <c r="I105" s="90"/>
      <c r="J105" s="90"/>
      <c r="K105" s="127"/>
      <c r="L105" s="90"/>
      <c r="M105" s="90"/>
      <c r="N105" s="90"/>
      <c r="O105" s="90"/>
      <c r="P105"/>
      <c r="Q105"/>
      <c r="R105"/>
      <c r="S105"/>
      <c r="T105"/>
      <c r="U105"/>
      <c r="V105"/>
    </row>
    <row r="106" spans="2:22" x14ac:dyDescent="0.4">
      <c r="B106" s="99" t="s">
        <v>109</v>
      </c>
      <c r="C106" s="100">
        <f t="shared" ref="C106:O106" si="24">C102-C59</f>
        <v>-12500</v>
      </c>
      <c r="D106" s="100">
        <f t="shared" si="24"/>
        <v>-11350</v>
      </c>
      <c r="E106" s="100">
        <f t="shared" si="24"/>
        <v>-39475</v>
      </c>
      <c r="F106" s="100">
        <f t="shared" si="24"/>
        <v>-33370</v>
      </c>
      <c r="G106" s="100">
        <f t="shared" si="24"/>
        <v>-33952</v>
      </c>
      <c r="H106" s="100">
        <f t="shared" si="24"/>
        <v>-35442</v>
      </c>
      <c r="I106" s="100">
        <f t="shared" si="24"/>
        <v>-34397</v>
      </c>
      <c r="J106" s="100">
        <f t="shared" si="24"/>
        <v>-33152</v>
      </c>
      <c r="K106" s="126">
        <f t="shared" si="24"/>
        <v>-32547</v>
      </c>
      <c r="L106" s="100">
        <f t="shared" si="24"/>
        <v>-31442</v>
      </c>
      <c r="M106" s="100">
        <f t="shared" si="24"/>
        <v>-31442</v>
      </c>
      <c r="N106" s="100">
        <f t="shared" si="24"/>
        <v>-31442</v>
      </c>
      <c r="O106" s="100">
        <f t="shared" si="24"/>
        <v>-361711</v>
      </c>
    </row>
    <row r="107" spans="2:22" x14ac:dyDescent="0.4">
      <c r="G107" s="3"/>
      <c r="P107"/>
    </row>
    <row r="108" spans="2:22" x14ac:dyDescent="0.4">
      <c r="B108" s="216" t="s">
        <v>110</v>
      </c>
      <c r="C108" s="309"/>
      <c r="D108" s="309"/>
      <c r="E108" s="309"/>
      <c r="F108" s="181">
        <v>145413</v>
      </c>
      <c r="G108" s="309">
        <v>146766</v>
      </c>
      <c r="H108" s="309"/>
      <c r="I108" s="309"/>
      <c r="J108" s="309"/>
      <c r="K108" s="303"/>
      <c r="L108" s="309"/>
      <c r="M108" s="309"/>
      <c r="N108" s="181"/>
      <c r="O108" s="181"/>
      <c r="P108"/>
    </row>
    <row r="109" spans="2:22" x14ac:dyDescent="0.4">
      <c r="B109" s="83" t="s">
        <v>111</v>
      </c>
      <c r="C109" s="132"/>
      <c r="D109" s="132"/>
      <c r="G109" s="466">
        <f>G108-C59</f>
        <v>-30587</v>
      </c>
      <c r="H109" s="132"/>
      <c r="I109" s="149"/>
      <c r="M109" s="412"/>
      <c r="P109"/>
    </row>
    <row r="110" spans="2:22" x14ac:dyDescent="0.4">
      <c r="B110" s="189"/>
      <c r="C110" s="132"/>
      <c r="D110" s="132"/>
      <c r="E110" s="132"/>
      <c r="F110" s="132"/>
      <c r="G110" s="132"/>
      <c r="H110" s="132"/>
      <c r="K110" s="132"/>
      <c r="L110" s="132"/>
      <c r="M110" s="132"/>
      <c r="N110" s="132"/>
      <c r="P110"/>
    </row>
    <row r="111" spans="2:22" x14ac:dyDescent="0.4">
      <c r="B111" s="83"/>
      <c r="C111" s="90"/>
      <c r="D111" s="90"/>
      <c r="E111" s="90"/>
      <c r="F111" s="90"/>
      <c r="G111" s="90"/>
      <c r="H111" s="90"/>
      <c r="I111" s="90"/>
      <c r="J111" s="90"/>
      <c r="K111" s="127"/>
      <c r="L111" s="90"/>
      <c r="M111" s="90"/>
      <c r="N111" s="90"/>
      <c r="P111"/>
    </row>
    <row r="112" spans="2:22" x14ac:dyDescent="0.4">
      <c r="B112" s="83"/>
      <c r="C112" s="90"/>
      <c r="D112" s="90"/>
      <c r="E112" s="90"/>
      <c r="F112" s="90"/>
      <c r="G112" s="90"/>
      <c r="H112" s="90"/>
      <c r="I112" s="90"/>
      <c r="J112" s="90"/>
      <c r="K112" s="127"/>
      <c r="L112" s="90"/>
      <c r="M112" s="90"/>
      <c r="N112" s="90"/>
      <c r="P112"/>
    </row>
    <row r="113" spans="4:16" x14ac:dyDescent="0.4">
      <c r="G113" s="3"/>
      <c r="L113" s="90"/>
      <c r="P113"/>
    </row>
    <row r="114" spans="4:16" x14ac:dyDescent="0.4">
      <c r="G114" s="3"/>
      <c r="H114" s="150"/>
      <c r="I114" s="159"/>
      <c r="J114" s="159"/>
      <c r="K114" s="290"/>
      <c r="L114" s="90"/>
      <c r="P114"/>
    </row>
    <row r="115" spans="4:16" x14ac:dyDescent="0.4">
      <c r="G115" s="124"/>
      <c r="P115"/>
    </row>
    <row r="118" spans="4:16" x14ac:dyDescent="0.4">
      <c r="G118" s="151"/>
    </row>
    <row r="119" spans="4:16" x14ac:dyDescent="0.4">
      <c r="D119" s="90"/>
      <c r="E119" s="132"/>
      <c r="F119" s="90"/>
      <c r="G119" s="90"/>
    </row>
    <row r="121" spans="4:16" x14ac:dyDescent="0.4">
      <c r="D121" s="205"/>
      <c r="F121" s="150"/>
    </row>
    <row r="122" spans="4:16" x14ac:dyDescent="0.4">
      <c r="H122" s="161">
        <v>1</v>
      </c>
      <c r="I122" s="161">
        <v>2</v>
      </c>
      <c r="J122" s="161">
        <v>3</v>
      </c>
      <c r="K122" s="291">
        <v>4</v>
      </c>
      <c r="L122" s="161">
        <v>5</v>
      </c>
      <c r="M122" s="161">
        <v>6</v>
      </c>
      <c r="N122" s="161">
        <v>7</v>
      </c>
      <c r="O122" s="161">
        <v>8</v>
      </c>
      <c r="P122" s="161">
        <v>10</v>
      </c>
    </row>
    <row r="123" spans="4:16" x14ac:dyDescent="0.4">
      <c r="F123" s="151"/>
      <c r="G123" s="130">
        <v>2022</v>
      </c>
      <c r="H123" s="130">
        <v>2023</v>
      </c>
      <c r="I123" s="130">
        <v>2024</v>
      </c>
      <c r="J123" s="130">
        <v>2025</v>
      </c>
      <c r="K123" s="292">
        <v>2026</v>
      </c>
      <c r="L123" s="130">
        <v>2027</v>
      </c>
      <c r="M123" s="130">
        <v>2028</v>
      </c>
      <c r="N123" s="130">
        <v>2029</v>
      </c>
      <c r="O123" s="130">
        <v>2030</v>
      </c>
      <c r="P123" s="130">
        <v>2032</v>
      </c>
    </row>
    <row r="125" spans="4:16" x14ac:dyDescent="0.4">
      <c r="F125" t="s">
        <v>114</v>
      </c>
      <c r="G125" s="90"/>
      <c r="H125" s="90">
        <v>185000</v>
      </c>
      <c r="I125" s="90">
        <f t="shared" ref="I125:O125" si="25">H125+50000</f>
        <v>235000</v>
      </c>
      <c r="J125" s="90">
        <f t="shared" si="25"/>
        <v>285000</v>
      </c>
      <c r="K125" s="127">
        <f t="shared" si="25"/>
        <v>335000</v>
      </c>
      <c r="L125" s="90">
        <f t="shared" si="25"/>
        <v>385000</v>
      </c>
      <c r="M125" s="90">
        <f t="shared" si="25"/>
        <v>435000</v>
      </c>
      <c r="N125" s="90">
        <f t="shared" si="25"/>
        <v>485000</v>
      </c>
      <c r="O125" s="90">
        <f t="shared" si="25"/>
        <v>535000</v>
      </c>
      <c r="P125" s="90" t="e">
        <f>#REF!+50000</f>
        <v>#REF!</v>
      </c>
    </row>
    <row r="127" spans="4:16" x14ac:dyDescent="0.4">
      <c r="F127" s="83" t="s">
        <v>115</v>
      </c>
      <c r="G127" s="160">
        <f>G125*1.5</f>
        <v>0</v>
      </c>
      <c r="H127" s="160">
        <v>130000</v>
      </c>
      <c r="I127" s="160">
        <v>400000</v>
      </c>
      <c r="J127" s="160">
        <f t="shared" ref="J127:P127" si="26">J125*1.5</f>
        <v>427500</v>
      </c>
      <c r="K127" s="293">
        <f t="shared" si="26"/>
        <v>502500</v>
      </c>
      <c r="L127" s="160">
        <f t="shared" si="26"/>
        <v>577500</v>
      </c>
      <c r="M127" s="160">
        <f t="shared" si="26"/>
        <v>652500</v>
      </c>
      <c r="N127" s="160">
        <f t="shared" si="26"/>
        <v>727500</v>
      </c>
      <c r="O127" s="160">
        <f t="shared" si="26"/>
        <v>802500</v>
      </c>
      <c r="P127" s="160" t="e">
        <f t="shared" si="26"/>
        <v>#REF!</v>
      </c>
    </row>
    <row r="129" spans="6:16" x14ac:dyDescent="0.4">
      <c r="F129" t="s">
        <v>116</v>
      </c>
      <c r="H129" s="90">
        <v>100000</v>
      </c>
      <c r="I129" s="90"/>
      <c r="J129" s="90"/>
      <c r="K129" s="127"/>
      <c r="L129" s="90"/>
      <c r="M129" s="90"/>
      <c r="N129" s="90"/>
      <c r="O129" s="90"/>
      <c r="P129" s="103"/>
    </row>
    <row r="131" spans="6:16" x14ac:dyDescent="0.4">
      <c r="F131" s="162" t="s">
        <v>117</v>
      </c>
      <c r="G131" s="163">
        <f t="shared" ref="G131:P131" si="27">SUM(G125:G130)</f>
        <v>0</v>
      </c>
      <c r="H131" s="163">
        <f t="shared" si="27"/>
        <v>415000</v>
      </c>
      <c r="I131" s="163">
        <f t="shared" si="27"/>
        <v>635000</v>
      </c>
      <c r="J131" s="163">
        <f t="shared" si="27"/>
        <v>712500</v>
      </c>
      <c r="K131" s="294">
        <f t="shared" si="27"/>
        <v>837500</v>
      </c>
      <c r="L131" s="163">
        <f t="shared" si="27"/>
        <v>962500</v>
      </c>
      <c r="M131" s="163">
        <f t="shared" si="27"/>
        <v>1087500</v>
      </c>
      <c r="N131" s="163">
        <f t="shared" si="27"/>
        <v>1212500</v>
      </c>
      <c r="O131" s="163">
        <f t="shared" si="27"/>
        <v>1337500</v>
      </c>
      <c r="P131" s="163" t="e">
        <f t="shared" si="27"/>
        <v>#REF!</v>
      </c>
    </row>
    <row r="133" spans="6:16" x14ac:dyDescent="0.4">
      <c r="F133" s="164" t="s">
        <v>118</v>
      </c>
      <c r="G133" s="165">
        <f t="shared" ref="G133:P133" si="28">G131*12</f>
        <v>0</v>
      </c>
      <c r="H133" s="165">
        <f t="shared" si="28"/>
        <v>4980000</v>
      </c>
      <c r="I133" s="165">
        <f t="shared" si="28"/>
        <v>7620000</v>
      </c>
      <c r="J133" s="165">
        <f t="shared" si="28"/>
        <v>8550000</v>
      </c>
      <c r="K133" s="295">
        <f t="shared" si="28"/>
        <v>10050000</v>
      </c>
      <c r="L133" s="165">
        <f t="shared" si="28"/>
        <v>11550000</v>
      </c>
      <c r="M133" s="165">
        <f t="shared" si="28"/>
        <v>13050000</v>
      </c>
      <c r="N133" s="165">
        <f t="shared" si="28"/>
        <v>14550000</v>
      </c>
      <c r="O133" s="165">
        <f t="shared" si="28"/>
        <v>16050000</v>
      </c>
      <c r="P133" s="165" t="e">
        <f t="shared" si="28"/>
        <v>#REF!</v>
      </c>
    </row>
    <row r="135" spans="6:16" x14ac:dyDescent="0.4">
      <c r="G135" s="90"/>
      <c r="H135" s="90"/>
      <c r="I135" s="90"/>
      <c r="J135" s="90"/>
      <c r="K135" s="127"/>
      <c r="L135" s="90"/>
      <c r="M135" s="90"/>
      <c r="N135" s="90"/>
      <c r="O135" s="90"/>
      <c r="P135" s="90"/>
    </row>
    <row r="136" spans="6:16" x14ac:dyDescent="0.4">
      <c r="F136" s="166"/>
      <c r="G136" s="132"/>
      <c r="H136" s="132"/>
      <c r="I136" s="132"/>
      <c r="J136" s="132"/>
      <c r="K136" s="289"/>
      <c r="L136" s="132"/>
      <c r="M136" s="132"/>
      <c r="N136" s="132"/>
      <c r="O136" s="132"/>
      <c r="P136" s="132"/>
    </row>
    <row r="137" spans="6:16" x14ac:dyDescent="0.4">
      <c r="F137" s="83"/>
      <c r="G137" s="90"/>
      <c r="H137" s="90"/>
      <c r="I137" s="90"/>
      <c r="J137" s="90"/>
      <c r="K137" s="127"/>
      <c r="L137" s="90"/>
      <c r="M137" s="90"/>
      <c r="N137" s="90"/>
      <c r="O137" s="90"/>
      <c r="P137" s="90"/>
    </row>
    <row r="138" spans="6:16" x14ac:dyDescent="0.4">
      <c r="F138" s="83"/>
      <c r="G138" s="132"/>
      <c r="H138" s="132"/>
      <c r="I138" s="132"/>
      <c r="J138" s="132"/>
      <c r="K138" s="289"/>
      <c r="L138" s="132"/>
      <c r="M138" s="132"/>
      <c r="N138" s="132"/>
      <c r="O138" s="132"/>
      <c r="P138" s="132"/>
    </row>
    <row r="139" spans="6:16" x14ac:dyDescent="0.4">
      <c r="F139" s="83"/>
      <c r="G139" s="132"/>
      <c r="H139" s="132"/>
      <c r="I139" s="132"/>
      <c r="J139" s="132"/>
      <c r="K139" s="289"/>
      <c r="L139" s="132"/>
      <c r="M139" s="132"/>
      <c r="N139" s="132"/>
      <c r="O139" s="132"/>
      <c r="P139" s="132"/>
    </row>
    <row r="174" spans="5:16" x14ac:dyDescent="0.4">
      <c r="E174" s="72"/>
      <c r="J174" s="3"/>
      <c r="K174"/>
      <c r="P174"/>
    </row>
    <row r="175" spans="5:16" x14ac:dyDescent="0.4">
      <c r="E175" s="72"/>
      <c r="J175" s="3"/>
      <c r="K175"/>
      <c r="P175"/>
    </row>
    <row r="176" spans="5:16" x14ac:dyDescent="0.4">
      <c r="E176" s="72"/>
      <c r="J176" s="3"/>
      <c r="K176"/>
      <c r="P176"/>
    </row>
    <row r="177" spans="5:16" x14ac:dyDescent="0.4">
      <c r="E177" s="72"/>
      <c r="J177" s="3"/>
      <c r="K177"/>
      <c r="P177"/>
    </row>
    <row r="178" spans="5:16" x14ac:dyDescent="0.4">
      <c r="E178" s="72"/>
      <c r="J178" s="3"/>
      <c r="K178"/>
      <c r="P178"/>
    </row>
    <row r="179" spans="5:16" x14ac:dyDescent="0.4">
      <c r="E179" s="72"/>
      <c r="J179" s="3"/>
      <c r="K179"/>
      <c r="P179"/>
    </row>
    <row r="180" spans="5:16" x14ac:dyDescent="0.4">
      <c r="E180" s="72"/>
      <c r="J180" s="3"/>
      <c r="K180"/>
      <c r="P180"/>
    </row>
    <row r="181" spans="5:16" x14ac:dyDescent="0.4">
      <c r="E181" s="72"/>
      <c r="J181" s="3"/>
      <c r="K181"/>
      <c r="P181"/>
    </row>
    <row r="182" spans="5:16" x14ac:dyDescent="0.4">
      <c r="E182" s="72"/>
      <c r="J182" s="3"/>
      <c r="K182"/>
      <c r="P182"/>
    </row>
    <row r="183" spans="5:16" x14ac:dyDescent="0.4">
      <c r="E183" s="72"/>
      <c r="J183" s="3"/>
      <c r="K183"/>
      <c r="P183"/>
    </row>
    <row r="184" spans="5:16" x14ac:dyDescent="0.4">
      <c r="E184" s="72"/>
      <c r="J184" s="3"/>
      <c r="K184"/>
      <c r="P184"/>
    </row>
    <row r="185" spans="5:16" x14ac:dyDescent="0.4">
      <c r="E185" s="72"/>
      <c r="J185" s="3"/>
      <c r="K185"/>
      <c r="P185"/>
    </row>
    <row r="186" spans="5:16" x14ac:dyDescent="0.4">
      <c r="E186" s="72"/>
      <c r="J186" s="3"/>
      <c r="K186"/>
      <c r="P186"/>
    </row>
    <row r="187" spans="5:16" x14ac:dyDescent="0.4">
      <c r="E187" s="72"/>
      <c r="J187" s="3"/>
      <c r="K187"/>
      <c r="P187"/>
    </row>
    <row r="188" spans="5:16" x14ac:dyDescent="0.4">
      <c r="E188" s="72"/>
      <c r="J188" s="3"/>
      <c r="K188"/>
      <c r="P188"/>
    </row>
    <row r="189" spans="5:16" x14ac:dyDescent="0.4">
      <c r="E189" s="72"/>
      <c r="J189" s="3"/>
      <c r="K189"/>
      <c r="P189"/>
    </row>
    <row r="190" spans="5:16" x14ac:dyDescent="0.4">
      <c r="E190" s="72"/>
      <c r="J190" s="3"/>
      <c r="K190"/>
      <c r="P190"/>
    </row>
  </sheetData>
  <mergeCells count="5">
    <mergeCell ref="G1:I1"/>
    <mergeCell ref="A2:B2"/>
    <mergeCell ref="A19:A21"/>
    <mergeCell ref="A10:A12"/>
    <mergeCell ref="A14:A17"/>
  </mergeCells>
  <conditionalFormatting sqref="C22:O22 C28:O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0737-C6A8-4217-BC08-CB4B6D58AA9E}">
  <dimension ref="A1:W192"/>
  <sheetViews>
    <sheetView zoomScaleNormal="100" workbookViewId="0">
      <pane xSplit="2" ySplit="2" topLeftCell="C76" activePane="bottomRight" state="frozen"/>
      <selection pane="topRight" activeCell="C1" sqref="C1"/>
      <selection pane="bottomLeft" activeCell="A3" sqref="A3"/>
      <selection pane="bottomRight" activeCell="N104" sqref="N104"/>
    </sheetView>
  </sheetViews>
  <sheetFormatPr defaultRowHeight="14.6" x14ac:dyDescent="0.4"/>
  <cols>
    <col min="1" max="1" width="36.53515625" customWidth="1"/>
    <col min="2" max="2" width="38" customWidth="1"/>
    <col min="3" max="3" width="11.15234375" customWidth="1"/>
    <col min="4" max="6" width="14.84375" customWidth="1"/>
    <col min="7" max="7" width="19.15234375" customWidth="1"/>
    <col min="8" max="8" width="15" bestFit="1" customWidth="1"/>
    <col min="9" max="9" width="12.53515625" bestFit="1" customWidth="1"/>
    <col min="10" max="10" width="12.53515625" customWidth="1"/>
    <col min="11" max="11" width="12.53515625" style="72" customWidth="1"/>
    <col min="12" max="13" width="12.53515625" customWidth="1"/>
    <col min="14" max="14" width="12.69140625" customWidth="1"/>
    <col min="15" max="15" width="15.53515625" customWidth="1"/>
    <col min="16" max="16" width="13.3046875" style="3" bestFit="1" customWidth="1"/>
    <col min="17" max="17" width="13.3828125" bestFit="1" customWidth="1"/>
    <col min="18" max="18" width="13.3046875" bestFit="1" customWidth="1"/>
    <col min="19" max="19" width="14.53515625" customWidth="1"/>
    <col min="20" max="20" width="12.84375" bestFit="1" customWidth="1"/>
    <col min="21" max="21" width="12.15234375" bestFit="1" customWidth="1"/>
    <col min="22" max="25" width="11" bestFit="1" customWidth="1"/>
  </cols>
  <sheetData>
    <row r="1" spans="1:22" ht="23.6" thickBot="1" x14ac:dyDescent="0.65">
      <c r="A1" s="83" t="s">
        <v>173</v>
      </c>
      <c r="B1" s="312">
        <f ca="1">TODAY()</f>
        <v>46147</v>
      </c>
      <c r="E1" s="2"/>
      <c r="F1" s="161"/>
      <c r="G1" s="678">
        <v>2024</v>
      </c>
      <c r="H1" s="678"/>
      <c r="I1" s="678"/>
      <c r="K1" s="131"/>
      <c r="L1" s="307"/>
      <c r="N1" s="413"/>
    </row>
    <row r="2" spans="1:22" ht="15" thickBot="1" x14ac:dyDescent="0.45">
      <c r="A2" s="679" t="s">
        <v>0</v>
      </c>
      <c r="B2" s="679"/>
      <c r="C2" s="462" t="s">
        <v>1</v>
      </c>
      <c r="D2" s="462" t="s">
        <v>2</v>
      </c>
      <c r="E2" s="462" t="s">
        <v>3</v>
      </c>
      <c r="F2" s="462" t="s">
        <v>4</v>
      </c>
      <c r="G2" s="462" t="s">
        <v>5</v>
      </c>
      <c r="H2" s="462" t="s">
        <v>6</v>
      </c>
      <c r="I2" s="462" t="s">
        <v>7</v>
      </c>
      <c r="J2" s="462" t="s">
        <v>8</v>
      </c>
      <c r="K2" s="462" t="s">
        <v>9</v>
      </c>
      <c r="L2" s="462" t="s">
        <v>10</v>
      </c>
      <c r="M2" s="462" t="s">
        <v>11</v>
      </c>
      <c r="N2" s="462" t="s">
        <v>12</v>
      </c>
      <c r="O2" s="462" t="s">
        <v>13</v>
      </c>
    </row>
    <row r="3" spans="1:22" ht="15.75" customHeight="1" thickBot="1" x14ac:dyDescent="0.45">
      <c r="A3" s="453" t="s">
        <v>14</v>
      </c>
      <c r="B3" s="224" t="s">
        <v>15</v>
      </c>
      <c r="C3" s="225">
        <v>348558</v>
      </c>
      <c r="D3" s="225">
        <v>347041</v>
      </c>
      <c r="E3" s="362">
        <v>343646</v>
      </c>
      <c r="F3" s="225">
        <v>360526</v>
      </c>
      <c r="G3" s="225">
        <v>360034</v>
      </c>
      <c r="H3" s="225">
        <v>357860</v>
      </c>
      <c r="I3" s="225">
        <v>356659</v>
      </c>
      <c r="J3" s="225">
        <v>355372</v>
      </c>
      <c r="K3" s="225">
        <v>359721</v>
      </c>
      <c r="L3" s="225">
        <v>368176</v>
      </c>
      <c r="M3" s="225">
        <v>368348</v>
      </c>
      <c r="N3" s="313">
        <v>373130</v>
      </c>
      <c r="O3" s="136">
        <f>SUM(C3:N3)</f>
        <v>4299071</v>
      </c>
      <c r="Q3" s="255" t="s">
        <v>16</v>
      </c>
      <c r="S3" s="296"/>
      <c r="T3" s="296"/>
      <c r="U3" s="296"/>
      <c r="V3" s="296"/>
    </row>
    <row r="4" spans="1:22" ht="15" customHeight="1" x14ac:dyDescent="0.4">
      <c r="A4" s="461"/>
      <c r="B4" s="77" t="s">
        <v>17</v>
      </c>
      <c r="C4" s="131"/>
      <c r="D4" s="131"/>
      <c r="E4" s="131"/>
      <c r="F4" s="131"/>
      <c r="G4" s="131"/>
      <c r="H4" s="131"/>
      <c r="I4" s="131"/>
      <c r="J4" s="131"/>
      <c r="K4" s="131"/>
      <c r="L4" s="406"/>
      <c r="M4" s="414"/>
      <c r="N4" s="341"/>
      <c r="O4" s="136">
        <f>SUM(C4:N4)</f>
        <v>0</v>
      </c>
      <c r="Q4" s="256" t="s">
        <v>148</v>
      </c>
      <c r="S4" s="296"/>
      <c r="T4" s="296"/>
      <c r="U4" s="296"/>
      <c r="V4" s="296"/>
    </row>
    <row r="5" spans="1:22" ht="15" customHeight="1" x14ac:dyDescent="0.4">
      <c r="A5" s="461"/>
      <c r="B5" s="77" t="s">
        <v>19</v>
      </c>
      <c r="C5" s="69"/>
      <c r="D5" s="69"/>
      <c r="E5" s="69"/>
      <c r="F5" s="69"/>
      <c r="G5" s="69"/>
      <c r="H5" s="69"/>
      <c r="I5" s="69"/>
      <c r="J5" s="69"/>
      <c r="K5" s="69"/>
      <c r="L5" s="407"/>
      <c r="M5" s="306"/>
      <c r="N5" s="340"/>
      <c r="O5" s="137">
        <f>SUM(C5:N5)</f>
        <v>0</v>
      </c>
      <c r="Q5" s="255" t="s">
        <v>174</v>
      </c>
      <c r="S5" s="296"/>
      <c r="T5" s="296"/>
      <c r="U5" s="296"/>
      <c r="V5" s="296"/>
    </row>
    <row r="6" spans="1:22" ht="15" customHeight="1" x14ac:dyDescent="0.4">
      <c r="A6" s="461"/>
      <c r="B6" s="77" t="s">
        <v>21</v>
      </c>
      <c r="C6" s="69"/>
      <c r="D6" s="69"/>
      <c r="E6" s="69"/>
      <c r="F6" s="69"/>
      <c r="G6" s="69"/>
      <c r="H6" s="69"/>
      <c r="I6" s="69"/>
      <c r="J6" s="69"/>
      <c r="K6" s="69"/>
      <c r="L6" s="407"/>
      <c r="M6" s="306"/>
      <c r="N6" s="338"/>
      <c r="O6" s="138">
        <f>SUM(F6:N6)</f>
        <v>0</v>
      </c>
      <c r="P6" s="58"/>
      <c r="Q6" s="255" t="s">
        <v>175</v>
      </c>
      <c r="S6" s="296"/>
      <c r="T6" s="296"/>
      <c r="U6" s="296"/>
      <c r="V6" s="296"/>
    </row>
    <row r="7" spans="1:22" ht="15.75" customHeight="1" thickBot="1" x14ac:dyDescent="0.45">
      <c r="A7" s="460"/>
      <c r="B7" s="80" t="s">
        <v>23</v>
      </c>
      <c r="C7" s="167"/>
      <c r="D7" s="167"/>
      <c r="E7" s="167"/>
      <c r="F7" s="88"/>
      <c r="G7" s="167"/>
      <c r="H7" s="167"/>
      <c r="I7" s="88"/>
      <c r="J7" s="167"/>
      <c r="K7" s="167"/>
      <c r="L7" s="408"/>
      <c r="M7" s="415"/>
      <c r="N7" s="336"/>
      <c r="O7" s="139">
        <f>SUM(C7:N7)</f>
        <v>0</v>
      </c>
      <c r="Q7" s="255" t="s">
        <v>176</v>
      </c>
      <c r="S7" s="296"/>
      <c r="T7" s="296"/>
      <c r="U7" s="296"/>
      <c r="V7" s="296"/>
    </row>
    <row r="8" spans="1:22" ht="15.75" customHeight="1" thickBot="1" x14ac:dyDescent="0.45">
      <c r="A8" s="459"/>
      <c r="B8" s="367" t="s">
        <v>25</v>
      </c>
      <c r="C8" s="89"/>
      <c r="D8" s="89"/>
      <c r="E8" s="89"/>
      <c r="F8" s="89"/>
      <c r="G8" s="89"/>
      <c r="H8" s="89"/>
      <c r="I8" s="89"/>
      <c r="J8" s="89"/>
      <c r="K8" s="89"/>
      <c r="L8" s="409"/>
      <c r="M8" s="416"/>
      <c r="N8" s="334"/>
      <c r="O8" s="140">
        <f>SUM(C8:N8)</f>
        <v>0</v>
      </c>
      <c r="Q8" s="254"/>
      <c r="S8" s="296"/>
      <c r="T8" s="296"/>
      <c r="U8" s="296"/>
      <c r="V8" s="296"/>
    </row>
    <row r="9" spans="1:22" ht="14.5" customHeight="1" thickBot="1" x14ac:dyDescent="0.45">
      <c r="A9" s="106"/>
      <c r="B9" s="107"/>
      <c r="C9" s="108"/>
      <c r="D9" s="109"/>
      <c r="E9" s="144"/>
      <c r="F9" s="144"/>
      <c r="G9" s="109"/>
      <c r="H9" s="194"/>
      <c r="I9" s="194"/>
      <c r="J9" s="194"/>
      <c r="K9" s="108"/>
      <c r="L9" s="108"/>
      <c r="M9" s="113"/>
      <c r="N9" s="108"/>
      <c r="O9" s="135"/>
      <c r="Q9" s="151"/>
      <c r="S9" s="151"/>
      <c r="T9" s="254"/>
      <c r="U9" s="296"/>
    </row>
    <row r="10" spans="1:22" ht="14.5" customHeight="1" thickBot="1" x14ac:dyDescent="0.45">
      <c r="A10" s="680" t="s">
        <v>26</v>
      </c>
      <c r="B10" s="226" t="s">
        <v>150</v>
      </c>
      <c r="C10" s="227">
        <v>142362</v>
      </c>
      <c r="D10" s="228">
        <v>229434</v>
      </c>
      <c r="E10" s="458">
        <v>86779</v>
      </c>
      <c r="F10" s="227">
        <v>77612</v>
      </c>
      <c r="G10" s="227">
        <v>126216</v>
      </c>
      <c r="H10" s="227">
        <v>56715</v>
      </c>
      <c r="I10" s="227">
        <v>95800</v>
      </c>
      <c r="J10" s="266">
        <v>81425</v>
      </c>
      <c r="K10" s="266">
        <v>133285</v>
      </c>
      <c r="L10" s="266">
        <v>151749</v>
      </c>
      <c r="M10" s="266">
        <v>54579</v>
      </c>
      <c r="N10" s="333">
        <v>65199</v>
      </c>
      <c r="O10" s="457">
        <f>SUM(C10:N10)</f>
        <v>1301155</v>
      </c>
      <c r="P10" s="38"/>
      <c r="Q10" s="158"/>
      <c r="U10" s="254"/>
    </row>
    <row r="11" spans="1:22" s="73" customFormat="1" ht="15" thickBot="1" x14ac:dyDescent="0.45">
      <c r="A11" s="680"/>
      <c r="B11" s="349" t="s">
        <v>28</v>
      </c>
      <c r="C11" s="259"/>
      <c r="D11" s="259"/>
      <c r="E11" s="259"/>
      <c r="F11" s="258"/>
      <c r="G11" s="259"/>
      <c r="H11" s="259"/>
      <c r="I11" s="258"/>
      <c r="J11" s="259"/>
      <c r="K11" s="259"/>
      <c r="L11" s="260"/>
      <c r="M11" s="417"/>
      <c r="N11" s="419"/>
      <c r="O11" s="351">
        <f>SUM(C11:N11)</f>
        <v>0</v>
      </c>
      <c r="P11" s="38"/>
      <c r="Q11" s="297"/>
      <c r="S11" s="257"/>
      <c r="T11" s="298"/>
      <c r="U11" s="297"/>
    </row>
    <row r="12" spans="1:22" s="73" customFormat="1" ht="15" thickBot="1" x14ac:dyDescent="0.45">
      <c r="A12" s="680"/>
      <c r="B12" s="350" t="s">
        <v>29</v>
      </c>
      <c r="C12" s="261"/>
      <c r="D12" s="261"/>
      <c r="E12" s="261"/>
      <c r="F12" s="261"/>
      <c r="G12" s="261"/>
      <c r="H12" s="261"/>
      <c r="I12" s="261"/>
      <c r="J12" s="261"/>
      <c r="K12" s="267"/>
      <c r="L12" s="261"/>
      <c r="M12" s="418"/>
      <c r="N12" s="420"/>
      <c r="O12" s="352">
        <f>SUM(C12:N12)</f>
        <v>0</v>
      </c>
      <c r="P12" s="74"/>
      <c r="S12" s="159"/>
      <c r="U12" s="159"/>
    </row>
    <row r="13" spans="1:22" s="73" customFormat="1" ht="14.5" customHeight="1" thickBot="1" x14ac:dyDescent="0.45">
      <c r="A13" s="111"/>
      <c r="B13" s="112"/>
      <c r="C13" s="108"/>
      <c r="D13" s="108"/>
      <c r="E13" s="113"/>
      <c r="F13" s="113"/>
      <c r="G13" s="108"/>
      <c r="H13" s="108"/>
      <c r="I13" s="113"/>
      <c r="J13" s="108"/>
      <c r="K13" s="108"/>
      <c r="L13" s="410"/>
      <c r="M13" s="114"/>
      <c r="N13" s="114"/>
      <c r="O13" s="114"/>
      <c r="P13" s="96"/>
      <c r="Q13" s="421" t="s">
        <v>177</v>
      </c>
      <c r="R13" s="127">
        <v>387307</v>
      </c>
      <c r="S13" s="159"/>
      <c r="U13" s="159"/>
    </row>
    <row r="14" spans="1:22" ht="14.5" customHeight="1" thickBot="1" x14ac:dyDescent="0.45">
      <c r="A14" s="680" t="s">
        <v>30</v>
      </c>
      <c r="B14" s="193" t="s">
        <v>31</v>
      </c>
      <c r="C14" s="310"/>
      <c r="D14" s="310"/>
      <c r="E14" s="353"/>
      <c r="F14" s="142"/>
      <c r="G14" s="310"/>
      <c r="H14" s="310"/>
      <c r="I14" s="142"/>
      <c r="J14" s="310"/>
      <c r="K14" s="310"/>
      <c r="L14" s="310"/>
      <c r="M14" s="142"/>
      <c r="N14" s="310">
        <f>3600+7200</f>
        <v>10800</v>
      </c>
      <c r="O14" s="142">
        <f>SUM(C14:N14)</f>
        <v>10800</v>
      </c>
      <c r="P14" s="74" t="s">
        <v>178</v>
      </c>
      <c r="Q14" s="155" t="s">
        <v>179</v>
      </c>
      <c r="R14" s="127">
        <v>175674</v>
      </c>
      <c r="S14" s="31">
        <f>R14/R13</f>
        <v>0.45357816925591327</v>
      </c>
    </row>
    <row r="15" spans="1:22" ht="14.5" customHeight="1" thickBot="1" x14ac:dyDescent="0.45">
      <c r="A15" s="680"/>
      <c r="B15" s="368" t="s">
        <v>32</v>
      </c>
      <c r="C15" s="369"/>
      <c r="D15" s="369"/>
      <c r="E15" s="370"/>
      <c r="F15" s="370"/>
      <c r="G15" s="379"/>
      <c r="H15" s="379"/>
      <c r="I15" s="370"/>
      <c r="J15" s="379"/>
      <c r="K15" s="379"/>
      <c r="L15" s="379"/>
      <c r="M15" s="370"/>
      <c r="N15" s="370"/>
      <c r="O15" s="141">
        <f>SUM(C15:N15)</f>
        <v>0</v>
      </c>
      <c r="P15" s="38"/>
      <c r="R15" s="151">
        <f>R14/12</f>
        <v>14639.5</v>
      </c>
      <c r="S15" s="159"/>
    </row>
    <row r="16" spans="1:22" ht="15" customHeight="1" thickBot="1" x14ac:dyDescent="0.45">
      <c r="A16" s="680"/>
      <c r="B16" s="456" t="s">
        <v>33</v>
      </c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5"/>
      <c r="N16" s="454"/>
      <c r="O16" s="230"/>
      <c r="Q16" s="151"/>
    </row>
    <row r="17" spans="1:21" ht="15" thickBot="1" x14ac:dyDescent="0.45">
      <c r="A17" s="680"/>
      <c r="B17" s="452" t="s">
        <v>34</v>
      </c>
      <c r="C17" s="451"/>
      <c r="D17" s="451"/>
      <c r="E17" s="451"/>
      <c r="F17" s="449"/>
      <c r="G17" s="449"/>
      <c r="H17" s="449"/>
      <c r="I17" s="449"/>
      <c r="J17" s="449"/>
      <c r="K17" s="449"/>
      <c r="L17" s="449"/>
      <c r="M17" s="450"/>
      <c r="N17" s="449"/>
      <c r="O17" s="231"/>
    </row>
    <row r="18" spans="1:21" ht="32.25" customHeight="1" thickBot="1" x14ac:dyDescent="0.45">
      <c r="A18" s="115"/>
      <c r="B18" s="107"/>
      <c r="C18" s="110"/>
      <c r="D18" s="110"/>
      <c r="E18" s="110"/>
      <c r="F18" s="116"/>
      <c r="G18" s="116"/>
      <c r="H18" s="116"/>
      <c r="I18" s="116"/>
      <c r="J18" s="116"/>
      <c r="K18" s="108"/>
      <c r="L18" s="116"/>
      <c r="M18" s="411"/>
      <c r="N18" s="116"/>
      <c r="O18" s="110"/>
    </row>
    <row r="19" spans="1:21" s="72" customFormat="1" ht="26.25" customHeight="1" thickBot="1" x14ac:dyDescent="0.45">
      <c r="A19" s="666" t="s">
        <v>35</v>
      </c>
      <c r="B19" s="102" t="s">
        <v>36</v>
      </c>
      <c r="C19" s="101">
        <f t="shared" ref="C19:N19" si="0">C3+C6+C10</f>
        <v>490920</v>
      </c>
      <c r="D19" s="101">
        <f t="shared" si="0"/>
        <v>576475</v>
      </c>
      <c r="E19" s="101">
        <f t="shared" si="0"/>
        <v>430425</v>
      </c>
      <c r="F19" s="101">
        <f t="shared" si="0"/>
        <v>438138</v>
      </c>
      <c r="G19" s="101">
        <f t="shared" si="0"/>
        <v>486250</v>
      </c>
      <c r="H19" s="101">
        <f t="shared" si="0"/>
        <v>414575</v>
      </c>
      <c r="I19" s="101">
        <f t="shared" si="0"/>
        <v>452459</v>
      </c>
      <c r="J19" s="101">
        <f t="shared" si="0"/>
        <v>436797</v>
      </c>
      <c r="K19" s="101">
        <f t="shared" si="0"/>
        <v>493006</v>
      </c>
      <c r="L19" s="101">
        <f t="shared" si="0"/>
        <v>519925</v>
      </c>
      <c r="M19" s="101">
        <f t="shared" si="0"/>
        <v>422927</v>
      </c>
      <c r="N19" s="101">
        <f t="shared" si="0"/>
        <v>438329</v>
      </c>
      <c r="O19" s="217">
        <f>SUM(C19:N19)</f>
        <v>5600226</v>
      </c>
      <c r="P19" s="3"/>
      <c r="R19" s="393" t="s">
        <v>37</v>
      </c>
      <c r="S19" s="387" t="s">
        <v>38</v>
      </c>
      <c r="T19" s="387"/>
    </row>
    <row r="20" spans="1:21" s="72" customFormat="1" ht="15" thickBot="1" x14ac:dyDescent="0.45">
      <c r="A20" s="666"/>
      <c r="B20" s="448" t="s">
        <v>39</v>
      </c>
      <c r="C20" s="447">
        <f>C3+C5+C6+C10+C11+C16+C12</f>
        <v>490920</v>
      </c>
      <c r="D20" s="447">
        <f>D3+D5+D6+D10+D11+D16+D12</f>
        <v>576475</v>
      </c>
      <c r="E20" s="447">
        <f>E3+E5+E6+E10+E11+E16+E12+E14</f>
        <v>430425</v>
      </c>
      <c r="F20" s="447">
        <f>F19+F16</f>
        <v>438138</v>
      </c>
      <c r="G20" s="447">
        <f>G3+G5+G6+G10+G11+G16+G12+G14</f>
        <v>486250</v>
      </c>
      <c r="H20" s="447">
        <f>H3+H5+H6+H10+H11+H16+H12+H14</f>
        <v>414575</v>
      </c>
      <c r="I20" s="447">
        <f>I3+I5+I6+I10+I11+I16+I12+I14</f>
        <v>452459</v>
      </c>
      <c r="J20" s="447">
        <f>J3+J5+J6+J10+J11+J16+J12+J14</f>
        <v>436797</v>
      </c>
      <c r="K20" s="447">
        <f>K3+K5+K6+K7+K8+K10+K11+K12+K14+K16</f>
        <v>493006</v>
      </c>
      <c r="L20" s="447">
        <f>L3+L5+L6+L7+L8+L10+L11+L12+L14+L16</f>
        <v>519925</v>
      </c>
      <c r="M20" s="447">
        <f>M3+M5+M6+M7+M8+M10+M11+M12+M14+M16</f>
        <v>422927</v>
      </c>
      <c r="N20" s="447">
        <f>N3+N5+N6+N7+N8+N10+N11+N12+N14+N16</f>
        <v>449129</v>
      </c>
      <c r="O20" s="232"/>
      <c r="P20" s="71"/>
      <c r="R20" s="388">
        <v>368176</v>
      </c>
      <c r="S20" s="389" t="s">
        <v>40</v>
      </c>
      <c r="T20" s="387"/>
    </row>
    <row r="21" spans="1:21" ht="15" thickBot="1" x14ac:dyDescent="0.45">
      <c r="A21" s="666"/>
      <c r="B21" s="446" t="s">
        <v>41</v>
      </c>
      <c r="C21" s="445">
        <f>C3+C5+C6+C10+C11+C12+C17</f>
        <v>490920</v>
      </c>
      <c r="D21" s="445">
        <f>D3+D5+D6+D10+D11+D12+D17</f>
        <v>576475</v>
      </c>
      <c r="E21" s="445">
        <f>E3+E5+E6+E10+E11+E12+E17+E14</f>
        <v>430425</v>
      </c>
      <c r="F21" s="445">
        <f>F19+F17</f>
        <v>438138</v>
      </c>
      <c r="G21" s="445">
        <f>G3+G5+G6+G10+G11+G12+G17+G14</f>
        <v>486250</v>
      </c>
      <c r="H21" s="445">
        <f>H3+H5+H6+H10+H11+H12+H17+H14</f>
        <v>414575</v>
      </c>
      <c r="I21" s="445">
        <f>I3+I5+I6+I10+I11+I12+I17+I14</f>
        <v>452459</v>
      </c>
      <c r="J21" s="445">
        <f>J3+J5+J6+J10+J11+J12+J17+J14</f>
        <v>436797</v>
      </c>
      <c r="K21" s="445">
        <f>K3+K5+K6+K7+K8+K10+K11+K12+K14+K17</f>
        <v>493006</v>
      </c>
      <c r="L21" s="445">
        <f>L3+L5+L6+L7+L8+L10+L11+L12+L14+L17</f>
        <v>519925</v>
      </c>
      <c r="M21" s="445">
        <f>M3+M5+M6+M7+M8+M10+M11+M12+M14+M17</f>
        <v>422927</v>
      </c>
      <c r="N21" s="445">
        <f>N3+N5+N6+N7+N8+N10+N11+N12+N14+N17</f>
        <v>449129</v>
      </c>
      <c r="O21" s="233"/>
      <c r="P21" s="71"/>
      <c r="R21" s="390">
        <v>135079</v>
      </c>
      <c r="S21" s="391" t="s">
        <v>180</v>
      </c>
      <c r="T21" s="391"/>
    </row>
    <row r="22" spans="1:21" ht="15" thickBot="1" x14ac:dyDescent="0.45">
      <c r="A22" s="91" t="s">
        <v>43</v>
      </c>
      <c r="B22" s="93" t="s">
        <v>44</v>
      </c>
      <c r="C22" s="356">
        <f>C19-C26</f>
        <v>40920</v>
      </c>
      <c r="D22" s="356">
        <f>D19-D26</f>
        <v>126475</v>
      </c>
      <c r="E22" s="356" t="s">
        <v>181</v>
      </c>
      <c r="F22" s="356">
        <f t="shared" ref="F22:K22" si="1">F19-F26</f>
        <v>-36862</v>
      </c>
      <c r="G22" s="356">
        <f t="shared" si="1"/>
        <v>11250</v>
      </c>
      <c r="H22" s="356">
        <f t="shared" si="1"/>
        <v>-60425</v>
      </c>
      <c r="I22" s="356">
        <f t="shared" si="1"/>
        <v>-22541</v>
      </c>
      <c r="J22" s="356">
        <f t="shared" si="1"/>
        <v>-38203</v>
      </c>
      <c r="K22" s="356">
        <f t="shared" si="1"/>
        <v>18006</v>
      </c>
      <c r="L22" s="356"/>
      <c r="M22" s="356"/>
      <c r="N22" s="356"/>
      <c r="O22" s="234">
        <f>SUM(C22:N22)</f>
        <v>38620</v>
      </c>
      <c r="Q22" s="2"/>
      <c r="R22" s="390">
        <v>175685</v>
      </c>
      <c r="S22" s="391" t="s">
        <v>45</v>
      </c>
      <c r="T22" s="391"/>
    </row>
    <row r="23" spans="1:21" s="3" customFormat="1" ht="15" thickBot="1" x14ac:dyDescent="0.45">
      <c r="A23" s="117"/>
      <c r="B23" s="118"/>
      <c r="C23" s="371"/>
      <c r="D23" s="371"/>
      <c r="E23" s="371"/>
      <c r="F23" s="371"/>
      <c r="G23" s="371"/>
      <c r="H23" s="371"/>
      <c r="I23" s="371"/>
      <c r="J23" s="371"/>
      <c r="K23" s="109"/>
      <c r="L23" s="371"/>
      <c r="M23" s="371"/>
      <c r="N23" s="371"/>
      <c r="O23" s="119"/>
      <c r="R23" s="394">
        <f>R20-R21-R22</f>
        <v>57412</v>
      </c>
      <c r="S23" s="392" t="s">
        <v>182</v>
      </c>
      <c r="T23" s="392"/>
    </row>
    <row r="24" spans="1:21" s="3" customFormat="1" x14ac:dyDescent="0.4">
      <c r="A24" s="347" t="s">
        <v>47</v>
      </c>
      <c r="B24" s="94" t="s">
        <v>48</v>
      </c>
      <c r="C24" s="372">
        <f>C19</f>
        <v>490920</v>
      </c>
      <c r="D24" s="372">
        <f t="shared" ref="D24:N24" si="2">C24+D19</f>
        <v>1067395</v>
      </c>
      <c r="E24" s="372">
        <f t="shared" si="2"/>
        <v>1497820</v>
      </c>
      <c r="F24" s="372">
        <f t="shared" si="2"/>
        <v>1935958</v>
      </c>
      <c r="G24" s="372">
        <f t="shared" si="2"/>
        <v>2422208</v>
      </c>
      <c r="H24" s="372">
        <f t="shared" si="2"/>
        <v>2836783</v>
      </c>
      <c r="I24" s="372">
        <f t="shared" si="2"/>
        <v>3289242</v>
      </c>
      <c r="J24" s="372">
        <f t="shared" si="2"/>
        <v>3726039</v>
      </c>
      <c r="K24" s="377">
        <f t="shared" si="2"/>
        <v>4219045</v>
      </c>
      <c r="L24" s="372">
        <f t="shared" si="2"/>
        <v>4738970</v>
      </c>
      <c r="M24" s="372">
        <f t="shared" si="2"/>
        <v>5161897</v>
      </c>
      <c r="N24" s="372">
        <f t="shared" si="2"/>
        <v>5600226</v>
      </c>
      <c r="O24" s="78">
        <f>N24</f>
        <v>5600226</v>
      </c>
      <c r="Q24" s="58"/>
    </row>
    <row r="25" spans="1:21" s="3" customFormat="1" x14ac:dyDescent="0.4">
      <c r="A25" s="381"/>
      <c r="B25" s="95" t="s">
        <v>49</v>
      </c>
      <c r="C25" s="373">
        <f>C19</f>
        <v>490920</v>
      </c>
      <c r="D25" s="373">
        <f t="shared" ref="D25:N25" si="3">C25+D19</f>
        <v>1067395</v>
      </c>
      <c r="E25" s="373">
        <f t="shared" si="3"/>
        <v>1497820</v>
      </c>
      <c r="F25" s="373">
        <f t="shared" si="3"/>
        <v>1935958</v>
      </c>
      <c r="G25" s="373">
        <f t="shared" si="3"/>
        <v>2422208</v>
      </c>
      <c r="H25" s="373">
        <f t="shared" si="3"/>
        <v>2836783</v>
      </c>
      <c r="I25" s="373">
        <f t="shared" si="3"/>
        <v>3289242</v>
      </c>
      <c r="J25" s="373">
        <f t="shared" si="3"/>
        <v>3726039</v>
      </c>
      <c r="K25" s="373">
        <f t="shared" si="3"/>
        <v>4219045</v>
      </c>
      <c r="L25" s="373">
        <f t="shared" si="3"/>
        <v>4738970</v>
      </c>
      <c r="M25" s="373">
        <f t="shared" si="3"/>
        <v>5161897</v>
      </c>
      <c r="N25" s="373">
        <f t="shared" si="3"/>
        <v>5600226</v>
      </c>
      <c r="O25" s="98"/>
      <c r="Q25" s="58"/>
    </row>
    <row r="26" spans="1:21" s="3" customFormat="1" ht="15" thickBot="1" x14ac:dyDescent="0.45">
      <c r="A26" s="348" t="s">
        <v>50</v>
      </c>
      <c r="B26" s="104" t="s">
        <v>51</v>
      </c>
      <c r="C26" s="346">
        <v>450000</v>
      </c>
      <c r="D26" s="346">
        <v>450000</v>
      </c>
      <c r="E26" s="346">
        <v>450000</v>
      </c>
      <c r="F26" s="346">
        <v>475000</v>
      </c>
      <c r="G26" s="346">
        <v>475000</v>
      </c>
      <c r="H26" s="346">
        <v>475000</v>
      </c>
      <c r="I26" s="346">
        <v>475000</v>
      </c>
      <c r="J26" s="346">
        <v>475000</v>
      </c>
      <c r="K26" s="346">
        <v>475000</v>
      </c>
      <c r="L26" s="346">
        <v>475000</v>
      </c>
      <c r="M26" s="346">
        <v>475000</v>
      </c>
      <c r="N26" s="346">
        <v>475000</v>
      </c>
      <c r="O26" s="105">
        <f>SUM(C26:N26)</f>
        <v>5625000</v>
      </c>
      <c r="Q26" s="3" t="s">
        <v>52</v>
      </c>
      <c r="R26" s="3" t="s">
        <v>53</v>
      </c>
    </row>
    <row r="27" spans="1:21" s="3" customFormat="1" x14ac:dyDescent="0.4">
      <c r="A27" s="206"/>
      <c r="B27" s="95" t="s">
        <v>54</v>
      </c>
      <c r="C27" s="373">
        <f>C26</f>
        <v>450000</v>
      </c>
      <c r="D27" s="373">
        <f t="shared" ref="D27:N27" si="4">C27+D26</f>
        <v>900000</v>
      </c>
      <c r="E27" s="373">
        <f t="shared" si="4"/>
        <v>1350000</v>
      </c>
      <c r="F27" s="373">
        <f t="shared" si="4"/>
        <v>1825000</v>
      </c>
      <c r="G27" s="373">
        <f t="shared" si="4"/>
        <v>2300000</v>
      </c>
      <c r="H27" s="373">
        <f t="shared" si="4"/>
        <v>2775000</v>
      </c>
      <c r="I27" s="373">
        <f t="shared" si="4"/>
        <v>3250000</v>
      </c>
      <c r="J27" s="373">
        <f t="shared" si="4"/>
        <v>3725000</v>
      </c>
      <c r="K27" s="378">
        <f t="shared" si="4"/>
        <v>4200000</v>
      </c>
      <c r="L27" s="373">
        <f t="shared" si="4"/>
        <v>4675000</v>
      </c>
      <c r="M27" s="373">
        <f t="shared" si="4"/>
        <v>5150000</v>
      </c>
      <c r="N27" s="373">
        <f t="shared" si="4"/>
        <v>5625000</v>
      </c>
      <c r="O27" s="98">
        <f>N27</f>
        <v>5625000</v>
      </c>
      <c r="Q27" s="90">
        <v>58924</v>
      </c>
      <c r="R27" s="90">
        <v>95079</v>
      </c>
      <c r="S27" t="s">
        <v>55</v>
      </c>
      <c r="T27" s="132">
        <f>R27-Q27</f>
        <v>36155</v>
      </c>
      <c r="U27" s="3">
        <f>T27/R27</f>
        <v>0.3802627288886084</v>
      </c>
    </row>
    <row r="28" spans="1:21" ht="15" hidden="1" customHeight="1" x14ac:dyDescent="0.4">
      <c r="A28" s="206" t="s">
        <v>56</v>
      </c>
      <c r="B28" s="93"/>
      <c r="C28" s="356">
        <f t="shared" ref="C28:N28" si="5">C24-C27</f>
        <v>40920</v>
      </c>
      <c r="D28" s="356">
        <f t="shared" si="5"/>
        <v>167395</v>
      </c>
      <c r="E28" s="356">
        <f t="shared" si="5"/>
        <v>147820</v>
      </c>
      <c r="F28" s="356">
        <f t="shared" si="5"/>
        <v>110958</v>
      </c>
      <c r="G28" s="380">
        <f t="shared" si="5"/>
        <v>122208</v>
      </c>
      <c r="H28" s="97">
        <f t="shared" si="5"/>
        <v>61783</v>
      </c>
      <c r="I28" s="97">
        <f t="shared" si="5"/>
        <v>39242</v>
      </c>
      <c r="J28" s="380">
        <f t="shared" si="5"/>
        <v>1039</v>
      </c>
      <c r="K28" s="397">
        <f t="shared" si="5"/>
        <v>19045</v>
      </c>
      <c r="L28" s="97">
        <f t="shared" si="5"/>
        <v>63970</v>
      </c>
      <c r="M28" s="97">
        <f t="shared" si="5"/>
        <v>11897</v>
      </c>
      <c r="N28" s="97">
        <f t="shared" si="5"/>
        <v>-24774</v>
      </c>
      <c r="O28" s="84">
        <f>N28</f>
        <v>-24774</v>
      </c>
      <c r="Q28" s="90"/>
      <c r="R28" s="90"/>
    </row>
    <row r="29" spans="1:21" hidden="1" x14ac:dyDescent="0.4">
      <c r="A29" s="206" t="s">
        <v>56</v>
      </c>
      <c r="B29" s="134"/>
      <c r="C29" s="357" t="s">
        <v>1</v>
      </c>
      <c r="D29" s="357" t="s">
        <v>2</v>
      </c>
      <c r="E29" s="357" t="s">
        <v>3</v>
      </c>
      <c r="F29" s="357" t="s">
        <v>4</v>
      </c>
      <c r="G29" s="357" t="s">
        <v>5</v>
      </c>
      <c r="H29" s="7" t="s">
        <v>6</v>
      </c>
      <c r="I29" s="7" t="s">
        <v>7</v>
      </c>
      <c r="J29" s="357" t="s">
        <v>8</v>
      </c>
      <c r="K29" s="398" t="s">
        <v>9</v>
      </c>
      <c r="L29" s="7" t="s">
        <v>10</v>
      </c>
      <c r="M29" s="7" t="s">
        <v>11</v>
      </c>
      <c r="N29" s="7" t="s">
        <v>12</v>
      </c>
      <c r="O29" s="8">
        <v>2019</v>
      </c>
      <c r="Q29" s="90"/>
      <c r="R29" s="90"/>
    </row>
    <row r="30" spans="1:21" hidden="1" x14ac:dyDescent="0.4">
      <c r="A30" s="206" t="s">
        <v>56</v>
      </c>
      <c r="B30" s="4"/>
      <c r="C30" s="5" t="e">
        <f>SUMIFS(#REF!,#REF!,1,#REF!,2019,#REF!,"open")</f>
        <v>#REF!</v>
      </c>
      <c r="D30" s="5" t="e">
        <f>SUMIFS(#REF!,#REF!,2,#REF!,2019,#REF!,"open")</f>
        <v>#REF!</v>
      </c>
      <c r="E30" s="5" t="e">
        <f>SUMIFS(#REF!,#REF!,3,#REF!,2019,#REF!,"open")</f>
        <v>#REF!</v>
      </c>
      <c r="F30" s="5" t="e">
        <f>SUMIFS(#REF!,#REF!,4,#REF!,2019,#REF!,"open")</f>
        <v>#REF!</v>
      </c>
      <c r="G30" s="5" t="e">
        <f>SUMIFS(#REF!,#REF!,5,#REF!,2019,#REF!,"open")</f>
        <v>#REF!</v>
      </c>
      <c r="H30" s="5" t="e">
        <f>SUMIFS(#REF!,#REF!,6,#REF!,2019,#REF!,"open")</f>
        <v>#REF!</v>
      </c>
      <c r="I30" s="5" t="e">
        <f>SUMIFS(#REF!,#REF!,7,#REF!,2019,#REF!,"open")</f>
        <v>#REF!</v>
      </c>
      <c r="J30" s="5" t="e">
        <f>SUMIFS(#REF!,#REF!,8,#REF!,2019,#REF!,"open")</f>
        <v>#REF!</v>
      </c>
      <c r="K30" s="69" t="e">
        <f>SUMIFS(#REF!,#REF!,9,#REF!,2019,#REF!,"open")</f>
        <v>#REF!</v>
      </c>
      <c r="L30" s="5" t="e">
        <f>SUMIFS(#REF!,#REF!,10,#REF!,2019,#REF!,"open")</f>
        <v>#REF!</v>
      </c>
      <c r="M30" s="5" t="e">
        <f>SUMIFS(#REF!,#REF!,11,#REF!,2019,#REF!,"open")</f>
        <v>#REF!</v>
      </c>
      <c r="N30" s="5" t="e">
        <f>SUMIFS(#REF!,#REF!,12,#REF!,2019,#REF!,"open")</f>
        <v>#REF!</v>
      </c>
      <c r="O30" s="40" t="e">
        <f>SUM(C30:N30)</f>
        <v>#REF!</v>
      </c>
      <c r="Q30" s="90"/>
      <c r="R30" s="90"/>
    </row>
    <row r="31" spans="1:21" hidden="1" x14ac:dyDescent="0.4">
      <c r="A31" s="206" t="s">
        <v>56</v>
      </c>
      <c r="B31" s="4"/>
      <c r="C31" s="5" t="e">
        <f>SUMIFS(#REF!,#REF!,1,#REF!,2019,#REF!,"*",#REF!,"open")</f>
        <v>#REF!</v>
      </c>
      <c r="D31" s="5" t="e">
        <f>SUMIFS(#REF!,#REF!,2,#REF!,2019,#REF!,"*",#REF!,"open")</f>
        <v>#REF!</v>
      </c>
      <c r="E31" s="5" t="e">
        <f>SUMIFS(#REF!,#REF!,3,#REF!,2019,#REF!,"*",#REF!,"open")</f>
        <v>#REF!</v>
      </c>
      <c r="F31" s="5" t="e">
        <f>SUMIFS(#REF!,#REF!,4,#REF!,2019,#REF!,"*",#REF!,"open")</f>
        <v>#REF!</v>
      </c>
      <c r="G31" s="5" t="e">
        <f>SUMIFS(#REF!,#REF!,5,#REF!,2019,#REF!,"*",#REF!,"open")</f>
        <v>#REF!</v>
      </c>
      <c r="H31" s="5" t="e">
        <f>SUMIFS(#REF!,#REF!,6,#REF!,2019,#REF!,"*",#REF!,"open")</f>
        <v>#REF!</v>
      </c>
      <c r="I31" s="5" t="e">
        <f>SUMIFS(#REF!,#REF!,7,#REF!,2019,#REF!,"*",#REF!,"open")</f>
        <v>#REF!</v>
      </c>
      <c r="J31" s="5" t="e">
        <f>SUMIFS(#REF!,#REF!,8,#REF!,2019,#REF!,"*",#REF!,"open")</f>
        <v>#REF!</v>
      </c>
      <c r="K31" s="69" t="e">
        <f>SUMIFS(#REF!,#REF!,9,#REF!,2019,#REF!,"*",#REF!,"open")</f>
        <v>#REF!</v>
      </c>
      <c r="L31" s="5" t="e">
        <f>SUMIFS(#REF!,#REF!,10,#REF!,2019,#REF!,"*",#REF!,"open")</f>
        <v>#REF!</v>
      </c>
      <c r="M31" s="5" t="e">
        <f>SUMIFS(#REF!,#REF!,11,#REF!,2019,#REF!,"*",#REF!,"open")</f>
        <v>#REF!</v>
      </c>
      <c r="N31" s="5" t="e">
        <f>SUMIFS(#REF!,#REF!,12,#REF!,2019,#REF!,"*",#REF!,"open")</f>
        <v>#REF!</v>
      </c>
      <c r="O31" s="5" t="e">
        <f>SUM(C31:N31)</f>
        <v>#REF!</v>
      </c>
      <c r="Q31" s="90"/>
      <c r="R31" s="90"/>
    </row>
    <row r="32" spans="1:21" x14ac:dyDescent="0.4">
      <c r="A32" s="207"/>
      <c r="B32" s="311" t="s">
        <v>57</v>
      </c>
      <c r="C32" s="69">
        <f>C19-C26</f>
        <v>40920</v>
      </c>
      <c r="D32" s="69">
        <f>D19-D26+C32</f>
        <v>167395</v>
      </c>
      <c r="E32" s="69">
        <f>E19-E26+D32</f>
        <v>147820</v>
      </c>
      <c r="F32" s="69">
        <f>F19-F26+E32</f>
        <v>110958</v>
      </c>
      <c r="G32" s="69">
        <f>G19-G26+F32</f>
        <v>122208</v>
      </c>
      <c r="H32" s="79"/>
      <c r="I32" s="79"/>
      <c r="J32" s="69"/>
      <c r="K32" s="69"/>
      <c r="L32" s="182"/>
      <c r="M32" s="182"/>
      <c r="N32" s="182"/>
      <c r="O32" s="182"/>
      <c r="Q32" s="90">
        <v>20000</v>
      </c>
      <c r="R32" s="90">
        <v>40000</v>
      </c>
      <c r="S32" t="s">
        <v>183</v>
      </c>
      <c r="T32">
        <f>87-59</f>
        <v>28</v>
      </c>
      <c r="U32">
        <f>28/95</f>
        <v>0.29473684210526313</v>
      </c>
    </row>
    <row r="33" spans="1:23" s="3" customFormat="1" x14ac:dyDescent="0.4">
      <c r="A33" s="72"/>
      <c r="B33"/>
      <c r="C33" s="2"/>
      <c r="D33" s="2"/>
      <c r="E33" s="2"/>
      <c r="F33" s="2"/>
      <c r="G33" s="2"/>
      <c r="H33" s="2"/>
      <c r="I33" s="2"/>
      <c r="J33" s="2"/>
      <c r="K33" s="399"/>
      <c r="L33" s="153"/>
      <c r="M33" s="153"/>
      <c r="N33" s="153"/>
      <c r="O33"/>
      <c r="Q33" s="90"/>
      <c r="R33" s="90"/>
      <c r="S33" s="308"/>
      <c r="T33" s="125"/>
    </row>
    <row r="34" spans="1:23" s="3" customFormat="1" x14ac:dyDescent="0.4">
      <c r="A34" s="155" t="s">
        <v>59</v>
      </c>
      <c r="B34" s="250" t="s">
        <v>60</v>
      </c>
      <c r="C34" s="251">
        <f>7000+30000+87402</f>
        <v>124402</v>
      </c>
      <c r="D34" s="251">
        <f t="shared" ref="D34:K34" si="6">40000+87402</f>
        <v>127402</v>
      </c>
      <c r="E34" s="251">
        <f t="shared" si="6"/>
        <v>127402</v>
      </c>
      <c r="F34" s="251">
        <f t="shared" si="6"/>
        <v>127402</v>
      </c>
      <c r="G34" s="251">
        <f t="shared" si="6"/>
        <v>127402</v>
      </c>
      <c r="H34" s="251">
        <f t="shared" si="6"/>
        <v>127402</v>
      </c>
      <c r="I34" s="251">
        <f t="shared" si="6"/>
        <v>127402</v>
      </c>
      <c r="J34" s="251">
        <f t="shared" si="6"/>
        <v>127402</v>
      </c>
      <c r="K34" s="251">
        <f t="shared" si="6"/>
        <v>127402</v>
      </c>
      <c r="L34" s="251">
        <v>135079</v>
      </c>
      <c r="M34" s="251">
        <v>135079</v>
      </c>
      <c r="N34" s="251">
        <v>135079</v>
      </c>
      <c r="O34" s="265">
        <f>SUM(C34:N34)</f>
        <v>1548855</v>
      </c>
      <c r="Q34" s="90"/>
      <c r="R34" s="90"/>
      <c r="S34" s="124"/>
      <c r="T34" s="125"/>
    </row>
    <row r="35" spans="1:23" s="3" customFormat="1" x14ac:dyDescent="0.4">
      <c r="A35" s="155" t="s">
        <v>61</v>
      </c>
      <c r="B35" s="250" t="s">
        <v>62</v>
      </c>
      <c r="C35" s="251">
        <v>75924</v>
      </c>
      <c r="D35" s="251">
        <v>78924</v>
      </c>
      <c r="E35" s="251">
        <v>78925</v>
      </c>
      <c r="F35" s="251">
        <v>78926</v>
      </c>
      <c r="G35" s="251">
        <v>78927</v>
      </c>
      <c r="H35" s="251">
        <v>78928</v>
      </c>
      <c r="I35" s="251">
        <v>78929</v>
      </c>
      <c r="J35" s="251">
        <v>78930</v>
      </c>
      <c r="K35" s="251">
        <v>78931</v>
      </c>
      <c r="L35" s="251">
        <v>78924</v>
      </c>
      <c r="M35" s="251">
        <v>78924</v>
      </c>
      <c r="N35" s="251">
        <v>78924</v>
      </c>
      <c r="O35" s="251">
        <f>SUM(C35:N35)</f>
        <v>944116</v>
      </c>
      <c r="Q35" s="90">
        <f>SUM(Q27:Q33)</f>
        <v>78924</v>
      </c>
      <c r="R35" s="90">
        <f>SUM(R27:R33)</f>
        <v>135079</v>
      </c>
      <c r="S35" s="124"/>
      <c r="T35" s="125"/>
    </row>
    <row r="36" spans="1:23" s="3" customFormat="1" x14ac:dyDescent="0.4">
      <c r="A36" s="155" t="s">
        <v>63</v>
      </c>
      <c r="B36" s="252" t="s">
        <v>64</v>
      </c>
      <c r="C36" s="251">
        <f t="shared" ref="C36:N36" si="7">C34-C35</f>
        <v>48478</v>
      </c>
      <c r="D36" s="251">
        <f t="shared" si="7"/>
        <v>48478</v>
      </c>
      <c r="E36" s="251">
        <f t="shared" si="7"/>
        <v>48477</v>
      </c>
      <c r="F36" s="251">
        <f t="shared" si="7"/>
        <v>48476</v>
      </c>
      <c r="G36" s="251">
        <f t="shared" si="7"/>
        <v>48475</v>
      </c>
      <c r="H36" s="251">
        <f t="shared" si="7"/>
        <v>48474</v>
      </c>
      <c r="I36" s="251">
        <f t="shared" si="7"/>
        <v>48473</v>
      </c>
      <c r="J36" s="251">
        <f t="shared" si="7"/>
        <v>48472</v>
      </c>
      <c r="K36" s="251">
        <f t="shared" si="7"/>
        <v>48471</v>
      </c>
      <c r="L36" s="251">
        <f t="shared" si="7"/>
        <v>56155</v>
      </c>
      <c r="M36" s="251">
        <f t="shared" si="7"/>
        <v>56155</v>
      </c>
      <c r="N36" s="251">
        <f t="shared" si="7"/>
        <v>56155</v>
      </c>
      <c r="O36" s="251">
        <f>SUM(C36:N36)</f>
        <v>604739</v>
      </c>
      <c r="Q36" s="150"/>
      <c r="R36" s="150"/>
      <c r="S36" s="124"/>
      <c r="T36" s="125"/>
    </row>
    <row r="37" spans="1:23" s="3" customFormat="1" x14ac:dyDescent="0.4">
      <c r="A37" s="72"/>
      <c r="B37" s="252" t="s">
        <v>65</v>
      </c>
      <c r="C37" s="363">
        <f t="shared" ref="C37:O37" si="8">C36/C34</f>
        <v>0.38968826867735246</v>
      </c>
      <c r="D37" s="363">
        <f t="shared" si="8"/>
        <v>0.38051207987315738</v>
      </c>
      <c r="E37" s="363">
        <f t="shared" si="8"/>
        <v>0.38050423070281469</v>
      </c>
      <c r="F37" s="363">
        <f t="shared" si="8"/>
        <v>0.38049638153247201</v>
      </c>
      <c r="G37" s="363">
        <f t="shared" si="8"/>
        <v>0.38048853236212932</v>
      </c>
      <c r="H37" s="363">
        <f t="shared" si="8"/>
        <v>0.38048068319178663</v>
      </c>
      <c r="I37" s="363">
        <f t="shared" si="8"/>
        <v>0.38047283402144394</v>
      </c>
      <c r="J37" s="363">
        <f t="shared" si="8"/>
        <v>0.38046498485110125</v>
      </c>
      <c r="K37" s="363">
        <f t="shared" si="8"/>
        <v>0.38045713568075856</v>
      </c>
      <c r="L37" s="363">
        <f t="shared" si="8"/>
        <v>0.41571968995920905</v>
      </c>
      <c r="M37" s="363">
        <f t="shared" si="8"/>
        <v>0.41571968995920905</v>
      </c>
      <c r="N37" s="363">
        <f t="shared" si="8"/>
        <v>0.41571968995920905</v>
      </c>
      <c r="O37" s="253">
        <f t="shared" si="8"/>
        <v>0.39044261728825486</v>
      </c>
      <c r="Q37" s="124">
        <f>R35-Q35</f>
        <v>56155</v>
      </c>
      <c r="R37" s="386">
        <f>Q37/R35</f>
        <v>0.41571968995920905</v>
      </c>
      <c r="S37" s="124"/>
      <c r="T37" s="125"/>
    </row>
    <row r="38" spans="1:23" s="123" customFormat="1" x14ac:dyDescent="0.4">
      <c r="A38" s="122"/>
      <c r="B38" s="219" t="s">
        <v>66</v>
      </c>
      <c r="C38" s="221">
        <f t="shared" ref="C38:N38" si="9">C3</f>
        <v>348558</v>
      </c>
      <c r="D38" s="221">
        <f t="shared" si="9"/>
        <v>347041</v>
      </c>
      <c r="E38" s="221">
        <f t="shared" si="9"/>
        <v>343646</v>
      </c>
      <c r="F38" s="221">
        <f t="shared" si="9"/>
        <v>360526</v>
      </c>
      <c r="G38" s="221">
        <f t="shared" si="9"/>
        <v>360034</v>
      </c>
      <c r="H38" s="221">
        <f t="shared" si="9"/>
        <v>357860</v>
      </c>
      <c r="I38" s="221">
        <f t="shared" si="9"/>
        <v>356659</v>
      </c>
      <c r="J38" s="221">
        <f t="shared" si="9"/>
        <v>355372</v>
      </c>
      <c r="K38" s="221">
        <f t="shared" si="9"/>
        <v>359721</v>
      </c>
      <c r="L38" s="221">
        <f t="shared" si="9"/>
        <v>368176</v>
      </c>
      <c r="M38" s="221">
        <f t="shared" si="9"/>
        <v>368348</v>
      </c>
      <c r="N38" s="221">
        <f t="shared" si="9"/>
        <v>373130</v>
      </c>
      <c r="O38" s="220">
        <f>SUM(C38:N38)</f>
        <v>4299071</v>
      </c>
      <c r="P38" s="3"/>
      <c r="Q38" s="58"/>
      <c r="R38" s="3"/>
      <c r="S38" s="3"/>
      <c r="T38" s="3"/>
      <c r="U38" s="3"/>
      <c r="V38" s="3"/>
      <c r="W38" s="3"/>
    </row>
    <row r="39" spans="1:23" s="123" customFormat="1" x14ac:dyDescent="0.4">
      <c r="A39" s="122"/>
      <c r="B39" s="219" t="s">
        <v>67</v>
      </c>
      <c r="C39" s="221">
        <v>113922</v>
      </c>
      <c r="D39" s="221">
        <v>125890</v>
      </c>
      <c r="E39" s="221">
        <v>115839</v>
      </c>
      <c r="F39" s="221">
        <v>115682</v>
      </c>
      <c r="G39" s="221">
        <v>117134</v>
      </c>
      <c r="H39" s="221">
        <v>117998</v>
      </c>
      <c r="I39" s="221">
        <v>119399</v>
      </c>
      <c r="J39" s="221">
        <v>117184</v>
      </c>
      <c r="K39" s="276">
        <v>118167</v>
      </c>
      <c r="L39" s="276">
        <v>122089</v>
      </c>
      <c r="M39" s="220">
        <v>122089</v>
      </c>
      <c r="N39" s="220">
        <v>123350</v>
      </c>
      <c r="O39" s="220">
        <f>SUM(C39:N39)</f>
        <v>1428743</v>
      </c>
      <c r="P39" s="3"/>
      <c r="Q39" s="103"/>
      <c r="R39" s="3"/>
      <c r="S39" s="3"/>
      <c r="T39" s="3"/>
      <c r="U39" s="3"/>
      <c r="V39" s="3"/>
      <c r="W39" s="3"/>
    </row>
    <row r="40" spans="1:23" s="123" customFormat="1" x14ac:dyDescent="0.4">
      <c r="A40" s="155"/>
      <c r="B40" s="222" t="s">
        <v>68</v>
      </c>
      <c r="C40" s="221">
        <f t="shared" ref="C40:N40" si="10">C38-C39</f>
        <v>234636</v>
      </c>
      <c r="D40" s="221">
        <f t="shared" si="10"/>
        <v>221151</v>
      </c>
      <c r="E40" s="221">
        <f t="shared" si="10"/>
        <v>227807</v>
      </c>
      <c r="F40" s="221">
        <f t="shared" si="10"/>
        <v>244844</v>
      </c>
      <c r="G40" s="221">
        <f t="shared" si="10"/>
        <v>242900</v>
      </c>
      <c r="H40" s="221">
        <f t="shared" si="10"/>
        <v>239862</v>
      </c>
      <c r="I40" s="221">
        <f t="shared" si="10"/>
        <v>237260</v>
      </c>
      <c r="J40" s="221">
        <f t="shared" si="10"/>
        <v>238188</v>
      </c>
      <c r="K40" s="276">
        <f t="shared" si="10"/>
        <v>241554</v>
      </c>
      <c r="L40" s="221">
        <f t="shared" si="10"/>
        <v>246087</v>
      </c>
      <c r="M40" s="221">
        <f t="shared" si="10"/>
        <v>246259</v>
      </c>
      <c r="N40" s="221">
        <f t="shared" si="10"/>
        <v>249780</v>
      </c>
      <c r="O40" s="221">
        <f>SUM(C40:N40)</f>
        <v>2870328</v>
      </c>
      <c r="P40" s="58"/>
      <c r="Q40" s="58"/>
      <c r="R40" s="3"/>
      <c r="S40" s="3"/>
      <c r="T40" s="3"/>
      <c r="U40" s="3"/>
      <c r="V40" s="3"/>
      <c r="W40" s="3"/>
    </row>
    <row r="41" spans="1:23" s="123" customFormat="1" x14ac:dyDescent="0.4">
      <c r="A41" s="155"/>
      <c r="B41" s="222" t="s">
        <v>69</v>
      </c>
      <c r="C41" s="364">
        <f t="shared" ref="C41:O41" si="11">C40/C38</f>
        <v>0.67316199886389061</v>
      </c>
      <c r="D41" s="364">
        <f t="shared" si="11"/>
        <v>0.637247472200691</v>
      </c>
      <c r="E41" s="364">
        <f t="shared" si="11"/>
        <v>0.66291183368931983</v>
      </c>
      <c r="F41" s="374">
        <f t="shared" si="11"/>
        <v>0.6791299379240332</v>
      </c>
      <c r="G41" s="374">
        <f t="shared" si="11"/>
        <v>0.67465850447457743</v>
      </c>
      <c r="H41" s="374">
        <f t="shared" si="11"/>
        <v>0.67026770245347345</v>
      </c>
      <c r="I41" s="374">
        <f t="shared" si="11"/>
        <v>0.66522925259141086</v>
      </c>
      <c r="J41" s="374">
        <f t="shared" si="11"/>
        <v>0.67024976644192569</v>
      </c>
      <c r="K41" s="277">
        <f t="shared" si="11"/>
        <v>0.67150374873860574</v>
      </c>
      <c r="L41" s="374">
        <f t="shared" si="11"/>
        <v>0.6683950067359089</v>
      </c>
      <c r="M41" s="229">
        <f t="shared" si="11"/>
        <v>0.66854984959874897</v>
      </c>
      <c r="N41" s="229">
        <f t="shared" si="11"/>
        <v>0.66941816525071696</v>
      </c>
      <c r="O41" s="223">
        <f t="shared" si="11"/>
        <v>0.66766238566425162</v>
      </c>
      <c r="P41" s="58"/>
      <c r="Q41" s="3"/>
      <c r="R41" s="3"/>
      <c r="S41" s="3"/>
      <c r="T41" s="3"/>
      <c r="U41" s="3"/>
      <c r="V41" s="3"/>
      <c r="W41" s="3"/>
    </row>
    <row r="42" spans="1:23" s="3" customFormat="1" x14ac:dyDescent="0.4">
      <c r="A42" s="122"/>
      <c r="B42" s="208" t="s">
        <v>71</v>
      </c>
      <c r="C42" s="212">
        <f t="shared" ref="C42:N42" si="12">C10</f>
        <v>142362</v>
      </c>
      <c r="D42" s="212">
        <f t="shared" si="12"/>
        <v>229434</v>
      </c>
      <c r="E42" s="212">
        <f t="shared" si="12"/>
        <v>86779</v>
      </c>
      <c r="F42" s="212">
        <f t="shared" si="12"/>
        <v>77612</v>
      </c>
      <c r="G42" s="212">
        <f t="shared" si="12"/>
        <v>126216</v>
      </c>
      <c r="H42" s="212">
        <f t="shared" si="12"/>
        <v>56715</v>
      </c>
      <c r="I42" s="212">
        <f t="shared" si="12"/>
        <v>95800</v>
      </c>
      <c r="J42" s="212">
        <f t="shared" si="12"/>
        <v>81425</v>
      </c>
      <c r="K42" s="212">
        <f t="shared" si="12"/>
        <v>133285</v>
      </c>
      <c r="L42" s="212">
        <f t="shared" si="12"/>
        <v>151749</v>
      </c>
      <c r="M42" s="209">
        <f t="shared" si="12"/>
        <v>54579</v>
      </c>
      <c r="N42" s="209">
        <f t="shared" si="12"/>
        <v>65199</v>
      </c>
      <c r="O42" s="210">
        <f>SUM(C42:N42)</f>
        <v>1301155</v>
      </c>
      <c r="P42" s="58"/>
    </row>
    <row r="43" spans="1:23" s="3" customFormat="1" x14ac:dyDescent="0.4">
      <c r="A43" s="122"/>
      <c r="B43" s="208" t="s">
        <v>72</v>
      </c>
      <c r="C43" s="212">
        <v>108489</v>
      </c>
      <c r="D43" s="212">
        <v>126181</v>
      </c>
      <c r="E43" s="212">
        <v>28767</v>
      </c>
      <c r="F43" s="212">
        <v>42209</v>
      </c>
      <c r="G43" s="212">
        <v>76947</v>
      </c>
      <c r="H43" s="212">
        <v>37489</v>
      </c>
      <c r="I43" s="212">
        <v>52584</v>
      </c>
      <c r="J43" s="212">
        <v>55020</v>
      </c>
      <c r="K43" s="279">
        <v>96780</v>
      </c>
      <c r="L43" s="212">
        <v>87705</v>
      </c>
      <c r="M43" s="209">
        <v>31928</v>
      </c>
      <c r="N43" s="209">
        <v>39707</v>
      </c>
      <c r="O43" s="210">
        <f>SUM(C43:N43)</f>
        <v>783806</v>
      </c>
      <c r="P43" s="58"/>
    </row>
    <row r="44" spans="1:23" s="3" customFormat="1" x14ac:dyDescent="0.4">
      <c r="A44" s="155"/>
      <c r="B44" s="211" t="s">
        <v>73</v>
      </c>
      <c r="C44" s="212">
        <f>C42-C43</f>
        <v>33873</v>
      </c>
      <c r="D44" s="212">
        <f>D42-D43</f>
        <v>103253</v>
      </c>
      <c r="E44" s="212">
        <f>E42-E43</f>
        <v>58012</v>
      </c>
      <c r="F44" s="212">
        <v>34671</v>
      </c>
      <c r="G44" s="212">
        <f t="shared" ref="G44:N44" si="13">G42-G43</f>
        <v>49269</v>
      </c>
      <c r="H44" s="212">
        <f t="shared" si="13"/>
        <v>19226</v>
      </c>
      <c r="I44" s="212">
        <f t="shared" si="13"/>
        <v>43216</v>
      </c>
      <c r="J44" s="212">
        <f t="shared" si="13"/>
        <v>26405</v>
      </c>
      <c r="K44" s="279">
        <f t="shared" si="13"/>
        <v>36505</v>
      </c>
      <c r="L44" s="212">
        <f t="shared" si="13"/>
        <v>64044</v>
      </c>
      <c r="M44" s="212">
        <f t="shared" si="13"/>
        <v>22651</v>
      </c>
      <c r="N44" s="212">
        <f t="shared" si="13"/>
        <v>25492</v>
      </c>
      <c r="O44" s="213">
        <f>SUM(C44:N44)</f>
        <v>516617</v>
      </c>
      <c r="P44" s="58"/>
    </row>
    <row r="45" spans="1:23" s="3" customFormat="1" x14ac:dyDescent="0.4">
      <c r="A45" s="155"/>
      <c r="B45" s="211" t="s">
        <v>74</v>
      </c>
      <c r="C45" s="365">
        <f t="shared" ref="C45:O45" si="14">C44/C42</f>
        <v>0.23793568508450288</v>
      </c>
      <c r="D45" s="365">
        <f t="shared" si="14"/>
        <v>0.45003356084974327</v>
      </c>
      <c r="E45" s="365">
        <f t="shared" si="14"/>
        <v>0.6685027483607785</v>
      </c>
      <c r="F45" s="365">
        <f t="shared" si="14"/>
        <v>0.44672215636757201</v>
      </c>
      <c r="G45" s="365">
        <f t="shared" si="14"/>
        <v>0.39035463015782468</v>
      </c>
      <c r="H45" s="365">
        <f t="shared" si="14"/>
        <v>0.3389932116723971</v>
      </c>
      <c r="I45" s="365">
        <f t="shared" si="14"/>
        <v>0.45110647181628394</v>
      </c>
      <c r="J45" s="249">
        <f t="shared" si="14"/>
        <v>0.32428615290144303</v>
      </c>
      <c r="K45" s="249">
        <f t="shared" si="14"/>
        <v>0.2738867839591852</v>
      </c>
      <c r="L45" s="365">
        <f t="shared" si="14"/>
        <v>0.42203902496886303</v>
      </c>
      <c r="M45" s="214">
        <f t="shared" si="14"/>
        <v>0.41501310027666316</v>
      </c>
      <c r="N45" s="214">
        <f t="shared" si="14"/>
        <v>0.3909875918342306</v>
      </c>
      <c r="O45" s="214">
        <f t="shared" si="14"/>
        <v>0.39704493315554257</v>
      </c>
      <c r="P45" s="58"/>
      <c r="Q45" s="188"/>
    </row>
    <row r="46" spans="1:23" s="3" customFormat="1" x14ac:dyDescent="0.4">
      <c r="A46" s="155"/>
      <c r="B46" s="122" t="s">
        <v>76</v>
      </c>
      <c r="C46" s="366"/>
      <c r="D46" s="366"/>
      <c r="E46" s="366"/>
      <c r="F46" s="366"/>
      <c r="G46" s="366"/>
      <c r="H46" s="366"/>
      <c r="I46" s="366"/>
      <c r="J46" s="366"/>
      <c r="K46" s="400"/>
      <c r="L46" s="366"/>
      <c r="M46" s="264"/>
      <c r="N46" s="264"/>
      <c r="O46" s="201"/>
      <c r="P46" s="58"/>
    </row>
    <row r="47" spans="1:23" s="154" customFormat="1" ht="15" thickBot="1" x14ac:dyDescent="0.45">
      <c r="A47" s="122"/>
      <c r="B47" s="196" t="s">
        <v>77</v>
      </c>
      <c r="C47" s="375">
        <f t="shared" ref="C47:N47" si="15">C38+C42</f>
        <v>490920</v>
      </c>
      <c r="D47" s="375">
        <f t="shared" si="15"/>
        <v>576475</v>
      </c>
      <c r="E47" s="375">
        <f t="shared" si="15"/>
        <v>430425</v>
      </c>
      <c r="F47" s="375">
        <f t="shared" si="15"/>
        <v>438138</v>
      </c>
      <c r="G47" s="375">
        <f t="shared" si="15"/>
        <v>486250</v>
      </c>
      <c r="H47" s="375">
        <f t="shared" si="15"/>
        <v>414575</v>
      </c>
      <c r="I47" s="375">
        <f t="shared" si="15"/>
        <v>452459</v>
      </c>
      <c r="J47" s="383">
        <f t="shared" si="15"/>
        <v>436797</v>
      </c>
      <c r="K47" s="401">
        <f t="shared" si="15"/>
        <v>493006</v>
      </c>
      <c r="L47" s="383">
        <f t="shared" si="15"/>
        <v>519925</v>
      </c>
      <c r="M47" s="383">
        <f t="shared" si="15"/>
        <v>422927</v>
      </c>
      <c r="N47" s="383">
        <f t="shared" si="15"/>
        <v>438329</v>
      </c>
      <c r="O47" s="198">
        <f>SUM(C47:N47)</f>
        <v>5600226</v>
      </c>
      <c r="P47" s="58"/>
      <c r="Q47" s="3"/>
      <c r="R47" s="3"/>
      <c r="S47" s="3"/>
      <c r="T47" s="3"/>
      <c r="U47" s="3"/>
      <c r="V47" s="3"/>
      <c r="W47" s="3"/>
    </row>
    <row r="48" spans="1:23" s="154" customFormat="1" ht="15" thickTop="1" x14ac:dyDescent="0.4">
      <c r="A48" s="122"/>
      <c r="B48" s="122" t="s">
        <v>78</v>
      </c>
      <c r="C48" s="2">
        <f>C39+C43</f>
        <v>222411</v>
      </c>
      <c r="D48" s="2">
        <f>D39+D43</f>
        <v>252071</v>
      </c>
      <c r="E48" s="2">
        <f>E39+E43</f>
        <v>144606</v>
      </c>
      <c r="F48" s="2">
        <f>F39+F43</f>
        <v>157891</v>
      </c>
      <c r="G48" s="2">
        <f t="shared" ref="G48:N48" si="16">G39+G43+G46</f>
        <v>194081</v>
      </c>
      <c r="H48" s="2">
        <f t="shared" si="16"/>
        <v>155487</v>
      </c>
      <c r="I48" s="2">
        <f t="shared" si="16"/>
        <v>171983</v>
      </c>
      <c r="J48" s="2">
        <f t="shared" si="16"/>
        <v>172204</v>
      </c>
      <c r="K48" s="158">
        <f t="shared" si="16"/>
        <v>214947</v>
      </c>
      <c r="L48" s="2">
        <f t="shared" si="16"/>
        <v>209794</v>
      </c>
      <c r="M48" s="58">
        <f t="shared" si="16"/>
        <v>154017</v>
      </c>
      <c r="N48" s="58">
        <f t="shared" si="16"/>
        <v>163057</v>
      </c>
      <c r="O48" s="152">
        <f>SUM(C48:N48)</f>
        <v>2212549</v>
      </c>
      <c r="P48" s="58"/>
      <c r="Q48" s="3">
        <v>5</v>
      </c>
      <c r="R48" s="3"/>
      <c r="S48" s="3"/>
      <c r="T48" s="3"/>
      <c r="U48" s="3"/>
      <c r="V48" s="3"/>
      <c r="W48" s="3"/>
    </row>
    <row r="49" spans="1:23" s="157" customFormat="1" x14ac:dyDescent="0.4">
      <c r="A49" s="156"/>
      <c r="B49" s="190" t="s">
        <v>79</v>
      </c>
      <c r="C49" s="358">
        <f t="shared" ref="C49:N49" si="17">C47-C48</f>
        <v>268509</v>
      </c>
      <c r="D49" s="358">
        <f t="shared" si="17"/>
        <v>324404</v>
      </c>
      <c r="E49" s="358">
        <f t="shared" si="17"/>
        <v>285819</v>
      </c>
      <c r="F49" s="358">
        <f t="shared" si="17"/>
        <v>280247</v>
      </c>
      <c r="G49" s="358">
        <f t="shared" si="17"/>
        <v>292169</v>
      </c>
      <c r="H49" s="358">
        <f t="shared" si="17"/>
        <v>259088</v>
      </c>
      <c r="I49" s="358">
        <f t="shared" si="17"/>
        <v>280476</v>
      </c>
      <c r="J49" s="358">
        <f t="shared" si="17"/>
        <v>264593</v>
      </c>
      <c r="K49" s="402">
        <f t="shared" si="17"/>
        <v>278059</v>
      </c>
      <c r="L49" s="358">
        <f t="shared" si="17"/>
        <v>310131</v>
      </c>
      <c r="M49" s="358">
        <f t="shared" si="17"/>
        <v>268910</v>
      </c>
      <c r="N49" s="358">
        <f t="shared" si="17"/>
        <v>275272</v>
      </c>
      <c r="O49" s="192">
        <f>SUM(C49:N49)</f>
        <v>3387677</v>
      </c>
      <c r="P49" s="199"/>
      <c r="Q49" s="200"/>
      <c r="R49" s="200"/>
      <c r="S49" s="200"/>
      <c r="T49" s="200"/>
      <c r="U49" s="200"/>
      <c r="V49" s="200"/>
      <c r="W49" s="200"/>
    </row>
    <row r="50" spans="1:23" s="200" customFormat="1" x14ac:dyDescent="0.4">
      <c r="A50" s="156"/>
      <c r="B50" s="156" t="s">
        <v>80</v>
      </c>
      <c r="C50" s="359">
        <f t="shared" ref="C50:O50" si="18">C49/C47</f>
        <v>0.54695062331948174</v>
      </c>
      <c r="D50" s="359">
        <f t="shared" si="18"/>
        <v>0.56273732598985216</v>
      </c>
      <c r="E50" s="359">
        <f t="shared" si="18"/>
        <v>0.66403903119010277</v>
      </c>
      <c r="F50" s="359">
        <f t="shared" si="18"/>
        <v>0.63963180550420184</v>
      </c>
      <c r="G50" s="359">
        <f t="shared" si="18"/>
        <v>0.60086169665809763</v>
      </c>
      <c r="H50" s="359">
        <f t="shared" si="18"/>
        <v>0.62494844117469694</v>
      </c>
      <c r="I50" s="359">
        <f t="shared" si="18"/>
        <v>0.61989263115553006</v>
      </c>
      <c r="J50" s="359">
        <f t="shared" si="18"/>
        <v>0.60575736554967186</v>
      </c>
      <c r="K50" s="384">
        <f t="shared" si="18"/>
        <v>0.56400733459633356</v>
      </c>
      <c r="L50" s="359">
        <f t="shared" si="18"/>
        <v>0.59649180170216853</v>
      </c>
      <c r="M50" s="359">
        <f t="shared" si="18"/>
        <v>0.6358307698491702</v>
      </c>
      <c r="N50" s="359">
        <f t="shared" si="18"/>
        <v>0.62800316657122845</v>
      </c>
      <c r="O50" s="236">
        <f t="shared" si="18"/>
        <v>0.60491790867011441</v>
      </c>
      <c r="P50" s="199"/>
    </row>
    <row r="51" spans="1:23" s="3" customFormat="1" x14ac:dyDescent="0.4">
      <c r="A51" s="155"/>
      <c r="B51" s="242" t="s">
        <v>81</v>
      </c>
      <c r="C51" s="243">
        <v>240000</v>
      </c>
      <c r="D51" s="243">
        <v>240000</v>
      </c>
      <c r="E51" s="243">
        <v>240000</v>
      </c>
      <c r="F51" s="243">
        <v>240000</v>
      </c>
      <c r="G51" s="243">
        <v>240000</v>
      </c>
      <c r="H51" s="243">
        <v>240000</v>
      </c>
      <c r="I51" s="243">
        <v>240000</v>
      </c>
      <c r="J51" s="243">
        <v>240000</v>
      </c>
      <c r="K51" s="243">
        <v>240000</v>
      </c>
      <c r="L51" s="243">
        <v>245000</v>
      </c>
      <c r="M51" s="243">
        <v>245000</v>
      </c>
      <c r="N51" s="243">
        <v>245000</v>
      </c>
      <c r="O51" s="244">
        <f>SUM(C51:N51)</f>
        <v>2895000</v>
      </c>
      <c r="P51" s="58"/>
    </row>
    <row r="52" spans="1:23" x14ac:dyDescent="0.4">
      <c r="A52" s="155"/>
      <c r="B52" s="155" t="s">
        <v>184</v>
      </c>
      <c r="C52" s="158">
        <f t="shared" ref="C52:N52" si="19">C49-C51</f>
        <v>28509</v>
      </c>
      <c r="D52" s="158">
        <f t="shared" si="19"/>
        <v>84404</v>
      </c>
      <c r="E52" s="158">
        <f t="shared" si="19"/>
        <v>45819</v>
      </c>
      <c r="F52" s="158">
        <f t="shared" si="19"/>
        <v>40247</v>
      </c>
      <c r="G52" s="158">
        <f t="shared" si="19"/>
        <v>52169</v>
      </c>
      <c r="H52" s="158">
        <f t="shared" si="19"/>
        <v>19088</v>
      </c>
      <c r="I52" s="158">
        <f t="shared" si="19"/>
        <v>40476</v>
      </c>
      <c r="J52" s="158">
        <f t="shared" si="19"/>
        <v>24593</v>
      </c>
      <c r="K52" s="158">
        <f t="shared" si="19"/>
        <v>38059</v>
      </c>
      <c r="L52" s="158">
        <f t="shared" si="19"/>
        <v>65131</v>
      </c>
      <c r="M52" s="158">
        <f t="shared" si="19"/>
        <v>23910</v>
      </c>
      <c r="N52" s="158">
        <f t="shared" si="19"/>
        <v>30272</v>
      </c>
      <c r="O52" s="178">
        <f>SUM(C52:N52)</f>
        <v>492677</v>
      </c>
      <c r="P52" s="143"/>
    </row>
    <row r="53" spans="1:23" x14ac:dyDescent="0.4">
      <c r="A53" s="155"/>
      <c r="B53" s="155" t="s">
        <v>185</v>
      </c>
      <c r="C53" s="2"/>
      <c r="D53" s="2"/>
      <c r="E53" s="2"/>
      <c r="F53" s="2"/>
      <c r="G53" s="2"/>
      <c r="H53" s="2"/>
      <c r="I53" s="2"/>
      <c r="L53" s="58"/>
      <c r="M53" s="3"/>
      <c r="N53" s="3"/>
      <c r="O53" s="58"/>
      <c r="P53" s="143"/>
    </row>
    <row r="54" spans="1:23" ht="6.75" customHeight="1" x14ac:dyDescent="0.4">
      <c r="A54" s="237"/>
      <c r="B54" s="238"/>
      <c r="C54" s="360"/>
      <c r="D54" s="360"/>
      <c r="E54" s="360"/>
      <c r="F54" s="360"/>
      <c r="G54" s="360"/>
      <c r="H54" s="360"/>
      <c r="I54" s="239"/>
      <c r="J54" s="385"/>
      <c r="K54" s="403"/>
      <c r="L54" s="240"/>
      <c r="M54" s="240"/>
      <c r="N54" s="240"/>
      <c r="O54" s="239"/>
      <c r="P54" s="143"/>
    </row>
    <row r="55" spans="1:23" ht="22.5" customHeight="1" x14ac:dyDescent="0.4">
      <c r="A55" s="155"/>
      <c r="B55" s="122" t="s">
        <v>186</v>
      </c>
      <c r="C55" s="158">
        <v>240000</v>
      </c>
      <c r="D55" s="158">
        <v>240000</v>
      </c>
      <c r="E55" s="158">
        <v>240000</v>
      </c>
      <c r="F55" s="158">
        <v>240000</v>
      </c>
      <c r="G55" s="158">
        <v>240000</v>
      </c>
      <c r="H55" s="158">
        <v>240000</v>
      </c>
      <c r="I55" s="158">
        <v>240000</v>
      </c>
      <c r="J55" s="158">
        <v>240000</v>
      </c>
      <c r="K55" s="158">
        <v>240000</v>
      </c>
      <c r="L55" s="158">
        <v>240000</v>
      </c>
      <c r="M55" s="158">
        <v>240000</v>
      </c>
      <c r="N55" s="158">
        <v>240000</v>
      </c>
      <c r="O55" s="158"/>
      <c r="P55" s="1"/>
    </row>
    <row r="56" spans="1:23" ht="18" customHeight="1" x14ac:dyDescent="0.4">
      <c r="A56" s="155"/>
      <c r="B56" s="122" t="s">
        <v>187</v>
      </c>
      <c r="C56" s="304">
        <f t="shared" ref="C56:N56" si="20">C49-C55</f>
        <v>28509</v>
      </c>
      <c r="D56" s="304">
        <f t="shared" si="20"/>
        <v>84404</v>
      </c>
      <c r="E56" s="304">
        <f t="shared" si="20"/>
        <v>45819</v>
      </c>
      <c r="F56" s="304">
        <f t="shared" si="20"/>
        <v>40247</v>
      </c>
      <c r="G56" s="304">
        <f t="shared" si="20"/>
        <v>52169</v>
      </c>
      <c r="H56" s="304">
        <f t="shared" si="20"/>
        <v>19088</v>
      </c>
      <c r="I56" s="304">
        <f t="shared" si="20"/>
        <v>40476</v>
      </c>
      <c r="J56" s="304">
        <f t="shared" si="20"/>
        <v>24593</v>
      </c>
      <c r="K56" s="304">
        <f t="shared" si="20"/>
        <v>38059</v>
      </c>
      <c r="L56" s="304">
        <f t="shared" si="20"/>
        <v>70131</v>
      </c>
      <c r="M56" s="304">
        <f t="shared" si="20"/>
        <v>28910</v>
      </c>
      <c r="N56" s="305">
        <f t="shared" si="20"/>
        <v>35272</v>
      </c>
      <c r="O56" s="305">
        <f>SUM(C56:N56)</f>
        <v>507677</v>
      </c>
      <c r="P56" s="1"/>
    </row>
    <row r="57" spans="1:23" ht="18" customHeight="1" x14ac:dyDescent="0.4">
      <c r="A57" s="155"/>
      <c r="B57" s="122" t="s">
        <v>188</v>
      </c>
      <c r="C57" s="405">
        <f t="shared" ref="C57:N57" si="21">C56/C47</f>
        <v>5.807259838670252E-2</v>
      </c>
      <c r="D57" s="464">
        <f t="shared" si="21"/>
        <v>0.14641398152565158</v>
      </c>
      <c r="E57" s="464">
        <f t="shared" si="21"/>
        <v>0.10645060115002614</v>
      </c>
      <c r="F57" s="405">
        <f t="shared" si="21"/>
        <v>9.1859185918591865E-2</v>
      </c>
      <c r="G57" s="464">
        <f t="shared" si="21"/>
        <v>0.10728843187660668</v>
      </c>
      <c r="H57" s="405">
        <f t="shared" si="21"/>
        <v>4.6042332509196163E-2</v>
      </c>
      <c r="I57" s="405">
        <f t="shared" si="21"/>
        <v>8.945782932818222E-2</v>
      </c>
      <c r="J57" s="405">
        <f t="shared" si="21"/>
        <v>5.6303042374375285E-2</v>
      </c>
      <c r="K57" s="405">
        <f t="shared" si="21"/>
        <v>7.7197843433954152E-2</v>
      </c>
      <c r="L57" s="464">
        <f t="shared" si="21"/>
        <v>0.13488676251382412</v>
      </c>
      <c r="M57" s="405">
        <f t="shared" si="21"/>
        <v>6.8356950490273738E-2</v>
      </c>
      <c r="N57" s="405">
        <f t="shared" si="21"/>
        <v>8.04692365780042E-2</v>
      </c>
      <c r="O57" s="299"/>
      <c r="P57" s="1"/>
    </row>
    <row r="58" spans="1:23" x14ac:dyDescent="0.4">
      <c r="A58" s="155"/>
      <c r="B58" s="122" t="s">
        <v>84</v>
      </c>
      <c r="C58" s="158">
        <f t="shared" ref="C58:N58" si="22">C19*0.18</f>
        <v>88365.599999999991</v>
      </c>
      <c r="D58" s="158">
        <f t="shared" si="22"/>
        <v>103765.5</v>
      </c>
      <c r="E58" s="158">
        <f t="shared" si="22"/>
        <v>77476.5</v>
      </c>
      <c r="F58" s="158">
        <f t="shared" si="22"/>
        <v>78864.84</v>
      </c>
      <c r="G58" s="158">
        <f t="shared" si="22"/>
        <v>87525</v>
      </c>
      <c r="H58" s="158">
        <f t="shared" si="22"/>
        <v>74623.5</v>
      </c>
      <c r="I58" s="158">
        <f t="shared" si="22"/>
        <v>81442.62</v>
      </c>
      <c r="J58" s="158">
        <f t="shared" si="22"/>
        <v>78623.459999999992</v>
      </c>
      <c r="K58" s="158">
        <f t="shared" si="22"/>
        <v>88741.08</v>
      </c>
      <c r="L58" s="158">
        <f t="shared" si="22"/>
        <v>93586.5</v>
      </c>
      <c r="M58" s="158">
        <f t="shared" si="22"/>
        <v>76126.86</v>
      </c>
      <c r="N58" s="158">
        <f t="shared" si="22"/>
        <v>78899.22</v>
      </c>
      <c r="O58" s="344">
        <f>SUM(C58:N58)</f>
        <v>1008040.6799999998</v>
      </c>
      <c r="P58" s="345" t="s">
        <v>85</v>
      </c>
    </row>
    <row r="59" spans="1:23" ht="28.5" customHeight="1" x14ac:dyDescent="0.4">
      <c r="A59" s="245"/>
      <c r="B59" s="246"/>
      <c r="C59" s="376"/>
      <c r="D59" s="376"/>
      <c r="E59" s="376"/>
      <c r="F59" s="376"/>
      <c r="G59" s="247"/>
      <c r="H59" s="247"/>
      <c r="I59" s="247"/>
      <c r="J59" s="376"/>
      <c r="K59" s="286"/>
      <c r="L59" s="247"/>
      <c r="M59" s="247"/>
      <c r="N59" s="247"/>
      <c r="O59" s="247"/>
      <c r="P59" s="143"/>
    </row>
    <row r="60" spans="1:23" ht="39.75" customHeight="1" x14ac:dyDescent="0.4">
      <c r="A60" s="154" t="s">
        <v>86</v>
      </c>
      <c r="B60" s="241"/>
      <c r="C60" s="241"/>
      <c r="D60" s="241"/>
      <c r="E60" s="241"/>
      <c r="F60" s="241"/>
      <c r="G60" s="241"/>
      <c r="H60" s="241"/>
      <c r="I60" s="241"/>
      <c r="J60" s="241"/>
      <c r="K60" s="287"/>
      <c r="L60" s="241"/>
      <c r="M60" s="241"/>
      <c r="N60" s="241"/>
      <c r="O60" s="241"/>
      <c r="P60" s="1"/>
    </row>
    <row r="61" spans="1:23" x14ac:dyDescent="0.4">
      <c r="B61" s="10"/>
      <c r="G61" s="90"/>
      <c r="H61" s="90"/>
      <c r="I61" s="73"/>
      <c r="P61" s="1"/>
    </row>
    <row r="62" spans="1:23" x14ac:dyDescent="0.4">
      <c r="A62" s="130" t="s">
        <v>87</v>
      </c>
      <c r="B62" s="186" t="s">
        <v>189</v>
      </c>
      <c r="C62" s="235">
        <v>177853</v>
      </c>
      <c r="D62" s="127">
        <v>177853</v>
      </c>
      <c r="E62" s="127">
        <v>177853</v>
      </c>
      <c r="F62" s="127">
        <v>177853</v>
      </c>
      <c r="G62" s="127">
        <v>177853</v>
      </c>
      <c r="H62" s="127">
        <v>177853</v>
      </c>
      <c r="I62" s="127">
        <v>177853</v>
      </c>
      <c r="J62" s="127">
        <v>177853</v>
      </c>
      <c r="K62" s="127">
        <v>177853</v>
      </c>
      <c r="L62" s="127">
        <v>177853</v>
      </c>
      <c r="M62" s="127">
        <v>177853</v>
      </c>
      <c r="N62" s="127">
        <v>177853</v>
      </c>
      <c r="O62" s="126">
        <f t="shared" ref="O62:O81" si="23">SUM(C62:N62)</f>
        <v>2134236</v>
      </c>
      <c r="P62" s="1"/>
      <c r="R62" s="2"/>
    </row>
    <row r="63" spans="1:23" x14ac:dyDescent="0.4">
      <c r="B63" s="128" t="s">
        <v>190</v>
      </c>
      <c r="C63" s="2">
        <v>1694</v>
      </c>
      <c r="D63" s="2">
        <v>3905</v>
      </c>
      <c r="E63" s="2">
        <v>3905</v>
      </c>
      <c r="F63" s="2">
        <v>3905</v>
      </c>
      <c r="G63" s="2">
        <v>3905</v>
      </c>
      <c r="H63" s="2">
        <v>3905</v>
      </c>
      <c r="I63" s="2">
        <v>3905</v>
      </c>
      <c r="J63" s="2">
        <v>3905</v>
      </c>
      <c r="K63" s="2">
        <v>3905</v>
      </c>
      <c r="L63" s="2">
        <v>3905</v>
      </c>
      <c r="M63" s="2">
        <v>3905</v>
      </c>
      <c r="N63" s="2">
        <v>3905</v>
      </c>
      <c r="O63" s="126">
        <f t="shared" si="23"/>
        <v>44649</v>
      </c>
    </row>
    <row r="64" spans="1:23" x14ac:dyDescent="0.4">
      <c r="B64" s="148" t="s">
        <v>191</v>
      </c>
      <c r="C64" s="172">
        <v>-3905</v>
      </c>
      <c r="D64" s="172">
        <v>-3905</v>
      </c>
      <c r="E64" s="172">
        <v>-3905</v>
      </c>
      <c r="F64" s="172">
        <v>-3905</v>
      </c>
      <c r="G64" s="172">
        <v>-3905</v>
      </c>
      <c r="H64" s="172">
        <v>-3905</v>
      </c>
      <c r="I64" s="172">
        <v>-3905</v>
      </c>
      <c r="J64" s="172">
        <v>-3905</v>
      </c>
      <c r="K64" s="172">
        <v>-3905</v>
      </c>
      <c r="L64" s="172">
        <v>-3905</v>
      </c>
      <c r="M64" s="172">
        <v>-3905</v>
      </c>
      <c r="N64" s="172">
        <v>-3905</v>
      </c>
      <c r="O64" s="176">
        <f t="shared" si="23"/>
        <v>-46860</v>
      </c>
    </row>
    <row r="65" spans="1:16" x14ac:dyDescent="0.4">
      <c r="B65" s="148" t="s">
        <v>192</v>
      </c>
      <c r="C65" s="172">
        <v>-6945</v>
      </c>
      <c r="D65" s="172">
        <v>-6945</v>
      </c>
      <c r="E65" s="172">
        <v>-6945</v>
      </c>
      <c r="F65" s="172">
        <v>-6945</v>
      </c>
      <c r="G65" s="172">
        <v>-6945</v>
      </c>
      <c r="H65" s="172">
        <v>-6945</v>
      </c>
      <c r="I65" s="172">
        <v>-6945</v>
      </c>
      <c r="J65" s="172">
        <v>-6945</v>
      </c>
      <c r="K65" s="172">
        <v>-6945</v>
      </c>
      <c r="L65" s="172">
        <v>-6945</v>
      </c>
      <c r="M65" s="172">
        <v>-6945</v>
      </c>
      <c r="N65" s="172">
        <v>-6945</v>
      </c>
      <c r="O65" s="176">
        <f t="shared" si="23"/>
        <v>-83340</v>
      </c>
    </row>
    <row r="66" spans="1:16" s="72" customFormat="1" x14ac:dyDescent="0.4">
      <c r="B66" s="128" t="s">
        <v>193</v>
      </c>
      <c r="C66" s="170"/>
      <c r="D66" s="169">
        <v>1050</v>
      </c>
      <c r="E66" s="169">
        <v>1050</v>
      </c>
      <c r="F66" s="169">
        <v>1050</v>
      </c>
      <c r="G66" s="169">
        <v>1050</v>
      </c>
      <c r="H66" s="169">
        <v>1050</v>
      </c>
      <c r="I66" s="169">
        <v>1050</v>
      </c>
      <c r="J66" s="169">
        <v>1050</v>
      </c>
      <c r="K66" s="169">
        <v>1050</v>
      </c>
      <c r="L66" s="169">
        <v>1050</v>
      </c>
      <c r="M66" s="169">
        <v>1050</v>
      </c>
      <c r="N66" s="169">
        <v>1050</v>
      </c>
      <c r="O66" s="126">
        <f t="shared" si="23"/>
        <v>11550</v>
      </c>
      <c r="P66"/>
    </row>
    <row r="67" spans="1:16" x14ac:dyDescent="0.4">
      <c r="A67" s="173"/>
      <c r="B67" s="148" t="s">
        <v>194</v>
      </c>
      <c r="C67" s="158"/>
      <c r="D67" s="172">
        <v>-150</v>
      </c>
      <c r="E67" s="172">
        <v>-150</v>
      </c>
      <c r="F67" s="172">
        <v>-150</v>
      </c>
      <c r="G67" s="172">
        <v>-150</v>
      </c>
      <c r="H67" s="172">
        <v>-150</v>
      </c>
      <c r="I67" s="172">
        <v>-150</v>
      </c>
      <c r="J67" s="172">
        <v>-150</v>
      </c>
      <c r="K67" s="172">
        <v>-150</v>
      </c>
      <c r="L67" s="172">
        <v>-150</v>
      </c>
      <c r="M67" s="172">
        <v>-150</v>
      </c>
      <c r="N67" s="172">
        <v>-150</v>
      </c>
      <c r="O67" s="176">
        <f t="shared" si="23"/>
        <v>-1650</v>
      </c>
      <c r="P67" s="72"/>
    </row>
    <row r="68" spans="1:16" x14ac:dyDescent="0.4">
      <c r="B68" s="128" t="s">
        <v>195</v>
      </c>
      <c r="C68" s="158"/>
      <c r="D68" s="158">
        <v>100</v>
      </c>
      <c r="E68" s="158">
        <v>175</v>
      </c>
      <c r="F68" s="158">
        <v>175</v>
      </c>
      <c r="G68" s="158">
        <v>175</v>
      </c>
      <c r="H68" s="158">
        <v>175</v>
      </c>
      <c r="I68" s="158">
        <v>175</v>
      </c>
      <c r="J68" s="158">
        <v>175</v>
      </c>
      <c r="K68" s="158">
        <v>175</v>
      </c>
      <c r="L68" s="158">
        <v>175</v>
      </c>
      <c r="M68" s="158">
        <v>175</v>
      </c>
      <c r="N68" s="158">
        <v>175</v>
      </c>
      <c r="O68" s="126">
        <f t="shared" si="23"/>
        <v>1850</v>
      </c>
    </row>
    <row r="69" spans="1:16" x14ac:dyDescent="0.4">
      <c r="B69" s="128" t="s">
        <v>196</v>
      </c>
      <c r="D69" s="158">
        <v>318.61</v>
      </c>
      <c r="E69" s="158">
        <v>660</v>
      </c>
      <c r="F69" s="158">
        <v>660</v>
      </c>
      <c r="G69" s="158">
        <v>660</v>
      </c>
      <c r="H69" s="158">
        <v>660</v>
      </c>
      <c r="I69" s="158">
        <v>660</v>
      </c>
      <c r="J69" s="158">
        <v>660</v>
      </c>
      <c r="K69" s="158">
        <v>660</v>
      </c>
      <c r="L69" s="158">
        <v>660</v>
      </c>
      <c r="M69" s="158">
        <v>660</v>
      </c>
      <c r="N69" s="158">
        <v>660</v>
      </c>
      <c r="O69" s="126">
        <f t="shared" si="23"/>
        <v>6918.6100000000006</v>
      </c>
    </row>
    <row r="70" spans="1:16" x14ac:dyDescent="0.4">
      <c r="B70" s="148" t="s">
        <v>197</v>
      </c>
      <c r="C70" s="158"/>
      <c r="D70" s="158"/>
      <c r="E70" s="172">
        <v>-2281</v>
      </c>
      <c r="F70" s="172">
        <v>-3290</v>
      </c>
      <c r="G70" s="172">
        <v>-3290</v>
      </c>
      <c r="H70" s="172">
        <v>-3290</v>
      </c>
      <c r="I70" s="172">
        <v>-3290</v>
      </c>
      <c r="J70" s="172">
        <v>-3290</v>
      </c>
      <c r="K70" s="172">
        <v>-3290</v>
      </c>
      <c r="L70" s="172">
        <v>-3290</v>
      </c>
      <c r="M70" s="172">
        <v>-3290</v>
      </c>
      <c r="N70" s="172">
        <v>-3290</v>
      </c>
      <c r="O70" s="176">
        <f t="shared" si="23"/>
        <v>-31891</v>
      </c>
    </row>
    <row r="71" spans="1:16" x14ac:dyDescent="0.4">
      <c r="B71" s="128" t="s">
        <v>198</v>
      </c>
      <c r="E71" s="158">
        <v>7400</v>
      </c>
      <c r="F71" s="158">
        <v>7400</v>
      </c>
      <c r="G71" s="158">
        <v>7400</v>
      </c>
      <c r="H71" s="158">
        <v>7400</v>
      </c>
      <c r="I71" s="158">
        <v>7400</v>
      </c>
      <c r="J71" s="158">
        <v>7400</v>
      </c>
      <c r="K71" s="158">
        <v>7400</v>
      </c>
      <c r="L71" s="158">
        <v>7400</v>
      </c>
      <c r="M71" s="158">
        <v>7400</v>
      </c>
      <c r="N71" s="158">
        <v>7400</v>
      </c>
      <c r="O71" s="126">
        <f t="shared" si="23"/>
        <v>74000</v>
      </c>
    </row>
    <row r="72" spans="1:16" x14ac:dyDescent="0.4">
      <c r="B72" s="148" t="s">
        <v>190</v>
      </c>
      <c r="E72" s="172">
        <v>-2665</v>
      </c>
      <c r="F72" s="172">
        <v>-3905</v>
      </c>
      <c r="G72" s="172">
        <v>-3905</v>
      </c>
      <c r="H72" s="172">
        <v>-3905</v>
      </c>
      <c r="I72" s="172">
        <v>-3905</v>
      </c>
      <c r="J72" s="172">
        <v>-3905</v>
      </c>
      <c r="K72" s="172">
        <v>-3905</v>
      </c>
      <c r="L72" s="172">
        <v>-3905</v>
      </c>
      <c r="M72" s="172">
        <v>-3905</v>
      </c>
      <c r="N72" s="172">
        <v>-3905</v>
      </c>
      <c r="O72" s="176">
        <f t="shared" si="23"/>
        <v>-37810</v>
      </c>
    </row>
    <row r="73" spans="1:16" s="72" customFormat="1" x14ac:dyDescent="0.4">
      <c r="A73" s="129"/>
      <c r="B73" s="10" t="s">
        <v>199</v>
      </c>
      <c r="C73" s="174"/>
      <c r="D73" s="175"/>
      <c r="E73" s="177">
        <v>3387</v>
      </c>
      <c r="F73" s="177">
        <v>15000</v>
      </c>
      <c r="G73" s="177">
        <v>15000</v>
      </c>
      <c r="H73" s="177">
        <v>15000</v>
      </c>
      <c r="I73" s="177">
        <v>15000</v>
      </c>
      <c r="J73" s="183">
        <v>15000</v>
      </c>
      <c r="K73" s="177">
        <v>15000</v>
      </c>
      <c r="L73" s="177">
        <v>15000</v>
      </c>
      <c r="M73" s="177">
        <v>15000</v>
      </c>
      <c r="N73" s="177">
        <v>15000</v>
      </c>
      <c r="O73" s="126">
        <f t="shared" si="23"/>
        <v>138387</v>
      </c>
    </row>
    <row r="74" spans="1:16" x14ac:dyDescent="0.4">
      <c r="A74" s="173"/>
      <c r="B74" s="148" t="s">
        <v>200</v>
      </c>
      <c r="C74" s="172"/>
      <c r="D74" s="361"/>
      <c r="E74" s="172">
        <v>-4600</v>
      </c>
      <c r="F74" s="172">
        <v>-11400</v>
      </c>
      <c r="G74" s="172">
        <v>-11400</v>
      </c>
      <c r="H74" s="172">
        <v>-11400</v>
      </c>
      <c r="I74" s="172">
        <v>-11400</v>
      </c>
      <c r="J74" s="172">
        <v>-11400</v>
      </c>
      <c r="K74" s="172">
        <v>-11400</v>
      </c>
      <c r="L74" s="172">
        <v>-11400</v>
      </c>
      <c r="M74" s="172">
        <v>-11400</v>
      </c>
      <c r="N74" s="172">
        <v>-11400</v>
      </c>
      <c r="O74" s="176">
        <f t="shared" si="23"/>
        <v>-107200</v>
      </c>
      <c r="P74" s="72"/>
    </row>
    <row r="75" spans="1:16" s="72" customFormat="1" x14ac:dyDescent="0.4">
      <c r="A75" s="129"/>
      <c r="B75" s="128" t="s">
        <v>201</v>
      </c>
      <c r="C75" s="170"/>
      <c r="D75" s="169"/>
      <c r="E75" s="180"/>
      <c r="F75" s="169">
        <v>1445</v>
      </c>
      <c r="G75" s="169">
        <v>1445</v>
      </c>
      <c r="H75" s="169">
        <v>1445</v>
      </c>
      <c r="I75" s="169">
        <v>1445</v>
      </c>
      <c r="J75" s="169">
        <v>1445</v>
      </c>
      <c r="K75" s="169">
        <v>1445</v>
      </c>
      <c r="L75" s="169">
        <v>1445</v>
      </c>
      <c r="M75" s="169">
        <v>1445</v>
      </c>
      <c r="N75" s="169">
        <v>1445</v>
      </c>
      <c r="O75" s="126">
        <f t="shared" si="23"/>
        <v>13005</v>
      </c>
    </row>
    <row r="76" spans="1:16" x14ac:dyDescent="0.4">
      <c r="B76" s="128" t="s">
        <v>202</v>
      </c>
      <c r="E76" s="172"/>
      <c r="F76" s="158">
        <v>370</v>
      </c>
      <c r="G76" s="158">
        <v>740</v>
      </c>
      <c r="H76" s="158">
        <v>740</v>
      </c>
      <c r="I76" s="158">
        <v>740</v>
      </c>
      <c r="J76" s="158">
        <v>740</v>
      </c>
      <c r="K76" s="158">
        <v>740</v>
      </c>
      <c r="L76" s="158">
        <v>740</v>
      </c>
      <c r="M76" s="158">
        <v>740</v>
      </c>
      <c r="N76" s="158">
        <v>740</v>
      </c>
      <c r="O76" s="126">
        <f t="shared" si="23"/>
        <v>6290</v>
      </c>
    </row>
    <row r="77" spans="1:16" s="72" customFormat="1" x14ac:dyDescent="0.4">
      <c r="A77" s="129"/>
      <c r="B77" s="148" t="s">
        <v>203</v>
      </c>
      <c r="C77" s="170"/>
      <c r="D77" s="169"/>
      <c r="E77" s="169"/>
      <c r="F77" s="171"/>
      <c r="G77" s="171"/>
      <c r="H77" s="171">
        <v>-600</v>
      </c>
      <c r="I77" s="171">
        <v>-600</v>
      </c>
      <c r="J77" s="171">
        <v>-600</v>
      </c>
      <c r="K77" s="171">
        <v>-600</v>
      </c>
      <c r="L77" s="171">
        <v>-600</v>
      </c>
      <c r="M77" s="171">
        <v>-600</v>
      </c>
      <c r="N77" s="171">
        <v>-600</v>
      </c>
      <c r="O77" s="176">
        <f t="shared" si="23"/>
        <v>-4200</v>
      </c>
    </row>
    <row r="78" spans="1:16" s="72" customFormat="1" x14ac:dyDescent="0.4">
      <c r="A78" s="129"/>
      <c r="B78" s="148" t="s">
        <v>204</v>
      </c>
      <c r="C78" s="170"/>
      <c r="D78" s="169"/>
      <c r="E78" s="169"/>
      <c r="F78" s="171"/>
      <c r="G78" s="171"/>
      <c r="H78" s="171"/>
      <c r="I78" s="171">
        <v>-2025</v>
      </c>
      <c r="J78" s="171">
        <v>-2025</v>
      </c>
      <c r="K78" s="171">
        <v>-2025</v>
      </c>
      <c r="L78" s="171">
        <v>-2025</v>
      </c>
      <c r="M78" s="171">
        <v>-2025</v>
      </c>
      <c r="N78" s="171">
        <v>-2025</v>
      </c>
      <c r="O78" s="176">
        <f t="shared" si="23"/>
        <v>-12150</v>
      </c>
    </row>
    <row r="79" spans="1:16" s="72" customFormat="1" x14ac:dyDescent="0.4">
      <c r="A79" s="129"/>
      <c r="B79" s="148" t="s">
        <v>205</v>
      </c>
      <c r="C79" s="170"/>
      <c r="D79" s="169"/>
      <c r="E79" s="169"/>
      <c r="F79" s="171"/>
      <c r="G79" s="171"/>
      <c r="H79" s="171"/>
      <c r="I79" s="171">
        <v>-2150</v>
      </c>
      <c r="J79" s="171">
        <v>-2150</v>
      </c>
      <c r="K79" s="171">
        <v>-2150</v>
      </c>
      <c r="L79" s="171">
        <v>-2150</v>
      </c>
      <c r="M79" s="171">
        <v>-2150</v>
      </c>
      <c r="N79" s="171">
        <v>-2150</v>
      </c>
      <c r="O79" s="176">
        <f t="shared" si="23"/>
        <v>-12900</v>
      </c>
    </row>
    <row r="80" spans="1:16" s="72" customFormat="1" x14ac:dyDescent="0.4">
      <c r="A80" s="129"/>
      <c r="B80" s="148" t="s">
        <v>206</v>
      </c>
      <c r="C80" s="170"/>
      <c r="D80" s="169"/>
      <c r="E80" s="169"/>
      <c r="F80" s="171"/>
      <c r="G80" s="171"/>
      <c r="H80" s="171">
        <v>-400</v>
      </c>
      <c r="I80" s="171">
        <v>-400</v>
      </c>
      <c r="J80" s="171">
        <v>-400</v>
      </c>
      <c r="K80" s="171">
        <v>-400</v>
      </c>
      <c r="L80" s="171">
        <v>-400</v>
      </c>
      <c r="M80" s="171">
        <v>-400</v>
      </c>
      <c r="N80" s="171">
        <v>-400</v>
      </c>
      <c r="O80" s="176">
        <f t="shared" si="23"/>
        <v>-2800</v>
      </c>
    </row>
    <row r="81" spans="1:16" s="72" customFormat="1" x14ac:dyDescent="0.4">
      <c r="A81" s="129"/>
      <c r="B81" s="148" t="s">
        <v>207</v>
      </c>
      <c r="C81" s="170"/>
      <c r="D81" s="169"/>
      <c r="E81" s="169"/>
      <c r="F81" s="169"/>
      <c r="G81" s="169"/>
      <c r="H81" s="171">
        <v>1100</v>
      </c>
      <c r="I81" s="171">
        <v>1100</v>
      </c>
      <c r="J81" s="171">
        <v>1100</v>
      </c>
      <c r="K81" s="171">
        <v>1100</v>
      </c>
      <c r="L81" s="171">
        <v>1100</v>
      </c>
      <c r="M81" s="171">
        <v>1100</v>
      </c>
      <c r="N81" s="171">
        <v>1100</v>
      </c>
      <c r="O81" s="176">
        <f t="shared" si="23"/>
        <v>7700</v>
      </c>
    </row>
    <row r="82" spans="1:16" x14ac:dyDescent="0.4">
      <c r="B82" s="10" t="s">
        <v>208</v>
      </c>
      <c r="C82" s="188"/>
      <c r="D82" s="188"/>
      <c r="E82" s="188"/>
      <c r="F82" s="158">
        <v>240</v>
      </c>
      <c r="G82" s="158">
        <v>240</v>
      </c>
      <c r="H82" s="158">
        <v>325</v>
      </c>
      <c r="I82" s="158">
        <v>325</v>
      </c>
      <c r="J82" s="158">
        <v>325</v>
      </c>
      <c r="K82" s="158">
        <v>325</v>
      </c>
      <c r="L82" s="158">
        <v>325</v>
      </c>
      <c r="M82" s="158">
        <v>325</v>
      </c>
      <c r="N82" s="158">
        <v>325</v>
      </c>
      <c r="O82" s="444">
        <f t="shared" ref="O82:O87" si="24">SUM(G82:N82)</f>
        <v>2515</v>
      </c>
    </row>
    <row r="83" spans="1:16" x14ac:dyDescent="0.4">
      <c r="B83" s="10" t="s">
        <v>209</v>
      </c>
      <c r="C83" s="188"/>
      <c r="D83" s="188"/>
      <c r="E83" s="188"/>
      <c r="F83" s="188"/>
      <c r="G83" s="177">
        <v>243</v>
      </c>
      <c r="H83" s="177">
        <v>685</v>
      </c>
      <c r="I83" s="177">
        <v>685</v>
      </c>
      <c r="J83" s="183">
        <v>685</v>
      </c>
      <c r="K83" s="177">
        <v>685</v>
      </c>
      <c r="L83" s="177">
        <v>685</v>
      </c>
      <c r="M83" s="177">
        <v>685</v>
      </c>
      <c r="N83" s="177">
        <v>685</v>
      </c>
      <c r="O83" s="126">
        <f t="shared" si="24"/>
        <v>5038</v>
      </c>
    </row>
    <row r="84" spans="1:16" x14ac:dyDescent="0.4">
      <c r="B84" s="10" t="s">
        <v>210</v>
      </c>
      <c r="C84" s="188"/>
      <c r="D84" s="188"/>
      <c r="E84" s="188"/>
      <c r="F84" s="188"/>
      <c r="G84" s="185"/>
      <c r="H84" s="183">
        <v>2350</v>
      </c>
      <c r="I84" s="183">
        <v>2350</v>
      </c>
      <c r="J84" s="183">
        <v>2350</v>
      </c>
      <c r="K84" s="183">
        <v>2350</v>
      </c>
      <c r="L84" s="183">
        <v>2350</v>
      </c>
      <c r="M84" s="183">
        <v>2350</v>
      </c>
      <c r="N84" s="183">
        <v>2350</v>
      </c>
      <c r="O84" s="126">
        <f t="shared" si="24"/>
        <v>16450</v>
      </c>
    </row>
    <row r="85" spans="1:16" x14ac:dyDescent="0.4">
      <c r="B85" s="148" t="s">
        <v>211</v>
      </c>
      <c r="C85" s="73"/>
      <c r="D85" s="73"/>
      <c r="E85" s="73"/>
      <c r="F85" s="73"/>
      <c r="G85" s="185"/>
      <c r="H85" s="185"/>
      <c r="I85" s="171">
        <v>-1225</v>
      </c>
      <c r="J85" s="171">
        <v>-1225</v>
      </c>
      <c r="K85" s="171">
        <v>-1225</v>
      </c>
      <c r="L85" s="171">
        <v>-1225</v>
      </c>
      <c r="M85" s="171">
        <v>-1225</v>
      </c>
      <c r="N85" s="171">
        <v>-1225</v>
      </c>
      <c r="O85" s="176">
        <f t="shared" si="24"/>
        <v>-7350</v>
      </c>
    </row>
    <row r="86" spans="1:16" x14ac:dyDescent="0.4">
      <c r="B86" s="10" t="s">
        <v>195</v>
      </c>
      <c r="C86" s="73"/>
      <c r="D86" s="73"/>
      <c r="E86" s="73"/>
      <c r="F86" s="73"/>
      <c r="G86" s="177"/>
      <c r="H86" s="177"/>
      <c r="I86" s="177">
        <v>1050</v>
      </c>
      <c r="J86" s="177">
        <v>1050</v>
      </c>
      <c r="K86" s="177">
        <v>1050</v>
      </c>
      <c r="L86" s="177">
        <v>1050</v>
      </c>
      <c r="M86" s="177">
        <v>1050</v>
      </c>
      <c r="N86" s="177">
        <v>1050</v>
      </c>
      <c r="O86" s="444">
        <f t="shared" si="24"/>
        <v>6300</v>
      </c>
      <c r="P86"/>
    </row>
    <row r="87" spans="1:16" x14ac:dyDescent="0.4">
      <c r="B87" s="148" t="s">
        <v>212</v>
      </c>
      <c r="G87" s="169"/>
      <c r="H87" s="169"/>
      <c r="I87" s="169"/>
      <c r="J87" s="171">
        <v>-200</v>
      </c>
      <c r="K87" s="171">
        <v>-200</v>
      </c>
      <c r="L87" s="171">
        <v>-200</v>
      </c>
      <c r="M87" s="171">
        <v>-200</v>
      </c>
      <c r="N87" s="171">
        <v>-200</v>
      </c>
      <c r="O87" s="443">
        <f t="shared" si="24"/>
        <v>-1000</v>
      </c>
    </row>
    <row r="88" spans="1:16" x14ac:dyDescent="0.4">
      <c r="B88" s="148" t="s">
        <v>213</v>
      </c>
      <c r="C88" s="73"/>
      <c r="D88" s="73"/>
      <c r="E88" s="73"/>
      <c r="F88" s="73"/>
      <c r="G88" s="382"/>
      <c r="H88" s="171"/>
      <c r="I88" s="171"/>
      <c r="J88" s="171"/>
      <c r="K88" s="171">
        <v>-290</v>
      </c>
      <c r="L88" s="171">
        <v>-290</v>
      </c>
      <c r="M88" s="171">
        <v>-290</v>
      </c>
      <c r="N88" s="171">
        <v>-290</v>
      </c>
      <c r="O88" s="176">
        <f>SUM(H88:N88)</f>
        <v>-1160</v>
      </c>
      <c r="P88"/>
    </row>
    <row r="89" spans="1:16" x14ac:dyDescent="0.4">
      <c r="B89" s="148" t="s">
        <v>214</v>
      </c>
      <c r="C89" s="188"/>
      <c r="D89" s="188"/>
      <c r="E89" s="188"/>
      <c r="F89" s="188"/>
      <c r="G89" s="185"/>
      <c r="H89" s="185"/>
      <c r="I89" s="185"/>
      <c r="J89" s="185"/>
      <c r="K89" s="171">
        <v>-185</v>
      </c>
      <c r="L89" s="171">
        <v>-185</v>
      </c>
      <c r="M89" s="171">
        <v>-185</v>
      </c>
      <c r="N89" s="171">
        <v>-185</v>
      </c>
      <c r="O89" s="443">
        <f>SUM(G89:N89)</f>
        <v>-740</v>
      </c>
      <c r="P89"/>
    </row>
    <row r="90" spans="1:16" s="72" customFormat="1" x14ac:dyDescent="0.4">
      <c r="A90" s="129"/>
      <c r="B90" s="128" t="s">
        <v>215</v>
      </c>
      <c r="C90" s="170"/>
      <c r="D90" s="169"/>
      <c r="E90" s="169"/>
      <c r="F90" s="171"/>
      <c r="G90" s="171"/>
      <c r="H90" s="171"/>
      <c r="I90" s="171"/>
      <c r="J90" s="171"/>
      <c r="K90" s="169">
        <v>955</v>
      </c>
      <c r="L90" s="169">
        <v>955</v>
      </c>
      <c r="M90" s="169">
        <v>955</v>
      </c>
      <c r="N90" s="169">
        <v>955</v>
      </c>
      <c r="O90" s="126">
        <f>SUM(H90:N90)</f>
        <v>3820</v>
      </c>
    </row>
    <row r="91" spans="1:16" x14ac:dyDescent="0.4">
      <c r="B91" s="128" t="s">
        <v>216</v>
      </c>
      <c r="H91" s="150"/>
      <c r="I91" s="150"/>
      <c r="J91" s="150"/>
      <c r="K91" s="395">
        <v>2410</v>
      </c>
      <c r="L91" s="396">
        <v>2410</v>
      </c>
      <c r="M91" s="396">
        <v>2410</v>
      </c>
      <c r="N91" s="396">
        <v>2410</v>
      </c>
      <c r="O91" s="355">
        <f>SUM(H91:N91)</f>
        <v>9640</v>
      </c>
    </row>
    <row r="92" spans="1:16" x14ac:dyDescent="0.4">
      <c r="B92" s="73" t="s">
        <v>217</v>
      </c>
      <c r="C92" s="3"/>
      <c r="D92" s="3"/>
      <c r="E92" s="3"/>
      <c r="F92" s="3"/>
      <c r="G92" s="3"/>
      <c r="H92" s="124"/>
      <c r="I92" s="308"/>
      <c r="J92" s="308"/>
      <c r="K92" s="308"/>
      <c r="L92" s="308"/>
      <c r="M92" s="308"/>
      <c r="N92" s="308"/>
      <c r="O92" s="354">
        <f>SUM(H92:N92)</f>
        <v>0</v>
      </c>
      <c r="P92"/>
    </row>
    <row r="93" spans="1:16" x14ac:dyDescent="0.4">
      <c r="B93" s="10" t="s">
        <v>218</v>
      </c>
      <c r="H93" s="103"/>
      <c r="I93" s="103"/>
      <c r="J93" s="103"/>
      <c r="K93" s="235"/>
      <c r="L93" s="404">
        <v>3775</v>
      </c>
      <c r="M93" s="404">
        <v>7550</v>
      </c>
      <c r="N93" s="404">
        <v>7550</v>
      </c>
      <c r="O93" s="354">
        <f>SUM(H93:N93)</f>
        <v>18875</v>
      </c>
      <c r="P93"/>
    </row>
    <row r="94" spans="1:16" x14ac:dyDescent="0.4">
      <c r="B94" s="73" t="s">
        <v>219</v>
      </c>
      <c r="C94" s="3"/>
      <c r="D94" s="3"/>
      <c r="E94" s="3"/>
      <c r="F94" s="3"/>
      <c r="G94" s="3"/>
      <c r="H94" s="124"/>
      <c r="I94" s="171"/>
      <c r="J94" s="171"/>
      <c r="K94" s="169"/>
      <c r="L94" s="171"/>
      <c r="M94" s="171"/>
      <c r="N94" s="171">
        <v>-159</v>
      </c>
      <c r="O94" s="218">
        <f>SUM(I94:N94)</f>
        <v>-159</v>
      </c>
    </row>
    <row r="95" spans="1:16" x14ac:dyDescent="0.4">
      <c r="B95" s="73" t="s">
        <v>220</v>
      </c>
      <c r="C95" s="3"/>
      <c r="D95" s="3"/>
      <c r="E95" s="3"/>
      <c r="F95" s="3"/>
      <c r="G95" s="3"/>
      <c r="H95" s="124"/>
      <c r="I95" s="235"/>
      <c r="J95" s="235"/>
      <c r="K95" s="235"/>
      <c r="L95" s="235"/>
      <c r="M95" s="235"/>
      <c r="N95" s="302">
        <v>-450</v>
      </c>
      <c r="O95" s="442">
        <f>SUM(H95:N95)</f>
        <v>-450</v>
      </c>
    </row>
    <row r="96" spans="1:16" x14ac:dyDescent="0.4">
      <c r="B96" s="71"/>
      <c r="C96" s="3"/>
      <c r="D96" s="3"/>
      <c r="E96" s="3"/>
      <c r="F96" s="3"/>
      <c r="G96" s="3"/>
      <c r="H96" s="124"/>
      <c r="I96" s="235"/>
      <c r="J96" s="235"/>
      <c r="K96" s="235"/>
      <c r="L96" s="235"/>
      <c r="M96" s="235"/>
      <c r="N96" s="235"/>
      <c r="O96" s="355">
        <f>SUM(H96:N96)</f>
        <v>0</v>
      </c>
    </row>
    <row r="97" spans="2:16" x14ac:dyDescent="0.4">
      <c r="B97" s="71"/>
      <c r="C97" s="3"/>
      <c r="D97" s="124"/>
      <c r="E97" s="3"/>
      <c r="F97" s="3"/>
      <c r="G97" s="3"/>
      <c r="H97" s="124"/>
      <c r="I97" s="235"/>
      <c r="J97" s="235"/>
      <c r="K97" s="235"/>
      <c r="L97" s="235"/>
      <c r="M97" s="235"/>
      <c r="N97" s="235"/>
      <c r="O97" s="355">
        <f>SUM(H97:N97)</f>
        <v>0</v>
      </c>
    </row>
    <row r="98" spans="2:16" s="73" customFormat="1" x14ac:dyDescent="0.4">
      <c r="H98" s="159"/>
      <c r="I98" s="302"/>
      <c r="J98" s="302"/>
      <c r="K98" s="302"/>
      <c r="L98" s="302"/>
      <c r="M98" s="302"/>
      <c r="N98" s="302"/>
      <c r="O98" s="355">
        <f>SUM(H98:N98)</f>
        <v>0</v>
      </c>
    </row>
    <row r="99" spans="2:16" s="73" customFormat="1" x14ac:dyDescent="0.4">
      <c r="B99"/>
      <c r="H99" s="159"/>
      <c r="I99" s="302"/>
      <c r="J99" s="302"/>
      <c r="K99" s="302"/>
      <c r="L99" s="302"/>
      <c r="M99" s="150"/>
      <c r="N99" s="150"/>
      <c r="O99" s="355">
        <f>SUM(M99:N99)</f>
        <v>0</v>
      </c>
    </row>
    <row r="100" spans="2:16" s="73" customFormat="1" x14ac:dyDescent="0.4">
      <c r="H100" s="159"/>
      <c r="I100" s="302"/>
      <c r="J100" s="302"/>
      <c r="K100" s="302"/>
      <c r="L100" s="302"/>
      <c r="M100" s="159"/>
      <c r="N100" s="159"/>
      <c r="O100" s="355">
        <f>SUM(M100:N100)</f>
        <v>0</v>
      </c>
    </row>
    <row r="101" spans="2:16" s="73" customFormat="1" x14ac:dyDescent="0.4">
      <c r="H101" s="159"/>
      <c r="I101" s="302"/>
      <c r="J101" s="302"/>
      <c r="K101" s="302"/>
      <c r="L101" s="302"/>
      <c r="M101" s="159"/>
      <c r="N101" s="159"/>
      <c r="O101" s="355">
        <f>SUM(M101:N101)</f>
        <v>0</v>
      </c>
    </row>
    <row r="102" spans="2:16" s="73" customFormat="1" x14ac:dyDescent="0.4">
      <c r="B102" s="71"/>
      <c r="H102" s="159"/>
      <c r="I102" s="302"/>
      <c r="J102" s="302"/>
      <c r="K102" s="302"/>
      <c r="L102" s="302"/>
      <c r="M102" s="150"/>
      <c r="N102" s="103"/>
      <c r="O102" s="355">
        <f>N102</f>
        <v>0</v>
      </c>
      <c r="P102" s="72"/>
    </row>
    <row r="103" spans="2:16" x14ac:dyDescent="0.4">
      <c r="B103" s="10"/>
      <c r="C103" s="73"/>
      <c r="D103" s="73"/>
      <c r="E103" s="73"/>
      <c r="F103" s="73"/>
      <c r="G103" s="183"/>
      <c r="H103" s="183"/>
      <c r="I103" s="183"/>
      <c r="J103" s="183"/>
      <c r="K103" s="169"/>
      <c r="L103" s="183"/>
      <c r="M103" s="183"/>
      <c r="N103" s="183"/>
      <c r="O103" s="100"/>
    </row>
    <row r="104" spans="2:16" x14ac:dyDescent="0.4">
      <c r="B104" s="99" t="s">
        <v>107</v>
      </c>
      <c r="C104" s="100">
        <f t="shared" ref="C104:O104" si="25">SUM(C62:C103)</f>
        <v>168697</v>
      </c>
      <c r="D104" s="100">
        <f t="shared" si="25"/>
        <v>172226.61</v>
      </c>
      <c r="E104" s="100">
        <f t="shared" si="25"/>
        <v>173884</v>
      </c>
      <c r="F104" s="100">
        <f t="shared" si="25"/>
        <v>178503</v>
      </c>
      <c r="G104" s="100">
        <f t="shared" si="25"/>
        <v>179116</v>
      </c>
      <c r="H104" s="100">
        <f t="shared" si="25"/>
        <v>182093</v>
      </c>
      <c r="I104" s="100">
        <f t="shared" si="25"/>
        <v>177743</v>
      </c>
      <c r="J104" s="100">
        <f t="shared" si="25"/>
        <v>177543</v>
      </c>
      <c r="K104" s="126">
        <f t="shared" si="25"/>
        <v>180433</v>
      </c>
      <c r="L104" s="100">
        <f t="shared" si="25"/>
        <v>184208</v>
      </c>
      <c r="M104" s="100">
        <f t="shared" si="25"/>
        <v>187983</v>
      </c>
      <c r="N104" s="100">
        <f t="shared" si="25"/>
        <v>187374</v>
      </c>
      <c r="O104" s="100">
        <f t="shared" si="25"/>
        <v>2149563.6100000003</v>
      </c>
      <c r="P104"/>
    </row>
    <row r="105" spans="2:16" x14ac:dyDescent="0.4">
      <c r="B105" s="99" t="s">
        <v>108</v>
      </c>
      <c r="C105" s="100">
        <f>C104-C62</f>
        <v>-9156</v>
      </c>
      <c r="D105" s="126">
        <f t="shared" ref="D105:N105" si="26">D104-C104</f>
        <v>3529.609999999986</v>
      </c>
      <c r="E105" s="126">
        <f t="shared" si="26"/>
        <v>1657.390000000014</v>
      </c>
      <c r="F105" s="126">
        <f t="shared" si="26"/>
        <v>4619</v>
      </c>
      <c r="G105" s="100">
        <f t="shared" si="26"/>
        <v>613</v>
      </c>
      <c r="H105" s="100">
        <f t="shared" si="26"/>
        <v>2977</v>
      </c>
      <c r="I105" s="100">
        <f t="shared" si="26"/>
        <v>-4350</v>
      </c>
      <c r="J105" s="100">
        <f t="shared" si="26"/>
        <v>-200</v>
      </c>
      <c r="K105" s="126">
        <f t="shared" si="26"/>
        <v>2890</v>
      </c>
      <c r="L105" s="126">
        <f t="shared" si="26"/>
        <v>3775</v>
      </c>
      <c r="M105" s="126">
        <f t="shared" si="26"/>
        <v>3775</v>
      </c>
      <c r="N105" s="100">
        <f t="shared" si="26"/>
        <v>-609</v>
      </c>
      <c r="O105" s="168">
        <f>SUM(C105:N105)</f>
        <v>9521</v>
      </c>
      <c r="P105"/>
    </row>
    <row r="106" spans="2:16" x14ac:dyDescent="0.4">
      <c r="B106" s="99"/>
      <c r="C106" s="100"/>
      <c r="D106" s="100"/>
      <c r="E106" s="100"/>
      <c r="F106" s="100"/>
      <c r="G106" s="100"/>
      <c r="H106" s="100"/>
      <c r="I106" s="100"/>
      <c r="J106" s="100"/>
      <c r="K106" s="126"/>
      <c r="L106" s="100"/>
      <c r="M106" s="100"/>
      <c r="N106" s="100"/>
      <c r="O106" s="100"/>
      <c r="P106"/>
    </row>
    <row r="107" spans="2:16" s="3" customFormat="1" x14ac:dyDescent="0.4">
      <c r="B107" s="120"/>
      <c r="C107" s="215"/>
      <c r="D107" s="90"/>
      <c r="E107" s="90"/>
      <c r="F107" s="90"/>
      <c r="G107" s="90"/>
      <c r="H107" s="90"/>
      <c r="I107" s="90"/>
      <c r="J107" s="90"/>
      <c r="K107" s="127"/>
      <c r="L107" s="90"/>
      <c r="M107" s="90"/>
      <c r="N107" s="90"/>
      <c r="O107" s="90"/>
      <c r="P107"/>
    </row>
    <row r="108" spans="2:16" x14ac:dyDescent="0.4">
      <c r="B108" s="99" t="s">
        <v>109</v>
      </c>
      <c r="C108" s="100">
        <f t="shared" ref="C108:O108" si="27">C104-C62</f>
        <v>-9156</v>
      </c>
      <c r="D108" s="100">
        <f t="shared" si="27"/>
        <v>-5626.390000000014</v>
      </c>
      <c r="E108" s="100">
        <f t="shared" si="27"/>
        <v>-3969</v>
      </c>
      <c r="F108" s="100">
        <f t="shared" si="27"/>
        <v>650</v>
      </c>
      <c r="G108" s="100">
        <f t="shared" si="27"/>
        <v>1263</v>
      </c>
      <c r="H108" s="100">
        <f t="shared" si="27"/>
        <v>4240</v>
      </c>
      <c r="I108" s="100">
        <f t="shared" si="27"/>
        <v>-110</v>
      </c>
      <c r="J108" s="100">
        <f t="shared" si="27"/>
        <v>-310</v>
      </c>
      <c r="K108" s="126">
        <f t="shared" si="27"/>
        <v>2580</v>
      </c>
      <c r="L108" s="100">
        <f t="shared" si="27"/>
        <v>6355</v>
      </c>
      <c r="M108" s="100">
        <f t="shared" si="27"/>
        <v>10130</v>
      </c>
      <c r="N108" s="100">
        <f t="shared" si="27"/>
        <v>9521</v>
      </c>
      <c r="O108" s="100">
        <f t="shared" si="27"/>
        <v>15327.610000000335</v>
      </c>
    </row>
    <row r="109" spans="2:16" x14ac:dyDescent="0.4">
      <c r="G109" s="3"/>
      <c r="P109"/>
    </row>
    <row r="110" spans="2:16" x14ac:dyDescent="0.4">
      <c r="B110" s="216" t="s">
        <v>110</v>
      </c>
      <c r="C110" s="309">
        <v>171512</v>
      </c>
      <c r="D110" s="309">
        <v>168168</v>
      </c>
      <c r="E110" s="309">
        <v>165944</v>
      </c>
      <c r="F110" s="309">
        <v>175914</v>
      </c>
      <c r="G110" s="309">
        <v>174779</v>
      </c>
      <c r="H110" s="309">
        <v>174811</v>
      </c>
      <c r="I110" s="309"/>
      <c r="J110" s="309"/>
      <c r="K110" s="303">
        <v>175119</v>
      </c>
      <c r="L110" s="309">
        <v>175685</v>
      </c>
      <c r="M110" s="309">
        <v>181702</v>
      </c>
      <c r="N110" s="181">
        <v>181229</v>
      </c>
      <c r="O110" s="181"/>
      <c r="P110"/>
    </row>
    <row r="111" spans="2:16" x14ac:dyDescent="0.4">
      <c r="B111" s="83" t="s">
        <v>221</v>
      </c>
      <c r="C111" s="132"/>
      <c r="D111" s="132"/>
      <c r="G111" s="3"/>
      <c r="H111" s="132"/>
      <c r="I111" s="149"/>
      <c r="M111" s="412"/>
      <c r="P111"/>
    </row>
    <row r="112" spans="2:16" x14ac:dyDescent="0.4">
      <c r="B112" s="189"/>
      <c r="C112" s="132"/>
      <c r="D112" s="132"/>
      <c r="E112" s="132"/>
      <c r="F112" s="132"/>
      <c r="G112" s="132"/>
      <c r="H112" s="132"/>
      <c r="K112" s="132"/>
      <c r="L112" s="132"/>
      <c r="M112" s="132"/>
      <c r="N112" s="132"/>
      <c r="P112"/>
    </row>
    <row r="113" spans="2:16" x14ac:dyDescent="0.4">
      <c r="B113" s="83"/>
      <c r="C113" s="90"/>
      <c r="D113" s="90"/>
      <c r="E113" s="90"/>
      <c r="F113" s="90"/>
      <c r="G113" s="90"/>
      <c r="H113" s="90"/>
      <c r="I113" s="90"/>
      <c r="J113" s="90"/>
      <c r="K113" s="127"/>
      <c r="L113" s="90"/>
      <c r="M113" s="90"/>
      <c r="N113" s="90"/>
      <c r="P113"/>
    </row>
    <row r="114" spans="2:16" x14ac:dyDescent="0.4">
      <c r="B114" s="83"/>
      <c r="C114" s="90"/>
      <c r="D114" s="90"/>
      <c r="E114" s="90"/>
      <c r="F114" s="90"/>
      <c r="G114" s="90"/>
      <c r="H114" s="90"/>
      <c r="I114" s="90"/>
      <c r="J114" s="90"/>
      <c r="K114" s="127"/>
      <c r="L114" s="90"/>
      <c r="M114" s="90"/>
      <c r="N114" s="90"/>
      <c r="P114"/>
    </row>
    <row r="115" spans="2:16" x14ac:dyDescent="0.4">
      <c r="G115" s="3"/>
      <c r="L115" s="90"/>
      <c r="P115"/>
    </row>
    <row r="116" spans="2:16" x14ac:dyDescent="0.4">
      <c r="G116" s="3"/>
      <c r="H116" s="150"/>
      <c r="I116" s="159"/>
      <c r="J116" s="159"/>
      <c r="K116" s="290"/>
      <c r="L116" s="90"/>
      <c r="P116"/>
    </row>
    <row r="117" spans="2:16" x14ac:dyDescent="0.4">
      <c r="G117" s="124"/>
      <c r="P117"/>
    </row>
    <row r="120" spans="2:16" x14ac:dyDescent="0.4">
      <c r="G120" s="151"/>
    </row>
    <row r="121" spans="2:16" x14ac:dyDescent="0.4">
      <c r="D121" s="90"/>
      <c r="E121" s="132"/>
      <c r="F121" s="90"/>
      <c r="G121" s="90"/>
    </row>
    <row r="123" spans="2:16" x14ac:dyDescent="0.4">
      <c r="D123" s="205"/>
      <c r="F123" s="150"/>
    </row>
    <row r="124" spans="2:16" x14ac:dyDescent="0.4">
      <c r="H124" s="161">
        <v>1</v>
      </c>
      <c r="I124" s="161">
        <v>2</v>
      </c>
      <c r="J124" s="161">
        <v>3</v>
      </c>
      <c r="K124" s="291">
        <v>4</v>
      </c>
      <c r="L124" s="161">
        <v>5</v>
      </c>
      <c r="M124" s="161">
        <v>6</v>
      </c>
      <c r="N124" s="161">
        <v>7</v>
      </c>
      <c r="O124" s="161">
        <v>8</v>
      </c>
      <c r="P124" s="161">
        <v>10</v>
      </c>
    </row>
    <row r="125" spans="2:16" x14ac:dyDescent="0.4">
      <c r="F125" s="151"/>
      <c r="G125" s="130">
        <v>2022</v>
      </c>
      <c r="H125" s="130">
        <v>2023</v>
      </c>
      <c r="I125" s="130">
        <v>2024</v>
      </c>
      <c r="J125" s="130">
        <v>2025</v>
      </c>
      <c r="K125" s="292">
        <v>2026</v>
      </c>
      <c r="L125" s="130">
        <v>2027</v>
      </c>
      <c r="M125" s="130">
        <v>2028</v>
      </c>
      <c r="N125" s="130">
        <v>2029</v>
      </c>
      <c r="O125" s="130">
        <v>2030</v>
      </c>
      <c r="P125" s="130">
        <v>2032</v>
      </c>
    </row>
    <row r="127" spans="2:16" x14ac:dyDescent="0.4">
      <c r="F127" t="s">
        <v>114</v>
      </c>
      <c r="G127" s="90"/>
      <c r="H127" s="90">
        <v>185000</v>
      </c>
      <c r="I127" s="90">
        <f t="shared" ref="I127:O127" si="28">H127+50000</f>
        <v>235000</v>
      </c>
      <c r="J127" s="90">
        <f t="shared" si="28"/>
        <v>285000</v>
      </c>
      <c r="K127" s="127">
        <f t="shared" si="28"/>
        <v>335000</v>
      </c>
      <c r="L127" s="90">
        <f t="shared" si="28"/>
        <v>385000</v>
      </c>
      <c r="M127" s="90">
        <f t="shared" si="28"/>
        <v>435000</v>
      </c>
      <c r="N127" s="90">
        <f t="shared" si="28"/>
        <v>485000</v>
      </c>
      <c r="O127" s="90">
        <f t="shared" si="28"/>
        <v>535000</v>
      </c>
      <c r="P127" s="90" t="e">
        <f>#REF!+50000</f>
        <v>#REF!</v>
      </c>
    </row>
    <row r="129" spans="6:16" x14ac:dyDescent="0.4">
      <c r="F129" s="83" t="s">
        <v>115</v>
      </c>
      <c r="G129" s="160">
        <f>G127*1.5</f>
        <v>0</v>
      </c>
      <c r="H129" s="160">
        <v>130000</v>
      </c>
      <c r="I129" s="160">
        <v>400000</v>
      </c>
      <c r="J129" s="160">
        <f t="shared" ref="J129:P129" si="29">J127*1.5</f>
        <v>427500</v>
      </c>
      <c r="K129" s="293">
        <f t="shared" si="29"/>
        <v>502500</v>
      </c>
      <c r="L129" s="160">
        <f t="shared" si="29"/>
        <v>577500</v>
      </c>
      <c r="M129" s="160">
        <f t="shared" si="29"/>
        <v>652500</v>
      </c>
      <c r="N129" s="160">
        <f t="shared" si="29"/>
        <v>727500</v>
      </c>
      <c r="O129" s="160">
        <f t="shared" si="29"/>
        <v>802500</v>
      </c>
      <c r="P129" s="160" t="e">
        <f t="shared" si="29"/>
        <v>#REF!</v>
      </c>
    </row>
    <row r="131" spans="6:16" x14ac:dyDescent="0.4">
      <c r="F131" t="s">
        <v>116</v>
      </c>
      <c r="H131" s="90">
        <v>100000</v>
      </c>
      <c r="I131" s="90"/>
      <c r="J131" s="90"/>
      <c r="K131" s="127"/>
      <c r="L131" s="90"/>
      <c r="M131" s="90"/>
      <c r="N131" s="90"/>
      <c r="O131" s="90"/>
      <c r="P131" s="103"/>
    </row>
    <row r="133" spans="6:16" x14ac:dyDescent="0.4">
      <c r="F133" s="162" t="s">
        <v>117</v>
      </c>
      <c r="G133" s="163">
        <f t="shared" ref="G133:P133" si="30">SUM(G127:G132)</f>
        <v>0</v>
      </c>
      <c r="H133" s="163">
        <f t="shared" si="30"/>
        <v>415000</v>
      </c>
      <c r="I133" s="163">
        <f t="shared" si="30"/>
        <v>635000</v>
      </c>
      <c r="J133" s="163">
        <f t="shared" si="30"/>
        <v>712500</v>
      </c>
      <c r="K133" s="294">
        <f t="shared" si="30"/>
        <v>837500</v>
      </c>
      <c r="L133" s="163">
        <f t="shared" si="30"/>
        <v>962500</v>
      </c>
      <c r="M133" s="163">
        <f t="shared" si="30"/>
        <v>1087500</v>
      </c>
      <c r="N133" s="163">
        <f t="shared" si="30"/>
        <v>1212500</v>
      </c>
      <c r="O133" s="163">
        <f t="shared" si="30"/>
        <v>1337500</v>
      </c>
      <c r="P133" s="163" t="e">
        <f t="shared" si="30"/>
        <v>#REF!</v>
      </c>
    </row>
    <row r="135" spans="6:16" x14ac:dyDescent="0.4">
      <c r="F135" s="164" t="s">
        <v>118</v>
      </c>
      <c r="G135" s="165">
        <f t="shared" ref="G135:P135" si="31">G133*12</f>
        <v>0</v>
      </c>
      <c r="H135" s="165">
        <f t="shared" si="31"/>
        <v>4980000</v>
      </c>
      <c r="I135" s="165">
        <f t="shared" si="31"/>
        <v>7620000</v>
      </c>
      <c r="J135" s="165">
        <f t="shared" si="31"/>
        <v>8550000</v>
      </c>
      <c r="K135" s="295">
        <f t="shared" si="31"/>
        <v>10050000</v>
      </c>
      <c r="L135" s="165">
        <f t="shared" si="31"/>
        <v>11550000</v>
      </c>
      <c r="M135" s="165">
        <f t="shared" si="31"/>
        <v>13050000</v>
      </c>
      <c r="N135" s="165">
        <f t="shared" si="31"/>
        <v>14550000</v>
      </c>
      <c r="O135" s="165">
        <f t="shared" si="31"/>
        <v>16050000</v>
      </c>
      <c r="P135" s="165" t="e">
        <f t="shared" si="31"/>
        <v>#REF!</v>
      </c>
    </row>
    <row r="137" spans="6:16" x14ac:dyDescent="0.4">
      <c r="G137" s="90"/>
      <c r="H137" s="90"/>
      <c r="I137" s="90"/>
      <c r="J137" s="90"/>
      <c r="K137" s="127"/>
      <c r="L137" s="90"/>
      <c r="M137" s="90"/>
      <c r="N137" s="90"/>
      <c r="O137" s="90"/>
      <c r="P137" s="90"/>
    </row>
    <row r="138" spans="6:16" x14ac:dyDescent="0.4">
      <c r="F138" s="166"/>
      <c r="G138" s="132"/>
      <c r="H138" s="132"/>
      <c r="I138" s="132"/>
      <c r="J138" s="132"/>
      <c r="K138" s="289"/>
      <c r="L138" s="132"/>
      <c r="M138" s="132"/>
      <c r="N138" s="132"/>
      <c r="O138" s="132"/>
      <c r="P138" s="132"/>
    </row>
    <row r="139" spans="6:16" x14ac:dyDescent="0.4">
      <c r="F139" s="83"/>
      <c r="G139" s="90"/>
      <c r="H139" s="90"/>
      <c r="I139" s="90"/>
      <c r="J139" s="90"/>
      <c r="K139" s="127"/>
      <c r="L139" s="90"/>
      <c r="M139" s="90"/>
      <c r="N139" s="90"/>
      <c r="O139" s="90"/>
      <c r="P139" s="90"/>
    </row>
    <row r="140" spans="6:16" x14ac:dyDescent="0.4">
      <c r="F140" s="83"/>
      <c r="G140" s="132"/>
      <c r="H140" s="132"/>
      <c r="I140" s="132"/>
      <c r="J140" s="132"/>
      <c r="K140" s="289"/>
      <c r="L140" s="132"/>
      <c r="M140" s="132"/>
      <c r="N140" s="132"/>
      <c r="O140" s="132"/>
      <c r="P140" s="132"/>
    </row>
    <row r="141" spans="6:16" x14ac:dyDescent="0.4">
      <c r="F141" s="83"/>
      <c r="G141" s="132"/>
      <c r="H141" s="132"/>
      <c r="I141" s="132"/>
      <c r="J141" s="132"/>
      <c r="K141" s="289"/>
      <c r="L141" s="132"/>
      <c r="M141" s="132"/>
      <c r="N141" s="132"/>
      <c r="O141" s="132"/>
      <c r="P141" s="132"/>
    </row>
    <row r="176" spans="5:16" x14ac:dyDescent="0.4">
      <c r="E176" s="72"/>
      <c r="J176" s="3"/>
      <c r="K176"/>
      <c r="P176"/>
    </row>
    <row r="177" spans="5:16" x14ac:dyDescent="0.4">
      <c r="E177" s="72"/>
      <c r="J177" s="3"/>
      <c r="K177"/>
      <c r="P177"/>
    </row>
    <row r="178" spans="5:16" x14ac:dyDescent="0.4">
      <c r="E178" s="72"/>
      <c r="J178" s="3"/>
      <c r="K178"/>
      <c r="P178"/>
    </row>
    <row r="179" spans="5:16" x14ac:dyDescent="0.4">
      <c r="E179" s="72"/>
      <c r="J179" s="3"/>
      <c r="K179"/>
      <c r="P179"/>
    </row>
    <row r="180" spans="5:16" x14ac:dyDescent="0.4">
      <c r="E180" s="72"/>
      <c r="J180" s="3"/>
      <c r="K180"/>
      <c r="P180"/>
    </row>
    <row r="181" spans="5:16" x14ac:dyDescent="0.4">
      <c r="E181" s="72"/>
      <c r="J181" s="3"/>
      <c r="K181"/>
      <c r="P181"/>
    </row>
    <row r="182" spans="5:16" x14ac:dyDescent="0.4">
      <c r="E182" s="72"/>
      <c r="J182" s="3"/>
      <c r="K182"/>
      <c r="P182"/>
    </row>
    <row r="183" spans="5:16" x14ac:dyDescent="0.4">
      <c r="E183" s="72"/>
      <c r="J183" s="3"/>
      <c r="K183"/>
      <c r="P183"/>
    </row>
    <row r="184" spans="5:16" x14ac:dyDescent="0.4">
      <c r="E184" s="72"/>
      <c r="J184" s="3"/>
      <c r="K184"/>
      <c r="P184"/>
    </row>
    <row r="185" spans="5:16" x14ac:dyDescent="0.4">
      <c r="E185" s="72"/>
      <c r="J185" s="3"/>
      <c r="K185"/>
      <c r="P185"/>
    </row>
    <row r="186" spans="5:16" x14ac:dyDescent="0.4">
      <c r="E186" s="72"/>
      <c r="J186" s="3"/>
      <c r="K186"/>
      <c r="P186"/>
    </row>
    <row r="187" spans="5:16" x14ac:dyDescent="0.4">
      <c r="E187" s="72"/>
      <c r="J187" s="3"/>
      <c r="K187"/>
      <c r="P187"/>
    </row>
    <row r="188" spans="5:16" x14ac:dyDescent="0.4">
      <c r="E188" s="72"/>
      <c r="J188" s="3"/>
      <c r="K188"/>
      <c r="P188"/>
    </row>
    <row r="189" spans="5:16" x14ac:dyDescent="0.4">
      <c r="E189" s="72"/>
      <c r="J189" s="3"/>
      <c r="K189"/>
      <c r="P189"/>
    </row>
    <row r="190" spans="5:16" x14ac:dyDescent="0.4">
      <c r="E190" s="72"/>
      <c r="J190" s="3"/>
      <c r="K190"/>
      <c r="P190"/>
    </row>
    <row r="191" spans="5:16" x14ac:dyDescent="0.4">
      <c r="E191" s="72"/>
      <c r="J191" s="3"/>
      <c r="K191"/>
      <c r="P191"/>
    </row>
    <row r="192" spans="5:16" x14ac:dyDescent="0.4">
      <c r="E192" s="72"/>
      <c r="J192" s="3"/>
      <c r="K192"/>
      <c r="P192"/>
    </row>
  </sheetData>
  <mergeCells count="5">
    <mergeCell ref="G1:I1"/>
    <mergeCell ref="A2:B2"/>
    <mergeCell ref="A19:A21"/>
    <mergeCell ref="A10:A12"/>
    <mergeCell ref="A14:A17"/>
  </mergeCells>
  <conditionalFormatting sqref="C22:O22 C28:O28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D276-B3DD-46F6-BB4C-8209F04ABFD3}">
  <dimension ref="A1:W144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13" sqref="I113"/>
    </sheetView>
  </sheetViews>
  <sheetFormatPr defaultRowHeight="14.6" x14ac:dyDescent="0.4"/>
  <cols>
    <col min="1" max="1" width="36.53515625" customWidth="1"/>
    <col min="2" max="2" width="38" customWidth="1"/>
    <col min="3" max="5" width="11.15234375" customWidth="1"/>
    <col min="6" max="6" width="12.53515625" bestFit="1" customWidth="1"/>
    <col min="7" max="7" width="12.84375" customWidth="1"/>
    <col min="8" max="8" width="15" bestFit="1" customWidth="1"/>
    <col min="9" max="9" width="12.53515625" bestFit="1" customWidth="1"/>
    <col min="10" max="10" width="12.53515625" customWidth="1"/>
    <col min="11" max="11" width="12.53515625" style="72" customWidth="1"/>
    <col min="12" max="13" width="12.53515625" customWidth="1"/>
    <col min="14" max="14" width="19.53515625" customWidth="1"/>
    <col min="15" max="15" width="15.53515625" customWidth="1"/>
    <col min="16" max="16" width="13.3046875" style="3" bestFit="1" customWidth="1"/>
    <col min="17" max="17" width="13.3828125" bestFit="1" customWidth="1"/>
    <col min="18" max="18" width="13.3046875" bestFit="1" customWidth="1"/>
    <col min="19" max="19" width="14.53515625" customWidth="1"/>
    <col min="20" max="20" width="12.84375" bestFit="1" customWidth="1"/>
    <col min="21" max="21" width="12.15234375" bestFit="1" customWidth="1"/>
    <col min="22" max="25" width="11" bestFit="1" customWidth="1"/>
  </cols>
  <sheetData>
    <row r="1" spans="1:22" ht="18.899999999999999" thickBot="1" x14ac:dyDescent="0.55000000000000004">
      <c r="A1" s="83" t="s">
        <v>222</v>
      </c>
      <c r="B1" s="343">
        <f ca="1">TODAY()</f>
        <v>46147</v>
      </c>
      <c r="E1" s="2"/>
      <c r="F1" s="161"/>
      <c r="G1" s="681">
        <v>2023</v>
      </c>
      <c r="H1" s="681"/>
      <c r="I1" s="681"/>
      <c r="K1" s="131"/>
      <c r="L1" s="307"/>
      <c r="N1" s="25"/>
    </row>
    <row r="2" spans="1:22" ht="15" thickBot="1" x14ac:dyDescent="0.45">
      <c r="A2" s="682" t="s">
        <v>0</v>
      </c>
      <c r="B2" s="682"/>
      <c r="C2" s="342" t="s">
        <v>1</v>
      </c>
      <c r="D2" s="342" t="s">
        <v>2</v>
      </c>
      <c r="E2" s="342" t="s">
        <v>3</v>
      </c>
      <c r="F2" s="342" t="s">
        <v>4</v>
      </c>
      <c r="G2" s="342" t="s">
        <v>5</v>
      </c>
      <c r="H2" s="342" t="s">
        <v>6</v>
      </c>
      <c r="I2" s="342" t="s">
        <v>7</v>
      </c>
      <c r="J2" s="342" t="s">
        <v>8</v>
      </c>
      <c r="K2" s="342" t="s">
        <v>9</v>
      </c>
      <c r="L2" s="342" t="s">
        <v>10</v>
      </c>
      <c r="M2" s="342" t="s">
        <v>11</v>
      </c>
      <c r="N2" s="342" t="s">
        <v>12</v>
      </c>
      <c r="O2" s="342" t="s">
        <v>13</v>
      </c>
    </row>
    <row r="3" spans="1:22" ht="15.75" customHeight="1" thickBot="1" x14ac:dyDescent="0.45">
      <c r="A3" s="326" t="s">
        <v>14</v>
      </c>
      <c r="B3" s="224" t="s">
        <v>15</v>
      </c>
      <c r="C3" s="225">
        <v>218082</v>
      </c>
      <c r="D3" s="225">
        <v>216803</v>
      </c>
      <c r="E3" s="225">
        <v>231863</v>
      </c>
      <c r="F3" s="225">
        <f>233751+875</f>
        <v>234626</v>
      </c>
      <c r="G3" s="225">
        <v>252748</v>
      </c>
      <c r="H3" s="225">
        <v>275590</v>
      </c>
      <c r="I3" s="225">
        <v>303985</v>
      </c>
      <c r="J3" s="225">
        <v>304741</v>
      </c>
      <c r="K3" s="225">
        <v>324458</v>
      </c>
      <c r="L3" s="225">
        <v>371084</v>
      </c>
      <c r="M3" s="225">
        <v>373068</v>
      </c>
      <c r="N3" s="313">
        <v>338390</v>
      </c>
      <c r="O3" s="136">
        <f>SUM(C3:N3)</f>
        <v>3445438</v>
      </c>
      <c r="Q3" s="255"/>
      <c r="S3" s="296"/>
      <c r="T3" s="296"/>
      <c r="U3" s="296"/>
      <c r="V3" s="296"/>
    </row>
    <row r="4" spans="1:22" ht="15" customHeight="1" x14ac:dyDescent="0.4">
      <c r="A4" s="339"/>
      <c r="B4" s="77" t="s">
        <v>223</v>
      </c>
      <c r="C4" s="131"/>
      <c r="D4" s="131"/>
      <c r="E4" s="76"/>
      <c r="F4" s="131"/>
      <c r="G4" s="131"/>
      <c r="H4" s="131"/>
      <c r="I4" s="131"/>
      <c r="J4" s="131"/>
      <c r="K4" s="131"/>
      <c r="L4" s="131"/>
      <c r="M4" s="131"/>
      <c r="N4" s="341"/>
      <c r="O4" s="136">
        <f>SUM(C4:N4)</f>
        <v>0</v>
      </c>
      <c r="Q4" s="256"/>
      <c r="S4" s="296"/>
      <c r="T4" s="296"/>
      <c r="U4" s="296"/>
      <c r="V4" s="296"/>
    </row>
    <row r="5" spans="1:22" ht="15" customHeight="1" x14ac:dyDescent="0.4">
      <c r="A5" s="339"/>
      <c r="B5" s="77" t="s">
        <v>19</v>
      </c>
      <c r="C5" s="79"/>
      <c r="D5" s="69"/>
      <c r="E5" s="69"/>
      <c r="F5" s="69"/>
      <c r="G5" s="69"/>
      <c r="H5" s="79"/>
      <c r="I5" s="69"/>
      <c r="J5" s="79"/>
      <c r="K5" s="69"/>
      <c r="L5" s="133"/>
      <c r="M5" s="133"/>
      <c r="N5" s="340"/>
      <c r="O5" s="137">
        <f>SUM(C5:N5)</f>
        <v>0</v>
      </c>
      <c r="Q5" s="255"/>
      <c r="S5" s="296"/>
      <c r="T5" s="296"/>
      <c r="U5" s="296"/>
      <c r="V5" s="296"/>
    </row>
    <row r="6" spans="1:22" ht="15" customHeight="1" x14ac:dyDescent="0.4">
      <c r="A6" s="339"/>
      <c r="B6" s="77" t="s">
        <v>21</v>
      </c>
      <c r="C6" s="69"/>
      <c r="D6" s="69"/>
      <c r="E6" s="69"/>
      <c r="F6" s="69"/>
      <c r="G6" s="69"/>
      <c r="H6" s="69"/>
      <c r="I6" s="69"/>
      <c r="J6" s="69"/>
      <c r="K6" s="69"/>
      <c r="L6" s="306"/>
      <c r="M6" s="133"/>
      <c r="N6" s="338"/>
      <c r="O6" s="138">
        <f>SUM(F6:N6)</f>
        <v>0</v>
      </c>
      <c r="P6" s="58"/>
      <c r="Q6" s="255"/>
      <c r="S6" s="296"/>
      <c r="T6" s="296"/>
      <c r="U6" s="296"/>
      <c r="V6" s="296"/>
    </row>
    <row r="7" spans="1:22" ht="15.75" customHeight="1" thickBot="1" x14ac:dyDescent="0.45">
      <c r="A7" s="337"/>
      <c r="B7" s="80" t="s">
        <v>224</v>
      </c>
      <c r="C7" s="88"/>
      <c r="D7" s="88"/>
      <c r="E7" s="88"/>
      <c r="F7" s="88"/>
      <c r="G7" s="88"/>
      <c r="H7" s="88"/>
      <c r="I7" s="88"/>
      <c r="J7" s="88"/>
      <c r="K7" s="167"/>
      <c r="L7" s="121"/>
      <c r="M7" s="121"/>
      <c r="N7" s="336"/>
      <c r="O7" s="139">
        <f>SUM(C7:N7)</f>
        <v>0</v>
      </c>
      <c r="Q7" s="255"/>
      <c r="S7" s="296"/>
      <c r="T7" s="296"/>
      <c r="U7" s="296"/>
      <c r="V7" s="296"/>
    </row>
    <row r="8" spans="1:22" ht="15.75" customHeight="1" thickBot="1" x14ac:dyDescent="0.45">
      <c r="A8" s="335"/>
      <c r="B8" s="81" t="s">
        <v>25</v>
      </c>
      <c r="C8" s="89"/>
      <c r="D8" s="89"/>
      <c r="E8" s="89"/>
      <c r="F8" s="89"/>
      <c r="G8" s="89"/>
      <c r="H8" s="82"/>
      <c r="I8" s="89"/>
      <c r="J8" s="89"/>
      <c r="K8" s="82"/>
      <c r="L8" s="75"/>
      <c r="M8" s="75"/>
      <c r="N8" s="334"/>
      <c r="O8" s="140">
        <f>SUM(C8:N8)</f>
        <v>0</v>
      </c>
      <c r="Q8" s="254"/>
      <c r="S8" s="296"/>
      <c r="T8" s="296"/>
      <c r="U8" s="296"/>
      <c r="V8" s="296"/>
    </row>
    <row r="9" spans="1:22" ht="14.5" customHeight="1" thickBot="1" x14ac:dyDescent="0.45">
      <c r="A9" s="106"/>
      <c r="B9" s="107"/>
      <c r="C9" s="108"/>
      <c r="D9" s="109"/>
      <c r="E9" s="144"/>
      <c r="F9" s="144"/>
      <c r="G9" s="109"/>
      <c r="H9" s="195"/>
      <c r="I9" s="194"/>
      <c r="J9" s="194"/>
      <c r="K9" s="108"/>
      <c r="L9" s="108"/>
      <c r="M9" s="108"/>
      <c r="N9" s="108"/>
      <c r="O9" s="135"/>
      <c r="Q9" s="151"/>
      <c r="S9" s="151"/>
      <c r="T9" s="254"/>
      <c r="U9" s="296"/>
    </row>
    <row r="10" spans="1:22" ht="14.5" customHeight="1" thickBot="1" x14ac:dyDescent="0.45">
      <c r="A10" s="683" t="s">
        <v>26</v>
      </c>
      <c r="B10" s="226" t="s">
        <v>225</v>
      </c>
      <c r="C10" s="227">
        <v>62639</v>
      </c>
      <c r="D10" s="228">
        <v>70350</v>
      </c>
      <c r="E10" s="227">
        <f>87494-10000</f>
        <v>77494</v>
      </c>
      <c r="F10" s="227">
        <v>51947</v>
      </c>
      <c r="G10" s="227">
        <v>140324</v>
      </c>
      <c r="H10" s="227">
        <v>165632</v>
      </c>
      <c r="I10" s="227">
        <v>72989</v>
      </c>
      <c r="J10" s="266">
        <v>150257</v>
      </c>
      <c r="K10" s="266">
        <v>103384</v>
      </c>
      <c r="L10" s="266">
        <v>93118</v>
      </c>
      <c r="M10" s="266">
        <v>64906</v>
      </c>
      <c r="N10" s="333">
        <v>59113</v>
      </c>
      <c r="O10" s="136">
        <f>SUM(C10:N10)</f>
        <v>1112153</v>
      </c>
      <c r="P10" s="38"/>
      <c r="Q10" s="158"/>
      <c r="U10" s="254"/>
    </row>
    <row r="11" spans="1:22" s="73" customFormat="1" ht="15" thickBot="1" x14ac:dyDescent="0.45">
      <c r="A11" s="683"/>
      <c r="B11" s="145" t="s">
        <v>28</v>
      </c>
      <c r="C11" s="69"/>
      <c r="D11" s="69">
        <v>656</v>
      </c>
      <c r="E11" s="69">
        <v>421</v>
      </c>
      <c r="F11" s="69">
        <v>1727</v>
      </c>
      <c r="G11" s="69">
        <v>2594</v>
      </c>
      <c r="H11" s="332">
        <v>625</v>
      </c>
      <c r="I11" s="331">
        <v>16128</v>
      </c>
      <c r="J11" s="258"/>
      <c r="K11" s="259"/>
      <c r="L11" s="260"/>
      <c r="M11" s="260"/>
      <c r="N11" s="260"/>
      <c r="O11" s="137">
        <f>SUM(C11:N11)</f>
        <v>22151</v>
      </c>
      <c r="P11" s="38"/>
      <c r="Q11" s="297"/>
      <c r="S11" s="257"/>
      <c r="T11" s="298"/>
      <c r="U11" s="297"/>
    </row>
    <row r="12" spans="1:22" s="73" customFormat="1" ht="15" thickBot="1" x14ac:dyDescent="0.45">
      <c r="A12" s="683"/>
      <c r="B12" s="146" t="s">
        <v>29</v>
      </c>
      <c r="C12" s="330">
        <v>-1183</v>
      </c>
      <c r="D12" s="330">
        <v>-10069</v>
      </c>
      <c r="E12" s="330">
        <v>-692</v>
      </c>
      <c r="F12" s="330"/>
      <c r="G12" s="330">
        <v>-12593</v>
      </c>
      <c r="H12" s="330">
        <v>-2420</v>
      </c>
      <c r="I12" s="329"/>
      <c r="J12" s="261"/>
      <c r="K12" s="267"/>
      <c r="L12" s="261"/>
      <c r="M12" s="262"/>
      <c r="N12" s="262"/>
      <c r="O12" s="147">
        <f>SUM(C12:N12)</f>
        <v>-26957</v>
      </c>
      <c r="P12" s="74"/>
      <c r="S12" s="159"/>
      <c r="U12" s="159"/>
    </row>
    <row r="13" spans="1:22" s="73" customFormat="1" ht="14.5" customHeight="1" thickBot="1" x14ac:dyDescent="0.45">
      <c r="A13" s="111"/>
      <c r="B13" s="112"/>
      <c r="C13" s="113"/>
      <c r="D13" s="113"/>
      <c r="E13" s="113"/>
      <c r="F13" s="113"/>
      <c r="G13" s="113"/>
      <c r="H13" s="113"/>
      <c r="I13" s="113"/>
      <c r="J13" s="113"/>
      <c r="K13" s="113"/>
      <c r="L13" s="114"/>
      <c r="M13" s="114"/>
      <c r="N13" s="114"/>
      <c r="O13" s="114"/>
      <c r="P13" s="96"/>
      <c r="Q13" s="257"/>
      <c r="S13" s="159"/>
      <c r="U13" s="159"/>
    </row>
    <row r="14" spans="1:22" ht="14.5" customHeight="1" thickBot="1" x14ac:dyDescent="0.45">
      <c r="A14" s="683" t="s">
        <v>30</v>
      </c>
      <c r="B14" s="193" t="s">
        <v>31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>
        <v>13143</v>
      </c>
      <c r="O14" s="142">
        <f>SUM(C14:N14)</f>
        <v>13143</v>
      </c>
      <c r="P14" s="74"/>
      <c r="S14" s="150"/>
    </row>
    <row r="15" spans="1:22" ht="14.5" customHeight="1" thickBot="1" x14ac:dyDescent="0.45">
      <c r="A15" s="683"/>
      <c r="B15" s="92" t="s">
        <v>226</v>
      </c>
      <c r="C15" s="79"/>
      <c r="D15" s="69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141">
        <f>SUM(C15:N15)</f>
        <v>0</v>
      </c>
      <c r="P15" s="38"/>
      <c r="S15" s="159"/>
    </row>
    <row r="16" spans="1:22" ht="15" customHeight="1" thickBot="1" x14ac:dyDescent="0.45">
      <c r="A16" s="683"/>
      <c r="B16" s="328" t="s">
        <v>33</v>
      </c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230"/>
      <c r="Q16" s="151"/>
    </row>
    <row r="17" spans="1:20" ht="15" thickBot="1" x14ac:dyDescent="0.45">
      <c r="A17" s="683"/>
      <c r="B17" s="325" t="s">
        <v>34</v>
      </c>
      <c r="C17" s="324"/>
      <c r="D17" s="324"/>
      <c r="E17" s="324"/>
      <c r="F17" s="323"/>
      <c r="G17" s="323"/>
      <c r="H17" s="323"/>
      <c r="I17" s="323"/>
      <c r="J17" s="323"/>
      <c r="K17" s="323"/>
      <c r="L17" s="323"/>
      <c r="M17" s="323"/>
      <c r="N17" s="323"/>
      <c r="O17" s="231"/>
    </row>
    <row r="18" spans="1:20" ht="32.25" customHeight="1" thickBot="1" x14ac:dyDescent="0.45">
      <c r="A18" s="115"/>
      <c r="B18" s="107"/>
      <c r="C18" s="110"/>
      <c r="D18" s="110"/>
      <c r="E18" s="110"/>
      <c r="F18" s="116"/>
      <c r="G18" s="116"/>
      <c r="H18" s="116"/>
      <c r="I18" s="116"/>
      <c r="J18" s="116"/>
      <c r="K18" s="108"/>
      <c r="L18" s="116"/>
      <c r="M18" s="116"/>
      <c r="N18" s="116"/>
      <c r="O18" s="110"/>
    </row>
    <row r="19" spans="1:20" s="72" customFormat="1" ht="26.25" customHeight="1" thickBot="1" x14ac:dyDescent="0.45">
      <c r="A19" s="666" t="s">
        <v>35</v>
      </c>
      <c r="B19" s="102" t="s">
        <v>36</v>
      </c>
      <c r="C19" s="101">
        <f>C3+C5+C6+C7+C8+C10+C11+C12+C14+C15</f>
        <v>279538</v>
      </c>
      <c r="D19" s="101">
        <f>D3+D5+D6+D7+D8+D10+D11+D12+D14+D15</f>
        <v>277740</v>
      </c>
      <c r="E19" s="101">
        <f>E3+E5+E6+E7+E8+E10+E11+E12+E14+E15</f>
        <v>309086</v>
      </c>
      <c r="F19" s="101">
        <f>F3+F4+F5+F6+F7+F8+F10+F11+F12+F14+F15</f>
        <v>288300</v>
      </c>
      <c r="G19" s="101">
        <f t="shared" ref="G19:N19" si="0">G46</f>
        <v>383073</v>
      </c>
      <c r="H19" s="217">
        <f t="shared" si="0"/>
        <v>439427</v>
      </c>
      <c r="I19" s="217">
        <f t="shared" si="0"/>
        <v>393102</v>
      </c>
      <c r="J19" s="217">
        <f t="shared" si="0"/>
        <v>454998</v>
      </c>
      <c r="K19" s="217">
        <f t="shared" si="0"/>
        <v>427842</v>
      </c>
      <c r="L19" s="217">
        <f t="shared" si="0"/>
        <v>464202</v>
      </c>
      <c r="M19" s="217">
        <f t="shared" si="0"/>
        <v>437974</v>
      </c>
      <c r="N19" s="217">
        <f t="shared" si="0"/>
        <v>397503</v>
      </c>
      <c r="O19" s="217">
        <f>SUM(C19:N19)</f>
        <v>4552785</v>
      </c>
      <c r="P19" s="3"/>
      <c r="R19" s="72" t="s">
        <v>37</v>
      </c>
    </row>
    <row r="20" spans="1:20" s="72" customFormat="1" ht="15" thickBot="1" x14ac:dyDescent="0.45">
      <c r="A20" s="666"/>
      <c r="B20" s="322" t="s">
        <v>39</v>
      </c>
      <c r="C20" s="321">
        <f>C3+C5+C6+C10+C11+C16+C12</f>
        <v>279538</v>
      </c>
      <c r="D20" s="321">
        <f>D3+D5+D6+D10+D11+D16+D12</f>
        <v>277740</v>
      </c>
      <c r="E20" s="321">
        <f>E3+E5+E6+E10+E11+E16+E12+E14</f>
        <v>309086</v>
      </c>
      <c r="F20" s="321">
        <f>F19+F16</f>
        <v>288300</v>
      </c>
      <c r="G20" s="321">
        <f>G3+G5+G6+G10+G11+G16+G12+G14</f>
        <v>383073</v>
      </c>
      <c r="H20" s="321">
        <f>H3+H5+H6+H10+H11+H16+H12+H14</f>
        <v>439427</v>
      </c>
      <c r="I20" s="321">
        <f>I3+I5+I6+I10+I11+I16+I12+I14</f>
        <v>393102</v>
      </c>
      <c r="J20" s="321">
        <f>J3+J5+J6+J10+J11+J16+J12+J14</f>
        <v>454998</v>
      </c>
      <c r="K20" s="321">
        <f>K3+K5+K6+K7+K8+K10+K11+K12+K14+K16</f>
        <v>427842</v>
      </c>
      <c r="L20" s="321">
        <f>L3+L5+L6+L7+L8+L10+L11+L12+L14+L16</f>
        <v>464202</v>
      </c>
      <c r="M20" s="321">
        <f>M3+M5+M6+M7+M8+M10+M11+M12+M14+M16</f>
        <v>437974</v>
      </c>
      <c r="N20" s="321">
        <f>N3+N5+N6+N7+N8+N10+N11+N12+N14+N16</f>
        <v>410646</v>
      </c>
      <c r="O20" s="232"/>
      <c r="P20" s="71"/>
      <c r="R20" s="127">
        <v>373082</v>
      </c>
      <c r="S20" s="72" t="s">
        <v>227</v>
      </c>
    </row>
    <row r="21" spans="1:20" ht="15" thickBot="1" x14ac:dyDescent="0.45">
      <c r="A21" s="666"/>
      <c r="B21" s="320" t="s">
        <v>41</v>
      </c>
      <c r="C21" s="319">
        <f>C3+C5+C6+C10+C11+C12+C17</f>
        <v>279538</v>
      </c>
      <c r="D21" s="319">
        <f>D3+D5+D6+D10+D11+D12+D17</f>
        <v>277740</v>
      </c>
      <c r="E21" s="319">
        <f>E3+E5+E6+E10+E11+E12+E17+E14</f>
        <v>309086</v>
      </c>
      <c r="F21" s="319">
        <f>F19+F17</f>
        <v>288300</v>
      </c>
      <c r="G21" s="319">
        <f>G3+G5+G6+G10+G11+G12+G17+G14</f>
        <v>383073</v>
      </c>
      <c r="H21" s="319">
        <f>H3+H5+H6+H10+H11+H12+H17+H14</f>
        <v>439427</v>
      </c>
      <c r="I21" s="319">
        <f>I3+I5+I6+I10+I11+I12+I17+I14</f>
        <v>393102</v>
      </c>
      <c r="J21" s="319">
        <f>J3+J5+J6+J10+J11+J12+J17+J14</f>
        <v>454998</v>
      </c>
      <c r="K21" s="319">
        <f>K3+K5+K6+K7+K8+K10+K11+K12+K14+K17</f>
        <v>427842</v>
      </c>
      <c r="L21" s="319">
        <f>L3+L5+L6+L7+L8+L10+L11+L12+L14+L17</f>
        <v>464202</v>
      </c>
      <c r="M21" s="319">
        <f>M3+M5+M6+M7+M8+M10+M11+M12+M14+M17</f>
        <v>437974</v>
      </c>
      <c r="N21" s="319">
        <f>N3+N5+N6+N7+N8+N10+N11+N12+N14+N17</f>
        <v>410646</v>
      </c>
      <c r="O21" s="233"/>
      <c r="P21" s="71"/>
      <c r="R21" s="90">
        <v>147395</v>
      </c>
    </row>
    <row r="22" spans="1:20" ht="15" thickBot="1" x14ac:dyDescent="0.45">
      <c r="A22" s="91" t="s">
        <v>43</v>
      </c>
      <c r="B22" s="93" t="s">
        <v>44</v>
      </c>
      <c r="C22" s="85">
        <f t="shared" ref="C22:N22" si="1">C19-C25</f>
        <v>-20462</v>
      </c>
      <c r="D22" s="85">
        <f t="shared" si="1"/>
        <v>-32260</v>
      </c>
      <c r="E22" s="85">
        <f t="shared" si="1"/>
        <v>-5914</v>
      </c>
      <c r="F22" s="85">
        <f t="shared" si="1"/>
        <v>-31700</v>
      </c>
      <c r="G22" s="85">
        <f t="shared" si="1"/>
        <v>63073</v>
      </c>
      <c r="H22" s="85">
        <f t="shared" si="1"/>
        <v>84427</v>
      </c>
      <c r="I22" s="85">
        <f t="shared" si="1"/>
        <v>28102</v>
      </c>
      <c r="J22" s="85">
        <f t="shared" si="1"/>
        <v>54998</v>
      </c>
      <c r="K22" s="268">
        <f t="shared" si="1"/>
        <v>27842</v>
      </c>
      <c r="L22" s="85">
        <f t="shared" si="1"/>
        <v>14202</v>
      </c>
      <c r="M22" s="85">
        <f t="shared" si="1"/>
        <v>-12026</v>
      </c>
      <c r="N22" s="85">
        <f t="shared" si="1"/>
        <v>-52497</v>
      </c>
      <c r="O22" s="234">
        <f>SUM(C22:N22)</f>
        <v>117785</v>
      </c>
      <c r="Q22" s="2"/>
      <c r="R22" s="90">
        <v>176078</v>
      </c>
    </row>
    <row r="23" spans="1:20" s="3" customFormat="1" ht="15" thickBot="1" x14ac:dyDescent="0.45">
      <c r="A23" s="117"/>
      <c r="B23" s="118"/>
      <c r="C23" s="119"/>
      <c r="D23" s="119"/>
      <c r="E23" s="119"/>
      <c r="F23" s="119"/>
      <c r="G23" s="119"/>
      <c r="H23" s="119"/>
      <c r="I23" s="119"/>
      <c r="J23" s="119"/>
      <c r="K23" s="109"/>
      <c r="L23" s="119"/>
      <c r="M23" s="119"/>
      <c r="N23" s="119"/>
      <c r="O23" s="119"/>
      <c r="R23" s="103">
        <f>R20-R21-R22</f>
        <v>49609</v>
      </c>
      <c r="S23" s="3" t="s">
        <v>21</v>
      </c>
    </row>
    <row r="24" spans="1:20" s="3" customFormat="1" x14ac:dyDescent="0.4">
      <c r="A24" s="86" t="s">
        <v>47</v>
      </c>
      <c r="B24" s="94" t="s">
        <v>48</v>
      </c>
      <c r="C24" s="78">
        <f>C19</f>
        <v>279538</v>
      </c>
      <c r="D24" s="78">
        <f t="shared" ref="D24:N24" si="2">C24+D19</f>
        <v>557278</v>
      </c>
      <c r="E24" s="78">
        <f t="shared" si="2"/>
        <v>866364</v>
      </c>
      <c r="F24" s="78">
        <f t="shared" si="2"/>
        <v>1154664</v>
      </c>
      <c r="G24" s="78">
        <f t="shared" si="2"/>
        <v>1537737</v>
      </c>
      <c r="H24" s="78">
        <f t="shared" si="2"/>
        <v>1977164</v>
      </c>
      <c r="I24" s="78">
        <f t="shared" si="2"/>
        <v>2370266</v>
      </c>
      <c r="J24" s="78">
        <f t="shared" si="2"/>
        <v>2825264</v>
      </c>
      <c r="K24" s="269">
        <f t="shared" si="2"/>
        <v>3253106</v>
      </c>
      <c r="L24" s="78">
        <f t="shared" si="2"/>
        <v>3717308</v>
      </c>
      <c r="M24" s="78">
        <f t="shared" si="2"/>
        <v>4155282</v>
      </c>
      <c r="N24" s="78">
        <f t="shared" si="2"/>
        <v>4552785</v>
      </c>
      <c r="O24" s="78">
        <f>N24</f>
        <v>4552785</v>
      </c>
      <c r="Q24" s="58"/>
    </row>
    <row r="25" spans="1:20" s="3" customFormat="1" ht="15" thickBot="1" x14ac:dyDescent="0.45">
      <c r="A25" s="87" t="s">
        <v>50</v>
      </c>
      <c r="B25" s="104" t="s">
        <v>51</v>
      </c>
      <c r="C25" s="105">
        <v>300000</v>
      </c>
      <c r="D25" s="105">
        <v>310000</v>
      </c>
      <c r="E25" s="105">
        <v>315000</v>
      </c>
      <c r="F25" s="105">
        <v>320000</v>
      </c>
      <c r="G25" s="105">
        <v>320000</v>
      </c>
      <c r="H25" s="105">
        <v>355000</v>
      </c>
      <c r="I25" s="105">
        <v>365000</v>
      </c>
      <c r="J25" s="105">
        <v>400000</v>
      </c>
      <c r="K25" s="105">
        <v>400000</v>
      </c>
      <c r="L25" s="105">
        <v>450000</v>
      </c>
      <c r="M25" s="105">
        <v>450000</v>
      </c>
      <c r="N25" s="105">
        <v>450000</v>
      </c>
      <c r="O25" s="105">
        <f>SUM(C25:N25)</f>
        <v>4435000</v>
      </c>
      <c r="Q25" s="3" t="s">
        <v>52</v>
      </c>
      <c r="R25" s="3" t="s">
        <v>53</v>
      </c>
    </row>
    <row r="26" spans="1:20" s="3" customFormat="1" x14ac:dyDescent="0.4">
      <c r="A26" s="206"/>
      <c r="B26" s="95" t="s">
        <v>54</v>
      </c>
      <c r="C26" s="98">
        <f>C25</f>
        <v>300000</v>
      </c>
      <c r="D26" s="98">
        <f t="shared" ref="D26:N26" si="3">C26+D25</f>
        <v>610000</v>
      </c>
      <c r="E26" s="98">
        <f t="shared" si="3"/>
        <v>925000</v>
      </c>
      <c r="F26" s="98">
        <f t="shared" si="3"/>
        <v>1245000</v>
      </c>
      <c r="G26" s="98">
        <f t="shared" si="3"/>
        <v>1565000</v>
      </c>
      <c r="H26" s="98">
        <f t="shared" si="3"/>
        <v>1920000</v>
      </c>
      <c r="I26" s="98">
        <f t="shared" si="3"/>
        <v>2285000</v>
      </c>
      <c r="J26" s="98">
        <f t="shared" si="3"/>
        <v>2685000</v>
      </c>
      <c r="K26" s="270">
        <f t="shared" si="3"/>
        <v>3085000</v>
      </c>
      <c r="L26" s="98">
        <f t="shared" si="3"/>
        <v>3535000</v>
      </c>
      <c r="M26" s="98">
        <f t="shared" si="3"/>
        <v>3985000</v>
      </c>
      <c r="N26" s="98">
        <f t="shared" si="3"/>
        <v>4435000</v>
      </c>
      <c r="O26" s="98">
        <f>N26</f>
        <v>4435000</v>
      </c>
      <c r="Q26" s="90">
        <v>76493</v>
      </c>
      <c r="R26" s="90">
        <v>125395</v>
      </c>
      <c r="S26" t="s">
        <v>55</v>
      </c>
    </row>
    <row r="27" spans="1:20" ht="15" hidden="1" customHeight="1" x14ac:dyDescent="0.4">
      <c r="A27" s="206" t="s">
        <v>56</v>
      </c>
      <c r="B27" s="93"/>
      <c r="C27" s="85">
        <f t="shared" ref="C27:N27" si="4">C24-C26</f>
        <v>-20462</v>
      </c>
      <c r="D27" s="85">
        <f t="shared" si="4"/>
        <v>-52722</v>
      </c>
      <c r="E27" s="85">
        <f t="shared" si="4"/>
        <v>-58636</v>
      </c>
      <c r="F27" s="85">
        <f t="shared" si="4"/>
        <v>-90336</v>
      </c>
      <c r="G27" s="97">
        <f t="shared" si="4"/>
        <v>-27263</v>
      </c>
      <c r="H27" s="97">
        <f t="shared" si="4"/>
        <v>57164</v>
      </c>
      <c r="I27" s="97">
        <f t="shared" si="4"/>
        <v>85266</v>
      </c>
      <c r="J27" s="97">
        <f t="shared" si="4"/>
        <v>140264</v>
      </c>
      <c r="K27" s="268">
        <f t="shared" si="4"/>
        <v>168106</v>
      </c>
      <c r="L27" s="97">
        <f t="shared" si="4"/>
        <v>182308</v>
      </c>
      <c r="M27" s="97">
        <f t="shared" si="4"/>
        <v>170282</v>
      </c>
      <c r="N27" s="97">
        <f t="shared" si="4"/>
        <v>117785</v>
      </c>
      <c r="O27" s="84">
        <f>N27</f>
        <v>117785</v>
      </c>
      <c r="Q27" s="90"/>
      <c r="R27" s="90"/>
    </row>
    <row r="28" spans="1:20" hidden="1" x14ac:dyDescent="0.4">
      <c r="A28" s="206" t="s">
        <v>56</v>
      </c>
      <c r="B28" s="134"/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7" t="s">
        <v>6</v>
      </c>
      <c r="I28" s="7" t="s">
        <v>7</v>
      </c>
      <c r="J28" s="7" t="s">
        <v>8</v>
      </c>
      <c r="K28" s="271" t="s">
        <v>9</v>
      </c>
      <c r="L28" s="7" t="s">
        <v>10</v>
      </c>
      <c r="M28" s="7" t="s">
        <v>11</v>
      </c>
      <c r="N28" s="7" t="s">
        <v>12</v>
      </c>
      <c r="O28" s="8">
        <v>2019</v>
      </c>
      <c r="Q28" s="90"/>
      <c r="R28" s="90"/>
    </row>
    <row r="29" spans="1:20" hidden="1" x14ac:dyDescent="0.4">
      <c r="A29" s="206" t="s">
        <v>56</v>
      </c>
      <c r="B29" s="4"/>
      <c r="C29" s="5" t="e">
        <f>SUMIFS(#REF!,#REF!,1,#REF!,2019,#REF!,"open")</f>
        <v>#REF!</v>
      </c>
      <c r="D29" s="5" t="e">
        <f>SUMIFS(#REF!,#REF!,2,#REF!,2019,#REF!,"open")</f>
        <v>#REF!</v>
      </c>
      <c r="E29" s="5" t="e">
        <f>SUMIFS(#REF!,#REF!,3,#REF!,2019,#REF!,"open")</f>
        <v>#REF!</v>
      </c>
      <c r="F29" s="5" t="e">
        <f>SUMIFS(#REF!,#REF!,4,#REF!,2019,#REF!,"open")</f>
        <v>#REF!</v>
      </c>
      <c r="G29" s="5" t="e">
        <f>SUMIFS(#REF!,#REF!,5,#REF!,2019,#REF!,"open")</f>
        <v>#REF!</v>
      </c>
      <c r="H29" s="5" t="e">
        <f>SUMIFS(#REF!,#REF!,6,#REF!,2019,#REF!,"open")</f>
        <v>#REF!</v>
      </c>
      <c r="I29" s="5" t="e">
        <f>SUMIFS(#REF!,#REF!,7,#REF!,2019,#REF!,"open")</f>
        <v>#REF!</v>
      </c>
      <c r="J29" s="5" t="e">
        <f>SUMIFS(#REF!,#REF!,8,#REF!,2019,#REF!,"open")</f>
        <v>#REF!</v>
      </c>
      <c r="K29" s="69" t="e">
        <f>SUMIFS(#REF!,#REF!,9,#REF!,2019,#REF!,"open")</f>
        <v>#REF!</v>
      </c>
      <c r="L29" s="5" t="e">
        <f>SUMIFS(#REF!,#REF!,10,#REF!,2019,#REF!,"open")</f>
        <v>#REF!</v>
      </c>
      <c r="M29" s="5" t="e">
        <f>SUMIFS(#REF!,#REF!,11,#REF!,2019,#REF!,"open")</f>
        <v>#REF!</v>
      </c>
      <c r="N29" s="5" t="e">
        <f>SUMIFS(#REF!,#REF!,12,#REF!,2019,#REF!,"open")</f>
        <v>#REF!</v>
      </c>
      <c r="O29" s="40" t="e">
        <f>SUM(C29:N29)</f>
        <v>#REF!</v>
      </c>
      <c r="Q29" s="90"/>
      <c r="R29" s="90"/>
    </row>
    <row r="30" spans="1:20" hidden="1" x14ac:dyDescent="0.4">
      <c r="A30" s="206" t="s">
        <v>56</v>
      </c>
      <c r="B30" s="4"/>
      <c r="C30" s="5" t="e">
        <f>SUMIFS(#REF!,#REF!,1,#REF!,2019,#REF!,"*",#REF!,"open")</f>
        <v>#REF!</v>
      </c>
      <c r="D30" s="5" t="e">
        <f>SUMIFS(#REF!,#REF!,2,#REF!,2019,#REF!,"*",#REF!,"open")</f>
        <v>#REF!</v>
      </c>
      <c r="E30" s="5" t="e">
        <f>SUMIFS(#REF!,#REF!,3,#REF!,2019,#REF!,"*",#REF!,"open")</f>
        <v>#REF!</v>
      </c>
      <c r="F30" s="5" t="e">
        <f>SUMIFS(#REF!,#REF!,4,#REF!,2019,#REF!,"*",#REF!,"open")</f>
        <v>#REF!</v>
      </c>
      <c r="G30" s="5" t="e">
        <f>SUMIFS(#REF!,#REF!,5,#REF!,2019,#REF!,"*",#REF!,"open")</f>
        <v>#REF!</v>
      </c>
      <c r="H30" s="5" t="e">
        <f>SUMIFS(#REF!,#REF!,6,#REF!,2019,#REF!,"*",#REF!,"open")</f>
        <v>#REF!</v>
      </c>
      <c r="I30" s="5" t="e">
        <f>SUMIFS(#REF!,#REF!,7,#REF!,2019,#REF!,"*",#REF!,"open")</f>
        <v>#REF!</v>
      </c>
      <c r="J30" s="5" t="e">
        <f>SUMIFS(#REF!,#REF!,8,#REF!,2019,#REF!,"*",#REF!,"open")</f>
        <v>#REF!</v>
      </c>
      <c r="K30" s="69" t="e">
        <f>SUMIFS(#REF!,#REF!,9,#REF!,2019,#REF!,"*",#REF!,"open")</f>
        <v>#REF!</v>
      </c>
      <c r="L30" s="5" t="e">
        <f>SUMIFS(#REF!,#REF!,10,#REF!,2019,#REF!,"*",#REF!,"open")</f>
        <v>#REF!</v>
      </c>
      <c r="M30" s="5" t="e">
        <f>SUMIFS(#REF!,#REF!,11,#REF!,2019,#REF!,"*",#REF!,"open")</f>
        <v>#REF!</v>
      </c>
      <c r="N30" s="5" t="e">
        <f>SUMIFS(#REF!,#REF!,12,#REF!,2019,#REF!,"*",#REF!,"open")</f>
        <v>#REF!</v>
      </c>
      <c r="O30" s="5" t="e">
        <f>SUM(C30:N30)</f>
        <v>#REF!</v>
      </c>
      <c r="Q30" s="90"/>
      <c r="R30" s="90"/>
    </row>
    <row r="31" spans="1:20" x14ac:dyDescent="0.4">
      <c r="A31" s="207"/>
      <c r="B31" s="318" t="s">
        <v>57</v>
      </c>
      <c r="C31" s="182">
        <f>C24-C25</f>
        <v>-20462</v>
      </c>
      <c r="D31" s="182">
        <f t="shared" ref="D31:J31" si="5">D24-D26</f>
        <v>-52722</v>
      </c>
      <c r="E31" s="182">
        <f t="shared" si="5"/>
        <v>-58636</v>
      </c>
      <c r="F31" s="182">
        <f t="shared" si="5"/>
        <v>-90336</v>
      </c>
      <c r="G31" s="182">
        <f t="shared" si="5"/>
        <v>-27263</v>
      </c>
      <c r="H31" s="79">
        <f t="shared" si="5"/>
        <v>57164</v>
      </c>
      <c r="I31" s="79">
        <f t="shared" si="5"/>
        <v>85266</v>
      </c>
      <c r="J31" s="79">
        <f t="shared" si="5"/>
        <v>140264</v>
      </c>
      <c r="K31" s="79"/>
      <c r="L31" s="182"/>
      <c r="M31" s="182"/>
      <c r="N31" s="182"/>
      <c r="O31" s="182"/>
      <c r="Q31" s="90">
        <v>7500</v>
      </c>
      <c r="R31" s="90">
        <v>15000</v>
      </c>
      <c r="S31" t="s">
        <v>183</v>
      </c>
    </row>
    <row r="32" spans="1:20" s="3" customFormat="1" x14ac:dyDescent="0.4">
      <c r="A32" s="72"/>
      <c r="B32"/>
      <c r="C32" s="2"/>
      <c r="D32" s="2"/>
      <c r="E32" s="2"/>
      <c r="F32" s="2"/>
      <c r="G32" s="2"/>
      <c r="H32" s="2"/>
      <c r="I32" s="2"/>
      <c r="J32" s="2"/>
      <c r="K32" s="272"/>
      <c r="L32" s="153"/>
      <c r="M32" s="153"/>
      <c r="N32" s="153"/>
      <c r="O32"/>
      <c r="Q32" s="90">
        <v>2000</v>
      </c>
      <c r="R32" s="90">
        <v>7000</v>
      </c>
      <c r="S32" s="308" t="s">
        <v>228</v>
      </c>
      <c r="T32" s="125"/>
    </row>
    <row r="33" spans="1:23" s="3" customFormat="1" x14ac:dyDescent="0.4">
      <c r="A33" s="155" t="s">
        <v>59</v>
      </c>
      <c r="B33" s="250" t="s">
        <v>60</v>
      </c>
      <c r="C33" s="251">
        <v>68800</v>
      </c>
      <c r="D33" s="251">
        <v>68800</v>
      </c>
      <c r="E33" s="251">
        <v>68800</v>
      </c>
      <c r="F33" s="265">
        <v>68800</v>
      </c>
      <c r="G33" s="265">
        <v>73645</v>
      </c>
      <c r="H33" s="265">
        <f>73645+7000</f>
        <v>80645</v>
      </c>
      <c r="I33" s="265">
        <f>73645+7000</f>
        <v>80645</v>
      </c>
      <c r="J33" s="265">
        <f>73645+7000</f>
        <v>80645</v>
      </c>
      <c r="K33" s="265">
        <f>73645+7000+20000</f>
        <v>100645</v>
      </c>
      <c r="L33" s="265">
        <f>125395+7000+15000</f>
        <v>147395</v>
      </c>
      <c r="M33" s="265">
        <v>147395</v>
      </c>
      <c r="N33" s="265">
        <f>87401+7000+15000</f>
        <v>109401</v>
      </c>
      <c r="O33" s="265">
        <f>SUM(C33:N33)</f>
        <v>1095616</v>
      </c>
      <c r="Q33" s="90"/>
      <c r="R33" s="90"/>
      <c r="S33" s="124"/>
      <c r="T33" s="125"/>
    </row>
    <row r="34" spans="1:23" s="3" customFormat="1" x14ac:dyDescent="0.4">
      <c r="A34" s="155" t="s">
        <v>61</v>
      </c>
      <c r="B34" s="250" t="s">
        <v>62</v>
      </c>
      <c r="C34" s="251">
        <v>41300</v>
      </c>
      <c r="D34" s="251">
        <v>41300</v>
      </c>
      <c r="E34" s="251">
        <v>41300</v>
      </c>
      <c r="F34" s="251">
        <v>41300</v>
      </c>
      <c r="G34" s="251">
        <v>49040</v>
      </c>
      <c r="H34" s="251">
        <f>41813+2200</f>
        <v>44013</v>
      </c>
      <c r="I34" s="251">
        <f>41813+2200</f>
        <v>44013</v>
      </c>
      <c r="J34" s="251">
        <f>41813+2200</f>
        <v>44013</v>
      </c>
      <c r="K34" s="251">
        <v>54000</v>
      </c>
      <c r="L34" s="251">
        <v>85993</v>
      </c>
      <c r="M34" s="251">
        <v>85993</v>
      </c>
      <c r="N34" s="251"/>
      <c r="O34" s="251">
        <f>SUM(C34:N34)</f>
        <v>572265</v>
      </c>
      <c r="Q34" s="90">
        <f>SUM(Q26:Q32)</f>
        <v>85993</v>
      </c>
      <c r="R34" s="90">
        <f>SUM(R26:R32)</f>
        <v>147395</v>
      </c>
      <c r="S34" s="124"/>
      <c r="T34" s="125"/>
    </row>
    <row r="35" spans="1:23" s="3" customFormat="1" x14ac:dyDescent="0.4">
      <c r="A35" s="155" t="s">
        <v>63</v>
      </c>
      <c r="B35" s="252" t="s">
        <v>64</v>
      </c>
      <c r="C35" s="251">
        <f t="shared" ref="C35:N35" si="6">C33-C34</f>
        <v>27500</v>
      </c>
      <c r="D35" s="251">
        <f t="shared" si="6"/>
        <v>27500</v>
      </c>
      <c r="E35" s="251">
        <f t="shared" si="6"/>
        <v>27500</v>
      </c>
      <c r="F35" s="251">
        <f t="shared" si="6"/>
        <v>27500</v>
      </c>
      <c r="G35" s="251">
        <f t="shared" si="6"/>
        <v>24605</v>
      </c>
      <c r="H35" s="251">
        <f t="shared" si="6"/>
        <v>36632</v>
      </c>
      <c r="I35" s="251">
        <f t="shared" si="6"/>
        <v>36632</v>
      </c>
      <c r="J35" s="251">
        <f t="shared" si="6"/>
        <v>36632</v>
      </c>
      <c r="K35" s="273">
        <f t="shared" si="6"/>
        <v>46645</v>
      </c>
      <c r="L35" s="251">
        <f t="shared" si="6"/>
        <v>61402</v>
      </c>
      <c r="M35" s="251">
        <f t="shared" si="6"/>
        <v>61402</v>
      </c>
      <c r="N35" s="251">
        <f t="shared" si="6"/>
        <v>109401</v>
      </c>
      <c r="O35" s="251">
        <f>SUM(C35:N35)</f>
        <v>523351</v>
      </c>
      <c r="Q35" s="150"/>
      <c r="R35" s="150"/>
      <c r="S35" s="124"/>
      <c r="T35" s="125"/>
    </row>
    <row r="36" spans="1:23" s="3" customFormat="1" x14ac:dyDescent="0.4">
      <c r="A36" s="72"/>
      <c r="B36" s="252" t="s">
        <v>65</v>
      </c>
      <c r="C36" s="253">
        <f t="shared" ref="C36:O36" si="7">C35/C33</f>
        <v>0.39970930232558138</v>
      </c>
      <c r="D36" s="253">
        <f t="shared" si="7"/>
        <v>0.39970930232558138</v>
      </c>
      <c r="E36" s="253">
        <f t="shared" si="7"/>
        <v>0.39970930232558138</v>
      </c>
      <c r="F36" s="253">
        <f t="shared" si="7"/>
        <v>0.39970930232558138</v>
      </c>
      <c r="G36" s="253">
        <f t="shared" si="7"/>
        <v>0.33410279041347002</v>
      </c>
      <c r="H36" s="253">
        <f t="shared" si="7"/>
        <v>0.45423770847541695</v>
      </c>
      <c r="I36" s="253">
        <f t="shared" si="7"/>
        <v>0.45423770847541695</v>
      </c>
      <c r="J36" s="253">
        <f t="shared" si="7"/>
        <v>0.45423770847541695</v>
      </c>
      <c r="K36" s="274">
        <f t="shared" si="7"/>
        <v>0.46346067862288243</v>
      </c>
      <c r="L36" s="253">
        <f t="shared" si="7"/>
        <v>0.4165812951592659</v>
      </c>
      <c r="M36" s="253">
        <f t="shared" si="7"/>
        <v>0.4165812951592659</v>
      </c>
      <c r="N36" s="253">
        <f t="shared" si="7"/>
        <v>1</v>
      </c>
      <c r="O36" s="253">
        <f t="shared" si="7"/>
        <v>0.47767739792043928</v>
      </c>
      <c r="Q36" s="150"/>
      <c r="R36" s="150"/>
      <c r="S36" s="124"/>
      <c r="T36" s="125"/>
    </row>
    <row r="37" spans="1:23" s="123" customFormat="1" x14ac:dyDescent="0.4">
      <c r="A37" s="122"/>
      <c r="B37" s="219" t="s">
        <v>66</v>
      </c>
      <c r="C37" s="220">
        <v>221093</v>
      </c>
      <c r="D37" s="220">
        <v>220309</v>
      </c>
      <c r="E37" s="220">
        <v>235382</v>
      </c>
      <c r="F37" s="220">
        <f t="shared" ref="F37:N37" si="8">F3</f>
        <v>234626</v>
      </c>
      <c r="G37" s="220">
        <f t="shared" si="8"/>
        <v>252748</v>
      </c>
      <c r="H37" s="220">
        <f t="shared" si="8"/>
        <v>275590</v>
      </c>
      <c r="I37" s="220">
        <f t="shared" si="8"/>
        <v>303985</v>
      </c>
      <c r="J37" s="220">
        <f t="shared" si="8"/>
        <v>304741</v>
      </c>
      <c r="K37" s="275">
        <f t="shared" si="8"/>
        <v>324458</v>
      </c>
      <c r="L37" s="220">
        <f t="shared" si="8"/>
        <v>371084</v>
      </c>
      <c r="M37" s="220">
        <f t="shared" si="8"/>
        <v>373068</v>
      </c>
      <c r="N37" s="220">
        <f t="shared" si="8"/>
        <v>338390</v>
      </c>
      <c r="O37" s="220">
        <f>SUM(C37:N37)</f>
        <v>3455474</v>
      </c>
      <c r="P37" s="3"/>
      <c r="Q37" s="58"/>
      <c r="R37" s="3">
        <f>125-87</f>
        <v>38</v>
      </c>
      <c r="S37" s="3"/>
      <c r="T37" s="3"/>
      <c r="U37" s="3"/>
      <c r="V37" s="3"/>
      <c r="W37" s="3"/>
    </row>
    <row r="38" spans="1:23" s="123" customFormat="1" x14ac:dyDescent="0.4">
      <c r="A38" s="122"/>
      <c r="B38" s="219" t="s">
        <v>67</v>
      </c>
      <c r="C38" s="220">
        <v>72816</v>
      </c>
      <c r="D38" s="220">
        <v>72895</v>
      </c>
      <c r="E38" s="220">
        <v>72704</v>
      </c>
      <c r="F38" s="220">
        <v>71598</v>
      </c>
      <c r="G38" s="220">
        <v>86053</v>
      </c>
      <c r="H38" s="220">
        <v>81568</v>
      </c>
      <c r="I38" s="220">
        <v>82196</v>
      </c>
      <c r="J38" s="220">
        <v>77141</v>
      </c>
      <c r="K38" s="275">
        <v>86887</v>
      </c>
      <c r="L38" s="220">
        <v>120216</v>
      </c>
      <c r="M38" s="220">
        <v>122384</v>
      </c>
      <c r="N38" s="220">
        <v>106649</v>
      </c>
      <c r="O38" s="220">
        <f>SUM(C38:N38)</f>
        <v>1053107</v>
      </c>
      <c r="P38" s="3"/>
      <c r="Q38" s="103"/>
      <c r="R38" s="3">
        <f>373-38</f>
        <v>335</v>
      </c>
      <c r="S38" s="3"/>
      <c r="T38" s="3"/>
      <c r="U38" s="3"/>
      <c r="V38" s="3"/>
      <c r="W38" s="3"/>
    </row>
    <row r="39" spans="1:23" s="123" customFormat="1" x14ac:dyDescent="0.4">
      <c r="A39" s="155"/>
      <c r="B39" s="222" t="s">
        <v>68</v>
      </c>
      <c r="C39" s="221">
        <f t="shared" ref="C39:N39" si="9">C37-C38</f>
        <v>148277</v>
      </c>
      <c r="D39" s="221">
        <f t="shared" si="9"/>
        <v>147414</v>
      </c>
      <c r="E39" s="221">
        <f t="shared" si="9"/>
        <v>162678</v>
      </c>
      <c r="F39" s="221">
        <f t="shared" si="9"/>
        <v>163028</v>
      </c>
      <c r="G39" s="221">
        <f t="shared" si="9"/>
        <v>166695</v>
      </c>
      <c r="H39" s="221">
        <f t="shared" si="9"/>
        <v>194022</v>
      </c>
      <c r="I39" s="221">
        <f t="shared" si="9"/>
        <v>221789</v>
      </c>
      <c r="J39" s="221">
        <f t="shared" si="9"/>
        <v>227600</v>
      </c>
      <c r="K39" s="276">
        <f t="shared" si="9"/>
        <v>237571</v>
      </c>
      <c r="L39" s="221">
        <f t="shared" si="9"/>
        <v>250868</v>
      </c>
      <c r="M39" s="221">
        <f t="shared" si="9"/>
        <v>250684</v>
      </c>
      <c r="N39" s="221">
        <f t="shared" si="9"/>
        <v>231741</v>
      </c>
      <c r="O39" s="221">
        <f>SUM(C39:N39)</f>
        <v>2402367</v>
      </c>
      <c r="P39" s="58"/>
      <c r="Q39" s="58"/>
      <c r="R39" s="3"/>
      <c r="S39" s="3"/>
      <c r="T39" s="3"/>
      <c r="U39" s="3"/>
      <c r="V39" s="3"/>
      <c r="W39" s="3"/>
    </row>
    <row r="40" spans="1:23" s="123" customFormat="1" x14ac:dyDescent="0.4">
      <c r="A40" s="155"/>
      <c r="B40" s="222" t="s">
        <v>69</v>
      </c>
      <c r="C40" s="223">
        <f t="shared" ref="C40:O40" si="10">C39/C37</f>
        <v>0.67065443048852746</v>
      </c>
      <c r="D40" s="223">
        <f t="shared" si="10"/>
        <v>0.66912382154156202</v>
      </c>
      <c r="E40" s="223">
        <f t="shared" si="10"/>
        <v>0.69112336542301456</v>
      </c>
      <c r="F40" s="229">
        <f t="shared" si="10"/>
        <v>0.69484200386998884</v>
      </c>
      <c r="G40" s="229">
        <f t="shared" si="10"/>
        <v>0.65953044138826022</v>
      </c>
      <c r="H40" s="229">
        <f t="shared" si="10"/>
        <v>0.70402409376247321</v>
      </c>
      <c r="I40" s="229">
        <f t="shared" si="10"/>
        <v>0.72960507919798678</v>
      </c>
      <c r="J40" s="229">
        <f t="shared" si="10"/>
        <v>0.74686373018399232</v>
      </c>
      <c r="K40" s="277">
        <f t="shared" si="10"/>
        <v>0.73220879127652883</v>
      </c>
      <c r="L40" s="229">
        <f t="shared" si="10"/>
        <v>0.67604100419312074</v>
      </c>
      <c r="M40" s="229">
        <f t="shared" si="10"/>
        <v>0.67195256628818334</v>
      </c>
      <c r="N40" s="229">
        <f t="shared" si="10"/>
        <v>0.68483406720056739</v>
      </c>
      <c r="O40" s="223">
        <f t="shared" si="10"/>
        <v>0.69523515442454498</v>
      </c>
      <c r="P40" s="58"/>
      <c r="Q40" s="3"/>
      <c r="R40" s="3"/>
      <c r="S40" s="3"/>
      <c r="T40" s="3"/>
      <c r="U40" s="3"/>
      <c r="V40" s="3"/>
      <c r="W40" s="3"/>
    </row>
    <row r="41" spans="1:23" s="3" customFormat="1" x14ac:dyDescent="0.4">
      <c r="A41" s="122"/>
      <c r="B41" s="208" t="s">
        <v>71</v>
      </c>
      <c r="C41" s="209">
        <v>57730</v>
      </c>
      <c r="D41" s="209">
        <v>59574</v>
      </c>
      <c r="E41" s="209">
        <f>97840-10000</f>
        <v>87840</v>
      </c>
      <c r="F41" s="209">
        <f t="shared" ref="F41:N41" si="11">F10+F11+F12</f>
        <v>53674</v>
      </c>
      <c r="G41" s="209">
        <f t="shared" si="11"/>
        <v>130325</v>
      </c>
      <c r="H41" s="209">
        <f t="shared" si="11"/>
        <v>163837</v>
      </c>
      <c r="I41" s="209">
        <f t="shared" si="11"/>
        <v>89117</v>
      </c>
      <c r="J41" s="209">
        <f t="shared" si="11"/>
        <v>150257</v>
      </c>
      <c r="K41" s="278">
        <f t="shared" si="11"/>
        <v>103384</v>
      </c>
      <c r="L41" s="209">
        <f t="shared" si="11"/>
        <v>93118</v>
      </c>
      <c r="M41" s="209">
        <f t="shared" si="11"/>
        <v>64906</v>
      </c>
      <c r="N41" s="209">
        <f t="shared" si="11"/>
        <v>59113</v>
      </c>
      <c r="O41" s="210">
        <f>SUM(C41:N41)</f>
        <v>1112875</v>
      </c>
      <c r="P41" s="58"/>
    </row>
    <row r="42" spans="1:23" s="3" customFormat="1" x14ac:dyDescent="0.4">
      <c r="A42" s="122"/>
      <c r="B42" s="208" t="s">
        <v>72</v>
      </c>
      <c r="C42" s="209">
        <v>47875</v>
      </c>
      <c r="D42" s="209">
        <v>40516</v>
      </c>
      <c r="E42" s="209">
        <v>68203</v>
      </c>
      <c r="F42" s="209">
        <v>24058</v>
      </c>
      <c r="G42" s="209">
        <v>82000</v>
      </c>
      <c r="H42" s="209">
        <v>100066</v>
      </c>
      <c r="I42" s="209">
        <v>47879</v>
      </c>
      <c r="J42" s="209">
        <v>107591</v>
      </c>
      <c r="K42" s="278">
        <v>72313</v>
      </c>
      <c r="L42" s="209">
        <v>50352</v>
      </c>
      <c r="M42" s="209">
        <v>33945</v>
      </c>
      <c r="N42" s="209">
        <v>41728</v>
      </c>
      <c r="O42" s="210">
        <f>SUM(C42:N42)</f>
        <v>716526</v>
      </c>
      <c r="P42" s="58"/>
    </row>
    <row r="43" spans="1:23" s="3" customFormat="1" x14ac:dyDescent="0.4">
      <c r="A43" s="155"/>
      <c r="B43" s="211" t="s">
        <v>73</v>
      </c>
      <c r="C43" s="212">
        <f t="shared" ref="C43:N43" si="12">C41-C42</f>
        <v>9855</v>
      </c>
      <c r="D43" s="212">
        <f t="shared" si="12"/>
        <v>19058</v>
      </c>
      <c r="E43" s="212">
        <f t="shared" si="12"/>
        <v>19637</v>
      </c>
      <c r="F43" s="212">
        <f t="shared" si="12"/>
        <v>29616</v>
      </c>
      <c r="G43" s="212">
        <f t="shared" si="12"/>
        <v>48325</v>
      </c>
      <c r="H43" s="212">
        <f t="shared" si="12"/>
        <v>63771</v>
      </c>
      <c r="I43" s="212">
        <f t="shared" si="12"/>
        <v>41238</v>
      </c>
      <c r="J43" s="212">
        <f t="shared" si="12"/>
        <v>42666</v>
      </c>
      <c r="K43" s="279">
        <f t="shared" si="12"/>
        <v>31071</v>
      </c>
      <c r="L43" s="212">
        <f t="shared" si="12"/>
        <v>42766</v>
      </c>
      <c r="M43" s="212">
        <f t="shared" si="12"/>
        <v>30961</v>
      </c>
      <c r="N43" s="212">
        <f t="shared" si="12"/>
        <v>17385</v>
      </c>
      <c r="O43" s="213">
        <f>SUM(C43:N43)</f>
        <v>396349</v>
      </c>
      <c r="P43" s="58"/>
    </row>
    <row r="44" spans="1:23" s="3" customFormat="1" x14ac:dyDescent="0.4">
      <c r="A44" s="155"/>
      <c r="B44" s="211" t="s">
        <v>74</v>
      </c>
      <c r="C44" s="214">
        <f t="shared" ref="C44:O44" si="13">C43/C41</f>
        <v>0.17070847046596224</v>
      </c>
      <c r="D44" s="214">
        <f t="shared" si="13"/>
        <v>0.31990465639372878</v>
      </c>
      <c r="E44" s="214">
        <f t="shared" si="13"/>
        <v>0.22355418943533698</v>
      </c>
      <c r="F44" s="214">
        <f t="shared" si="13"/>
        <v>0.55177553377799304</v>
      </c>
      <c r="G44" s="214">
        <f t="shared" si="13"/>
        <v>0.37080375983119124</v>
      </c>
      <c r="H44" s="214">
        <f t="shared" si="13"/>
        <v>0.3892344220170047</v>
      </c>
      <c r="I44" s="214">
        <f t="shared" si="13"/>
        <v>0.46273999349170192</v>
      </c>
      <c r="J44" s="249">
        <f t="shared" si="13"/>
        <v>0.28395349301530043</v>
      </c>
      <c r="K44" s="249">
        <f t="shared" si="13"/>
        <v>0.30053973535556761</v>
      </c>
      <c r="L44" s="214">
        <f t="shared" si="13"/>
        <v>0.45926673682854013</v>
      </c>
      <c r="M44" s="214">
        <f t="shared" si="13"/>
        <v>0.47701291097895415</v>
      </c>
      <c r="N44" s="214">
        <f t="shared" si="13"/>
        <v>0.29409774499687041</v>
      </c>
      <c r="O44" s="214">
        <f t="shared" si="13"/>
        <v>0.35614871391665731</v>
      </c>
      <c r="P44" s="58"/>
      <c r="Q44" s="188"/>
    </row>
    <row r="45" spans="1:23" s="3" customFormat="1" x14ac:dyDescent="0.4">
      <c r="A45" s="155"/>
      <c r="B45" s="122" t="s">
        <v>76</v>
      </c>
      <c r="C45" s="317"/>
      <c r="D45" s="317"/>
      <c r="E45" s="317"/>
      <c r="F45" s="317"/>
      <c r="G45" s="317">
        <v>2187</v>
      </c>
      <c r="H45" s="317">
        <v>0</v>
      </c>
      <c r="I45" s="317">
        <v>9237</v>
      </c>
      <c r="J45" s="264"/>
      <c r="K45" s="280"/>
      <c r="L45" s="264"/>
      <c r="M45" s="264"/>
      <c r="N45" s="264"/>
      <c r="O45" s="201"/>
      <c r="P45" s="58"/>
    </row>
    <row r="46" spans="1:23" s="154" customFormat="1" ht="15" thickBot="1" x14ac:dyDescent="0.45">
      <c r="A46" s="122"/>
      <c r="B46" s="196" t="s">
        <v>77</v>
      </c>
      <c r="C46" s="197">
        <f t="shared" ref="C46:N46" si="14">C37+C41</f>
        <v>278823</v>
      </c>
      <c r="D46" s="197">
        <f t="shared" si="14"/>
        <v>279883</v>
      </c>
      <c r="E46" s="197">
        <f t="shared" si="14"/>
        <v>323222</v>
      </c>
      <c r="F46" s="197">
        <f t="shared" si="14"/>
        <v>288300</v>
      </c>
      <c r="G46" s="197">
        <f t="shared" si="14"/>
        <v>383073</v>
      </c>
      <c r="H46" s="197">
        <f t="shared" si="14"/>
        <v>439427</v>
      </c>
      <c r="I46" s="197">
        <f t="shared" si="14"/>
        <v>393102</v>
      </c>
      <c r="J46" s="263">
        <f t="shared" si="14"/>
        <v>454998</v>
      </c>
      <c r="K46" s="281">
        <f t="shared" si="14"/>
        <v>427842</v>
      </c>
      <c r="L46" s="263">
        <f t="shared" si="14"/>
        <v>464202</v>
      </c>
      <c r="M46" s="263">
        <f t="shared" si="14"/>
        <v>437974</v>
      </c>
      <c r="N46" s="263">
        <f t="shared" si="14"/>
        <v>397503</v>
      </c>
      <c r="O46" s="198">
        <f>SUM(C46:N46)</f>
        <v>4568349</v>
      </c>
      <c r="P46" s="58"/>
      <c r="Q46" s="3"/>
      <c r="R46" s="3"/>
      <c r="S46" s="3"/>
      <c r="T46" s="3"/>
      <c r="U46" s="3"/>
      <c r="V46" s="3"/>
      <c r="W46" s="3"/>
    </row>
    <row r="47" spans="1:23" s="154" customFormat="1" ht="15" thickTop="1" x14ac:dyDescent="0.4">
      <c r="A47" s="122"/>
      <c r="B47" s="122" t="s">
        <v>78</v>
      </c>
      <c r="C47" s="58">
        <f>C38+C42</f>
        <v>120691</v>
      </c>
      <c r="D47" s="58">
        <f>D38+D42</f>
        <v>113411</v>
      </c>
      <c r="E47" s="58">
        <f>E38+E42</f>
        <v>140907</v>
      </c>
      <c r="F47" s="58">
        <f>F38+F42</f>
        <v>95656</v>
      </c>
      <c r="G47" s="58">
        <f t="shared" ref="G47:N47" si="15">G38+G42+G45</f>
        <v>170240</v>
      </c>
      <c r="H47" s="58">
        <f t="shared" si="15"/>
        <v>181634</v>
      </c>
      <c r="I47" s="58">
        <f t="shared" si="15"/>
        <v>139312</v>
      </c>
      <c r="J47" s="58">
        <f t="shared" si="15"/>
        <v>184732</v>
      </c>
      <c r="K47" s="178">
        <f t="shared" si="15"/>
        <v>159200</v>
      </c>
      <c r="L47" s="58">
        <f t="shared" si="15"/>
        <v>170568</v>
      </c>
      <c r="M47" s="58">
        <f t="shared" si="15"/>
        <v>156329</v>
      </c>
      <c r="N47" s="58">
        <f t="shared" si="15"/>
        <v>148377</v>
      </c>
      <c r="O47" s="152">
        <f>SUM(C47:N47)</f>
        <v>1781057</v>
      </c>
      <c r="P47" s="58"/>
      <c r="Q47" s="3"/>
      <c r="R47" s="3"/>
      <c r="S47" s="3"/>
      <c r="T47" s="3"/>
      <c r="U47" s="3"/>
      <c r="V47" s="3"/>
      <c r="W47" s="3"/>
    </row>
    <row r="48" spans="1:23" s="157" customFormat="1" x14ac:dyDescent="0.4">
      <c r="A48" s="156"/>
      <c r="B48" s="190" t="s">
        <v>79</v>
      </c>
      <c r="C48" s="191">
        <f t="shared" ref="C48:N48" si="16">C46-C47</f>
        <v>158132</v>
      </c>
      <c r="D48" s="191">
        <f t="shared" si="16"/>
        <v>166472</v>
      </c>
      <c r="E48" s="191">
        <f t="shared" si="16"/>
        <v>182315</v>
      </c>
      <c r="F48" s="191">
        <f t="shared" si="16"/>
        <v>192644</v>
      </c>
      <c r="G48" s="191">
        <f t="shared" si="16"/>
        <v>212833</v>
      </c>
      <c r="H48" s="191">
        <f t="shared" si="16"/>
        <v>257793</v>
      </c>
      <c r="I48" s="191">
        <f t="shared" si="16"/>
        <v>253790</v>
      </c>
      <c r="J48" s="191">
        <f t="shared" si="16"/>
        <v>270266</v>
      </c>
      <c r="K48" s="282">
        <f t="shared" si="16"/>
        <v>268642</v>
      </c>
      <c r="L48" s="191">
        <f t="shared" si="16"/>
        <v>293634</v>
      </c>
      <c r="M48" s="191">
        <f t="shared" si="16"/>
        <v>281645</v>
      </c>
      <c r="N48" s="191">
        <f t="shared" si="16"/>
        <v>249126</v>
      </c>
      <c r="O48" s="192">
        <f>SUM(C48:N48)</f>
        <v>2787292</v>
      </c>
      <c r="P48" s="199"/>
      <c r="Q48" s="200"/>
      <c r="R48" s="200"/>
      <c r="S48" s="200"/>
      <c r="T48" s="200"/>
      <c r="U48" s="200"/>
      <c r="V48" s="200"/>
      <c r="W48" s="200"/>
    </row>
    <row r="49" spans="1:18" s="200" customFormat="1" x14ac:dyDescent="0.4">
      <c r="A49" s="156"/>
      <c r="B49" s="156" t="s">
        <v>80</v>
      </c>
      <c r="C49" s="236">
        <f t="shared" ref="C49:O49" si="17">C48/C46</f>
        <v>0.56714116123849179</v>
      </c>
      <c r="D49" s="236">
        <f t="shared" si="17"/>
        <v>0.59479139497575773</v>
      </c>
      <c r="E49" s="236">
        <f t="shared" si="17"/>
        <v>0.5640550457580239</v>
      </c>
      <c r="F49" s="236">
        <f t="shared" si="17"/>
        <v>0.66820672910163026</v>
      </c>
      <c r="G49" s="236">
        <f t="shared" si="17"/>
        <v>0.55559384242690035</v>
      </c>
      <c r="H49" s="236">
        <f t="shared" si="17"/>
        <v>0.58665716945021584</v>
      </c>
      <c r="I49" s="236">
        <f t="shared" si="17"/>
        <v>0.6456085189085784</v>
      </c>
      <c r="J49" s="236">
        <f t="shared" si="17"/>
        <v>0.59399381975305388</v>
      </c>
      <c r="K49" s="283">
        <f t="shared" si="17"/>
        <v>0.62790001916595384</v>
      </c>
      <c r="L49" s="236">
        <f t="shared" si="17"/>
        <v>0.63255651634417775</v>
      </c>
      <c r="M49" s="236">
        <f t="shared" si="17"/>
        <v>0.64306328686177716</v>
      </c>
      <c r="N49" s="236">
        <f t="shared" si="17"/>
        <v>0.62672734545399655</v>
      </c>
      <c r="O49" s="236">
        <f t="shared" si="17"/>
        <v>0.61013114365824506</v>
      </c>
      <c r="P49" s="199"/>
    </row>
    <row r="50" spans="1:18" s="3" customFormat="1" x14ac:dyDescent="0.4">
      <c r="A50" s="155"/>
      <c r="B50" s="242" t="s">
        <v>81</v>
      </c>
      <c r="C50" s="243">
        <v>190000</v>
      </c>
      <c r="D50" s="243">
        <v>190000</v>
      </c>
      <c r="E50" s="243">
        <v>195000</v>
      </c>
      <c r="F50" s="243">
        <v>195000</v>
      </c>
      <c r="G50" s="243">
        <v>200000</v>
      </c>
      <c r="H50" s="243">
        <v>215000</v>
      </c>
      <c r="I50" s="243">
        <v>225000</v>
      </c>
      <c r="J50" s="243">
        <v>235000</v>
      </c>
      <c r="K50" s="284">
        <v>235000</v>
      </c>
      <c r="L50" s="243">
        <v>235000</v>
      </c>
      <c r="M50" s="243">
        <v>235000</v>
      </c>
      <c r="N50" s="284">
        <v>235000</v>
      </c>
      <c r="O50" s="244">
        <f>SUM(C50:N50)</f>
        <v>2585000</v>
      </c>
      <c r="P50" s="58"/>
    </row>
    <row r="51" spans="1:18" x14ac:dyDescent="0.4">
      <c r="A51" s="155"/>
      <c r="B51" s="155" t="s">
        <v>184</v>
      </c>
      <c r="C51" s="172">
        <f t="shared" ref="C51:N51" si="18">C48-C50</f>
        <v>-31868</v>
      </c>
      <c r="D51" s="172">
        <f t="shared" si="18"/>
        <v>-23528</v>
      </c>
      <c r="E51" s="172">
        <f t="shared" si="18"/>
        <v>-12685</v>
      </c>
      <c r="F51" s="172">
        <f t="shared" si="18"/>
        <v>-2356</v>
      </c>
      <c r="G51" s="158">
        <f t="shared" si="18"/>
        <v>12833</v>
      </c>
      <c r="H51" s="158">
        <f t="shared" si="18"/>
        <v>42793</v>
      </c>
      <c r="I51" s="158">
        <f t="shared" si="18"/>
        <v>28790</v>
      </c>
      <c r="J51" s="158">
        <f t="shared" si="18"/>
        <v>35266</v>
      </c>
      <c r="K51" s="158">
        <f t="shared" si="18"/>
        <v>33642</v>
      </c>
      <c r="L51" s="158">
        <f t="shared" si="18"/>
        <v>58634</v>
      </c>
      <c r="M51" s="158">
        <f t="shared" si="18"/>
        <v>46645</v>
      </c>
      <c r="N51" s="158">
        <f t="shared" si="18"/>
        <v>14126</v>
      </c>
      <c r="O51" s="178">
        <f>SUM(C51:N51)</f>
        <v>202292</v>
      </c>
      <c r="P51" s="143"/>
    </row>
    <row r="52" spans="1:18" x14ac:dyDescent="0.4">
      <c r="A52" s="155"/>
      <c r="B52" s="155" t="s">
        <v>185</v>
      </c>
      <c r="C52" s="2"/>
      <c r="D52" s="2"/>
      <c r="E52" s="2"/>
      <c r="F52" s="2"/>
      <c r="G52" s="2"/>
      <c r="H52" s="2"/>
      <c r="I52" s="2"/>
      <c r="K52" s="71"/>
      <c r="L52" s="58"/>
      <c r="M52" s="3"/>
      <c r="N52" s="3"/>
      <c r="O52" s="58"/>
      <c r="P52" s="143"/>
    </row>
    <row r="53" spans="1:18" ht="6.75" customHeight="1" x14ac:dyDescent="0.4">
      <c r="A53" s="237"/>
      <c r="B53" s="238"/>
      <c r="C53" s="239"/>
      <c r="D53" s="239"/>
      <c r="E53" s="239"/>
      <c r="F53" s="239"/>
      <c r="G53" s="239"/>
      <c r="H53" s="239"/>
      <c r="I53" s="239"/>
      <c r="J53" s="240"/>
      <c r="K53" s="285"/>
      <c r="L53" s="240"/>
      <c r="M53" s="240"/>
      <c r="N53" s="240"/>
      <c r="O53" s="239"/>
      <c r="P53" s="143"/>
    </row>
    <row r="54" spans="1:18" ht="22.5" customHeight="1" x14ac:dyDescent="0.4">
      <c r="A54" s="155"/>
      <c r="B54" s="122" t="s">
        <v>186</v>
      </c>
      <c r="C54" s="158">
        <v>200000</v>
      </c>
      <c r="D54" s="158">
        <v>200000</v>
      </c>
      <c r="E54" s="158">
        <v>200000</v>
      </c>
      <c r="F54" s="158">
        <v>215000</v>
      </c>
      <c r="G54" s="158">
        <v>225000</v>
      </c>
      <c r="H54" s="158">
        <v>245000</v>
      </c>
      <c r="I54" s="158">
        <v>235000</v>
      </c>
      <c r="J54" s="158">
        <v>235000</v>
      </c>
      <c r="K54" s="158">
        <v>235000</v>
      </c>
      <c r="L54" s="158">
        <v>235000</v>
      </c>
      <c r="M54" s="158">
        <v>235000</v>
      </c>
      <c r="N54" s="158">
        <v>235000</v>
      </c>
      <c r="O54" s="158"/>
      <c r="P54" s="1"/>
    </row>
    <row r="55" spans="1:18" ht="18" customHeight="1" x14ac:dyDescent="0.4">
      <c r="A55" s="155"/>
      <c r="B55" s="122" t="s">
        <v>187</v>
      </c>
      <c r="C55" s="316">
        <f t="shared" ref="C55:N55" si="19">C48-C54</f>
        <v>-41868</v>
      </c>
      <c r="D55" s="316">
        <f t="shared" si="19"/>
        <v>-33528</v>
      </c>
      <c r="E55" s="316">
        <f t="shared" si="19"/>
        <v>-17685</v>
      </c>
      <c r="F55" s="316">
        <f t="shared" si="19"/>
        <v>-22356</v>
      </c>
      <c r="G55" s="316">
        <f t="shared" si="19"/>
        <v>-12167</v>
      </c>
      <c r="H55" s="304">
        <f t="shared" si="19"/>
        <v>12793</v>
      </c>
      <c r="I55" s="304">
        <f t="shared" si="19"/>
        <v>18790</v>
      </c>
      <c r="J55" s="304">
        <f t="shared" si="19"/>
        <v>35266</v>
      </c>
      <c r="K55" s="304">
        <f t="shared" si="19"/>
        <v>33642</v>
      </c>
      <c r="L55" s="304">
        <f t="shared" si="19"/>
        <v>58634</v>
      </c>
      <c r="M55" s="304">
        <f t="shared" si="19"/>
        <v>46645</v>
      </c>
      <c r="N55" s="304">
        <f t="shared" si="19"/>
        <v>14126</v>
      </c>
      <c r="O55" s="305">
        <f>SUM(C55:N55)</f>
        <v>92292</v>
      </c>
      <c r="P55" s="1"/>
    </row>
    <row r="56" spans="1:18" ht="18" customHeight="1" x14ac:dyDescent="0.4">
      <c r="A56" s="155"/>
      <c r="B56" s="122" t="s">
        <v>188</v>
      </c>
      <c r="C56" s="315">
        <f t="shared" ref="C56:N56" si="20">C55/C46</f>
        <v>-0.1501597787843901</v>
      </c>
      <c r="D56" s="315">
        <f t="shared" si="20"/>
        <v>-0.11979291346741316</v>
      </c>
      <c r="E56" s="315">
        <f t="shared" si="20"/>
        <v>-5.4714716201248674E-2</v>
      </c>
      <c r="F56" s="315">
        <f t="shared" si="20"/>
        <v>-7.7544224765868891E-2</v>
      </c>
      <c r="G56" s="315">
        <f t="shared" si="20"/>
        <v>-3.1761570249012591E-2</v>
      </c>
      <c r="H56" s="299">
        <f t="shared" si="20"/>
        <v>2.9112912952549572E-2</v>
      </c>
      <c r="I56" s="299">
        <f t="shared" si="20"/>
        <v>4.7799298909697738E-2</v>
      </c>
      <c r="J56" s="299">
        <f t="shared" si="20"/>
        <v>7.7508033002342866E-2</v>
      </c>
      <c r="K56" s="299">
        <f t="shared" si="20"/>
        <v>7.8631831377003664E-2</v>
      </c>
      <c r="L56" s="299">
        <f t="shared" si="20"/>
        <v>0.12631139029991253</v>
      </c>
      <c r="M56" s="299">
        <f t="shared" si="20"/>
        <v>0.10650175581198884</v>
      </c>
      <c r="N56" s="299">
        <f t="shared" si="20"/>
        <v>3.5536838715682646E-2</v>
      </c>
      <c r="O56" s="299"/>
      <c r="P56" s="1"/>
    </row>
    <row r="57" spans="1:18" x14ac:dyDescent="0.4">
      <c r="A57" s="155"/>
      <c r="B57" s="122" t="s">
        <v>229</v>
      </c>
      <c r="C57" s="158">
        <f t="shared" ref="C57:N57" si="21">C19*0.18</f>
        <v>50316.84</v>
      </c>
      <c r="D57" s="158">
        <f t="shared" si="21"/>
        <v>49993.2</v>
      </c>
      <c r="E57" s="158">
        <f t="shared" si="21"/>
        <v>55635.479999999996</v>
      </c>
      <c r="F57" s="158">
        <f t="shared" si="21"/>
        <v>51894</v>
      </c>
      <c r="G57" s="158">
        <f t="shared" si="21"/>
        <v>68953.14</v>
      </c>
      <c r="H57" s="158">
        <f t="shared" si="21"/>
        <v>79096.86</v>
      </c>
      <c r="I57" s="158">
        <f t="shared" si="21"/>
        <v>70758.36</v>
      </c>
      <c r="J57" s="158">
        <f t="shared" si="21"/>
        <v>81899.64</v>
      </c>
      <c r="K57" s="158">
        <f t="shared" si="21"/>
        <v>77011.56</v>
      </c>
      <c r="L57" s="158">
        <f t="shared" si="21"/>
        <v>83556.36</v>
      </c>
      <c r="M57" s="158">
        <f t="shared" si="21"/>
        <v>78835.319999999992</v>
      </c>
      <c r="N57" s="158">
        <f t="shared" si="21"/>
        <v>71550.539999999994</v>
      </c>
      <c r="O57" s="158">
        <f>SUM(C57:N57)</f>
        <v>819501.29999999993</v>
      </c>
      <c r="P57" s="300" t="s">
        <v>85</v>
      </c>
    </row>
    <row r="58" spans="1:18" x14ac:dyDescent="0.4">
      <c r="A58" s="155"/>
      <c r="B58" s="122" t="s">
        <v>230</v>
      </c>
      <c r="C58" s="158">
        <f>C57</f>
        <v>50316.84</v>
      </c>
      <c r="D58" s="158">
        <f t="shared" ref="D58:N58" si="22">C58+D57</f>
        <v>100310.04</v>
      </c>
      <c r="E58" s="158">
        <f t="shared" si="22"/>
        <v>155945.51999999999</v>
      </c>
      <c r="F58" s="158">
        <f t="shared" si="22"/>
        <v>207839.52</v>
      </c>
      <c r="G58" s="158">
        <f t="shared" si="22"/>
        <v>276792.65999999997</v>
      </c>
      <c r="H58" s="158">
        <f t="shared" si="22"/>
        <v>355889.51999999996</v>
      </c>
      <c r="I58" s="158">
        <f t="shared" si="22"/>
        <v>426647.87999999995</v>
      </c>
      <c r="J58" s="158">
        <f t="shared" si="22"/>
        <v>508547.51999999996</v>
      </c>
      <c r="K58" s="158">
        <f t="shared" si="22"/>
        <v>585559.07999999996</v>
      </c>
      <c r="L58" s="158">
        <f t="shared" si="22"/>
        <v>669115.43999999994</v>
      </c>
      <c r="M58" s="158">
        <f t="shared" si="22"/>
        <v>747950.75999999989</v>
      </c>
      <c r="N58" s="158">
        <f t="shared" si="22"/>
        <v>819501.29999999993</v>
      </c>
      <c r="O58" s="158">
        <f>N58</f>
        <v>819501.29999999993</v>
      </c>
      <c r="P58" s="301"/>
    </row>
    <row r="59" spans="1:18" ht="28.5" customHeight="1" x14ac:dyDescent="0.4">
      <c r="A59" s="245"/>
      <c r="B59" s="246"/>
      <c r="C59" s="247"/>
      <c r="D59" s="247"/>
      <c r="E59" s="247"/>
      <c r="F59" s="247"/>
      <c r="G59" s="247"/>
      <c r="H59" s="247"/>
      <c r="I59" s="247"/>
      <c r="J59" s="247"/>
      <c r="K59" s="286"/>
      <c r="L59" s="247"/>
      <c r="M59" s="247"/>
      <c r="N59" s="247"/>
      <c r="O59" s="247"/>
      <c r="P59" s="143"/>
    </row>
    <row r="60" spans="1:18" ht="39.75" customHeight="1" x14ac:dyDescent="0.4">
      <c r="A60" s="154" t="s">
        <v>86</v>
      </c>
      <c r="B60" s="241"/>
      <c r="C60" s="241"/>
      <c r="D60" s="241"/>
      <c r="E60" s="241"/>
      <c r="F60" s="241"/>
      <c r="G60" s="241"/>
      <c r="H60" s="241"/>
      <c r="I60" s="241"/>
      <c r="J60" s="241"/>
      <c r="K60" s="287"/>
      <c r="L60" s="241"/>
      <c r="M60" s="241"/>
      <c r="N60" s="241"/>
      <c r="O60" s="241"/>
      <c r="P60" s="1"/>
    </row>
    <row r="61" spans="1:18" x14ac:dyDescent="0.4">
      <c r="B61" s="10"/>
      <c r="G61" s="90"/>
      <c r="H61" s="90"/>
      <c r="I61" s="73"/>
      <c r="P61" s="1"/>
    </row>
    <row r="62" spans="1:18" x14ac:dyDescent="0.4">
      <c r="A62" s="130" t="s">
        <v>87</v>
      </c>
      <c r="B62" s="10" t="s">
        <v>231</v>
      </c>
      <c r="C62" s="127">
        <v>102371</v>
      </c>
      <c r="D62" s="127">
        <v>102371</v>
      </c>
      <c r="E62" s="127">
        <v>102371</v>
      </c>
      <c r="F62" s="127">
        <v>102371</v>
      </c>
      <c r="G62" s="127">
        <v>102371</v>
      </c>
      <c r="H62" s="127">
        <v>102371</v>
      </c>
      <c r="I62" s="127">
        <v>102371</v>
      </c>
      <c r="J62" s="127">
        <v>102371</v>
      </c>
      <c r="K62" s="127">
        <v>102371</v>
      </c>
      <c r="L62" s="127">
        <v>102371</v>
      </c>
      <c r="M62" s="127">
        <v>102371</v>
      </c>
      <c r="N62" s="127">
        <v>102371</v>
      </c>
      <c r="O62" s="126">
        <f t="shared" ref="O62:O83" si="23">SUM(C62:N62)</f>
        <v>1228452</v>
      </c>
      <c r="P62" s="1"/>
      <c r="R62" s="2"/>
    </row>
    <row r="63" spans="1:18" x14ac:dyDescent="0.4">
      <c r="B63" s="128" t="s">
        <v>232</v>
      </c>
      <c r="C63" s="2">
        <v>300</v>
      </c>
      <c r="D63" s="2">
        <v>300</v>
      </c>
      <c r="E63" s="2">
        <v>300</v>
      </c>
      <c r="F63" s="2">
        <v>300</v>
      </c>
      <c r="G63" s="2">
        <v>300</v>
      </c>
      <c r="H63" s="2">
        <v>300</v>
      </c>
      <c r="I63" s="2">
        <v>300</v>
      </c>
      <c r="J63" s="2">
        <v>300</v>
      </c>
      <c r="K63" s="158">
        <v>300</v>
      </c>
      <c r="L63" s="2">
        <v>300</v>
      </c>
      <c r="M63" s="2">
        <v>300</v>
      </c>
      <c r="N63" s="2">
        <v>300</v>
      </c>
      <c r="O63" s="126">
        <f t="shared" si="23"/>
        <v>3600</v>
      </c>
    </row>
    <row r="64" spans="1:18" x14ac:dyDescent="0.4">
      <c r="B64" s="128" t="s">
        <v>233</v>
      </c>
      <c r="C64" s="2">
        <v>500</v>
      </c>
      <c r="D64" s="2">
        <v>500</v>
      </c>
      <c r="E64" s="2">
        <v>500</v>
      </c>
      <c r="F64" s="2">
        <v>500</v>
      </c>
      <c r="G64" s="2">
        <v>500</v>
      </c>
      <c r="H64" s="2">
        <v>500</v>
      </c>
      <c r="I64" s="2">
        <v>500</v>
      </c>
      <c r="J64" s="2">
        <v>500</v>
      </c>
      <c r="K64" s="158">
        <v>500</v>
      </c>
      <c r="L64" s="2">
        <v>500</v>
      </c>
      <c r="M64" s="2">
        <v>500</v>
      </c>
      <c r="N64" s="2">
        <v>500</v>
      </c>
      <c r="O64" s="126">
        <f t="shared" si="23"/>
        <v>6000</v>
      </c>
    </row>
    <row r="65" spans="1:16" x14ac:dyDescent="0.4">
      <c r="B65" s="128" t="s">
        <v>191</v>
      </c>
      <c r="C65" s="158">
        <v>450</v>
      </c>
      <c r="D65" s="158">
        <v>450</v>
      </c>
      <c r="E65" s="158">
        <v>450</v>
      </c>
      <c r="F65" s="158">
        <v>450</v>
      </c>
      <c r="G65" s="158">
        <v>450</v>
      </c>
      <c r="H65" s="158">
        <v>450</v>
      </c>
      <c r="I65" s="158">
        <v>450</v>
      </c>
      <c r="J65" s="158">
        <v>450</v>
      </c>
      <c r="K65" s="158">
        <v>450</v>
      </c>
      <c r="L65" s="158">
        <v>450</v>
      </c>
      <c r="M65" s="158">
        <v>450</v>
      </c>
      <c r="N65" s="158">
        <v>450</v>
      </c>
      <c r="O65" s="126">
        <f t="shared" si="23"/>
        <v>5400</v>
      </c>
    </row>
    <row r="66" spans="1:16" s="72" customFormat="1" x14ac:dyDescent="0.4">
      <c r="B66" s="148" t="s">
        <v>234</v>
      </c>
      <c r="C66" s="314"/>
      <c r="D66" s="171">
        <v>-9000</v>
      </c>
      <c r="E66" s="171">
        <v>-9000</v>
      </c>
      <c r="F66" s="171">
        <v>-9000</v>
      </c>
      <c r="G66" s="171">
        <v>-9000</v>
      </c>
      <c r="H66" s="171">
        <v>-9000</v>
      </c>
      <c r="I66" s="171">
        <v>-9000</v>
      </c>
      <c r="J66" s="171">
        <v>-9000</v>
      </c>
      <c r="K66" s="169">
        <v>-9000</v>
      </c>
      <c r="L66" s="171">
        <v>-9000</v>
      </c>
      <c r="M66" s="171">
        <v>-9000</v>
      </c>
      <c r="N66" s="171">
        <v>-9000</v>
      </c>
      <c r="O66" s="176">
        <f t="shared" si="23"/>
        <v>-99000</v>
      </c>
    </row>
    <row r="67" spans="1:16" x14ac:dyDescent="0.4">
      <c r="B67" s="148" t="s">
        <v>235</v>
      </c>
      <c r="C67" s="314"/>
      <c r="D67" s="171">
        <v>-4000</v>
      </c>
      <c r="E67" s="171">
        <v>-4000</v>
      </c>
      <c r="F67" s="171">
        <v>-4000</v>
      </c>
      <c r="G67" s="171">
        <v>-4000</v>
      </c>
      <c r="H67" s="171">
        <v>-4000</v>
      </c>
      <c r="I67" s="171">
        <v>-4000</v>
      </c>
      <c r="J67" s="171">
        <v>-4000</v>
      </c>
      <c r="K67" s="169">
        <v>-4000</v>
      </c>
      <c r="L67" s="171">
        <v>-4000</v>
      </c>
      <c r="M67" s="171">
        <v>-4000</v>
      </c>
      <c r="N67" s="171">
        <v>-4000</v>
      </c>
      <c r="O67" s="176">
        <f t="shared" si="23"/>
        <v>-44000</v>
      </c>
      <c r="P67" s="1"/>
    </row>
    <row r="68" spans="1:16" x14ac:dyDescent="0.4">
      <c r="A68" s="173" t="s">
        <v>236</v>
      </c>
      <c r="B68" s="148" t="s">
        <v>237</v>
      </c>
      <c r="C68" s="170"/>
      <c r="D68" s="171">
        <v>-1060</v>
      </c>
      <c r="E68" s="171">
        <v>-1060</v>
      </c>
      <c r="F68" s="171">
        <v>-1060</v>
      </c>
      <c r="G68" s="171">
        <v>-1060</v>
      </c>
      <c r="H68" s="171">
        <v>-1060</v>
      </c>
      <c r="I68" s="171">
        <v>-1060</v>
      </c>
      <c r="J68" s="171">
        <v>-1060</v>
      </c>
      <c r="K68" s="169">
        <v>-1060</v>
      </c>
      <c r="L68" s="171">
        <v>-1060</v>
      </c>
      <c r="M68" s="171">
        <v>-1060</v>
      </c>
      <c r="N68" s="171">
        <v>-1060</v>
      </c>
      <c r="O68" s="176">
        <f t="shared" si="23"/>
        <v>-11660</v>
      </c>
      <c r="P68" s="1"/>
    </row>
    <row r="69" spans="1:16" s="72" customFormat="1" x14ac:dyDescent="0.4">
      <c r="A69" s="173" t="s">
        <v>238</v>
      </c>
      <c r="B69" s="148" t="s">
        <v>239</v>
      </c>
      <c r="C69" s="170"/>
      <c r="D69" s="171">
        <v>-1800</v>
      </c>
      <c r="E69" s="171">
        <v>-1800</v>
      </c>
      <c r="F69" s="171">
        <v>-1800</v>
      </c>
      <c r="G69" s="171">
        <v>-1800</v>
      </c>
      <c r="H69" s="171">
        <v>-1800</v>
      </c>
      <c r="I69" s="171">
        <v>-1800</v>
      </c>
      <c r="J69" s="171">
        <v>-1800</v>
      </c>
      <c r="K69" s="169">
        <v>-1800</v>
      </c>
      <c r="L69" s="171">
        <v>-1800</v>
      </c>
      <c r="M69" s="171">
        <v>-1800</v>
      </c>
      <c r="N69" s="171">
        <v>-1800</v>
      </c>
      <c r="O69" s="176">
        <f t="shared" si="23"/>
        <v>-19800</v>
      </c>
      <c r="P69"/>
    </row>
    <row r="70" spans="1:16" x14ac:dyDescent="0.4">
      <c r="A70" s="173" t="s">
        <v>240</v>
      </c>
      <c r="B70" s="179" t="s">
        <v>241</v>
      </c>
      <c r="C70" s="2"/>
      <c r="D70" s="58">
        <v>750</v>
      </c>
      <c r="E70" s="58">
        <v>750</v>
      </c>
      <c r="F70" s="58">
        <v>750</v>
      </c>
      <c r="G70" s="58">
        <v>750</v>
      </c>
      <c r="H70" s="58">
        <v>750</v>
      </c>
      <c r="I70" s="58">
        <v>750</v>
      </c>
      <c r="J70" s="58">
        <v>750</v>
      </c>
      <c r="K70" s="178">
        <v>750</v>
      </c>
      <c r="L70" s="58">
        <v>750</v>
      </c>
      <c r="M70" s="58">
        <v>750</v>
      </c>
      <c r="N70" s="58">
        <v>750</v>
      </c>
      <c r="O70" s="126">
        <f t="shared" si="23"/>
        <v>8250</v>
      </c>
      <c r="P70" s="72"/>
    </row>
    <row r="71" spans="1:16" x14ac:dyDescent="0.4">
      <c r="A71" s="173" t="s">
        <v>242</v>
      </c>
      <c r="B71" s="128" t="s">
        <v>243</v>
      </c>
      <c r="C71" s="2"/>
      <c r="D71" s="2">
        <v>7767</v>
      </c>
      <c r="E71" s="2">
        <v>7767</v>
      </c>
      <c r="F71" s="2">
        <v>7767</v>
      </c>
      <c r="G71" s="2">
        <v>7767</v>
      </c>
      <c r="H71" s="2">
        <v>7767</v>
      </c>
      <c r="I71" s="2">
        <v>7767</v>
      </c>
      <c r="J71" s="2">
        <v>7767</v>
      </c>
      <c r="K71" s="158">
        <v>7767</v>
      </c>
      <c r="L71" s="2">
        <v>7767</v>
      </c>
      <c r="M71" s="2">
        <v>7767</v>
      </c>
      <c r="N71" s="2">
        <v>7767</v>
      </c>
      <c r="O71" s="126">
        <f t="shared" si="23"/>
        <v>85437</v>
      </c>
      <c r="P71" s="72"/>
    </row>
    <row r="72" spans="1:16" x14ac:dyDescent="0.4">
      <c r="A72" s="173" t="s">
        <v>244</v>
      </c>
      <c r="B72" s="128" t="s">
        <v>245</v>
      </c>
      <c r="C72" s="158"/>
      <c r="D72" s="158">
        <v>750</v>
      </c>
      <c r="E72" s="158">
        <v>750</v>
      </c>
      <c r="F72" s="158">
        <v>750</v>
      </c>
      <c r="G72" s="158">
        <v>750</v>
      </c>
      <c r="H72" s="158">
        <v>750</v>
      </c>
      <c r="I72" s="158">
        <v>750</v>
      </c>
      <c r="J72" s="158">
        <v>750</v>
      </c>
      <c r="K72" s="158">
        <v>750</v>
      </c>
      <c r="L72" s="158">
        <v>750</v>
      </c>
      <c r="M72" s="158">
        <v>750</v>
      </c>
      <c r="N72" s="158">
        <v>750</v>
      </c>
      <c r="O72" s="126">
        <f t="shared" si="23"/>
        <v>8250</v>
      </c>
      <c r="P72" s="72"/>
    </row>
    <row r="73" spans="1:16" x14ac:dyDescent="0.4">
      <c r="B73" s="128" t="s">
        <v>246</v>
      </c>
      <c r="C73" s="158"/>
      <c r="D73" s="158">
        <v>300</v>
      </c>
      <c r="E73" s="158">
        <v>300</v>
      </c>
      <c r="F73" s="158">
        <v>300</v>
      </c>
      <c r="G73" s="158">
        <v>300</v>
      </c>
      <c r="H73" s="158">
        <v>300</v>
      </c>
      <c r="I73" s="158">
        <v>300</v>
      </c>
      <c r="J73" s="158">
        <v>300</v>
      </c>
      <c r="K73" s="158">
        <v>300</v>
      </c>
      <c r="L73" s="158">
        <v>300</v>
      </c>
      <c r="M73" s="158">
        <v>300</v>
      </c>
      <c r="N73" s="158">
        <v>300</v>
      </c>
      <c r="O73" s="126">
        <f t="shared" si="23"/>
        <v>3300</v>
      </c>
    </row>
    <row r="74" spans="1:16" x14ac:dyDescent="0.4">
      <c r="B74" s="179" t="s">
        <v>247</v>
      </c>
      <c r="C74" s="158"/>
      <c r="D74" s="158"/>
      <c r="E74" s="178">
        <v>17700</v>
      </c>
      <c r="F74" s="178">
        <v>17700</v>
      </c>
      <c r="G74" s="178">
        <v>17700</v>
      </c>
      <c r="H74" s="178">
        <v>17700</v>
      </c>
      <c r="I74" s="178">
        <v>17700</v>
      </c>
      <c r="J74" s="178">
        <v>17700</v>
      </c>
      <c r="K74" s="178">
        <v>17700</v>
      </c>
      <c r="L74" s="178">
        <v>17700</v>
      </c>
      <c r="M74" s="178">
        <v>17700</v>
      </c>
      <c r="N74" s="178">
        <v>17700</v>
      </c>
      <c r="O74" s="126">
        <f t="shared" si="23"/>
        <v>177000</v>
      </c>
    </row>
    <row r="75" spans="1:16" s="72" customFormat="1" x14ac:dyDescent="0.4">
      <c r="A75" s="129"/>
      <c r="B75" s="10" t="s">
        <v>248</v>
      </c>
      <c r="C75" s="174"/>
      <c r="D75" s="175"/>
      <c r="E75" s="177">
        <v>200</v>
      </c>
      <c r="F75" s="177">
        <v>200</v>
      </c>
      <c r="G75" s="177">
        <v>200</v>
      </c>
      <c r="H75" s="177">
        <v>200</v>
      </c>
      <c r="I75" s="177">
        <v>200</v>
      </c>
      <c r="J75" s="177">
        <v>200</v>
      </c>
      <c r="K75" s="169">
        <v>200</v>
      </c>
      <c r="L75" s="177">
        <v>200</v>
      </c>
      <c r="M75" s="177">
        <v>200</v>
      </c>
      <c r="N75" s="177">
        <v>200</v>
      </c>
      <c r="O75" s="126">
        <f t="shared" si="23"/>
        <v>2000</v>
      </c>
    </row>
    <row r="76" spans="1:16" s="72" customFormat="1" x14ac:dyDescent="0.4">
      <c r="A76" s="129"/>
      <c r="B76" s="128" t="s">
        <v>249</v>
      </c>
      <c r="C76" s="170"/>
      <c r="D76" s="169"/>
      <c r="E76" s="169">
        <v>300</v>
      </c>
      <c r="F76" s="169">
        <v>300</v>
      </c>
      <c r="G76" s="169">
        <v>300</v>
      </c>
      <c r="H76" s="169">
        <v>300</v>
      </c>
      <c r="I76" s="169">
        <v>300</v>
      </c>
      <c r="J76" s="169">
        <v>300</v>
      </c>
      <c r="K76" s="169">
        <v>300</v>
      </c>
      <c r="L76" s="169">
        <v>300</v>
      </c>
      <c r="M76" s="169">
        <v>300</v>
      </c>
      <c r="N76" s="169">
        <v>300</v>
      </c>
      <c r="O76" s="126">
        <f t="shared" si="23"/>
        <v>3000</v>
      </c>
    </row>
    <row r="77" spans="1:16" s="72" customFormat="1" x14ac:dyDescent="0.4">
      <c r="A77" s="129"/>
      <c r="B77" s="179" t="s">
        <v>250</v>
      </c>
      <c r="C77" s="170"/>
      <c r="D77" s="169"/>
      <c r="E77" s="180">
        <v>2941.92</v>
      </c>
      <c r="F77" s="180">
        <v>7600</v>
      </c>
      <c r="G77" s="180">
        <v>7600</v>
      </c>
      <c r="H77" s="180">
        <v>7600</v>
      </c>
      <c r="I77" s="180">
        <v>7600</v>
      </c>
      <c r="J77" s="180">
        <v>7600</v>
      </c>
      <c r="K77" s="180">
        <v>7600</v>
      </c>
      <c r="L77" s="180">
        <v>7600</v>
      </c>
      <c r="M77" s="180">
        <v>7600</v>
      </c>
      <c r="N77" s="180">
        <v>7600</v>
      </c>
      <c r="O77" s="176">
        <f t="shared" si="23"/>
        <v>71341.919999999998</v>
      </c>
    </row>
    <row r="78" spans="1:16" x14ac:dyDescent="0.4">
      <c r="B78" s="148" t="s">
        <v>251</v>
      </c>
      <c r="E78" s="172"/>
      <c r="F78" s="172">
        <v>-6000</v>
      </c>
      <c r="G78" s="172">
        <v>-6000</v>
      </c>
      <c r="H78" s="172">
        <v>-6000</v>
      </c>
      <c r="I78" s="172">
        <v>-6000</v>
      </c>
      <c r="J78" s="172">
        <v>-6000</v>
      </c>
      <c r="K78" s="158">
        <v>-6000</v>
      </c>
      <c r="L78" s="172">
        <v>-6000</v>
      </c>
      <c r="M78" s="172">
        <v>-6000</v>
      </c>
      <c r="N78" s="172">
        <v>-6000</v>
      </c>
      <c r="O78" s="176">
        <f t="shared" si="23"/>
        <v>-54000</v>
      </c>
    </row>
    <row r="79" spans="1:16" s="72" customFormat="1" x14ac:dyDescent="0.4">
      <c r="A79" s="129"/>
      <c r="B79" s="148" t="s">
        <v>252</v>
      </c>
      <c r="C79" s="170"/>
      <c r="D79" s="169"/>
      <c r="E79" s="169"/>
      <c r="F79" s="171">
        <v>-600</v>
      </c>
      <c r="G79" s="171">
        <v>-600</v>
      </c>
      <c r="H79" s="171">
        <v>-600</v>
      </c>
      <c r="I79" s="171">
        <v>-600</v>
      </c>
      <c r="J79" s="171">
        <v>-600</v>
      </c>
      <c r="K79" s="169">
        <v>-600</v>
      </c>
      <c r="L79" s="171">
        <v>-600</v>
      </c>
      <c r="M79" s="171">
        <v>-600</v>
      </c>
      <c r="N79" s="171">
        <v>-600</v>
      </c>
      <c r="O79" s="176">
        <f t="shared" si="23"/>
        <v>-5400</v>
      </c>
    </row>
    <row r="80" spans="1:16" s="72" customFormat="1" x14ac:dyDescent="0.4">
      <c r="A80" s="129"/>
      <c r="B80" s="148" t="s">
        <v>253</v>
      </c>
      <c r="C80" s="170"/>
      <c r="D80" s="169"/>
      <c r="E80" s="169"/>
      <c r="F80" s="171">
        <v>-3000</v>
      </c>
      <c r="G80" s="171">
        <v>-3000</v>
      </c>
      <c r="H80" s="171">
        <v>-3000</v>
      </c>
      <c r="I80" s="171">
        <v>-3000</v>
      </c>
      <c r="J80" s="171">
        <v>-3000</v>
      </c>
      <c r="K80" s="169">
        <v>-3000</v>
      </c>
      <c r="L80" s="171">
        <v>-3000</v>
      </c>
      <c r="M80" s="171">
        <v>-3000</v>
      </c>
      <c r="N80" s="171">
        <v>-3000</v>
      </c>
      <c r="O80" s="176">
        <f t="shared" si="23"/>
        <v>-27000</v>
      </c>
    </row>
    <row r="81" spans="1:16" s="72" customFormat="1" x14ac:dyDescent="0.4">
      <c r="A81" s="129"/>
      <c r="B81" s="148" t="s">
        <v>191</v>
      </c>
      <c r="C81" s="170"/>
      <c r="D81" s="169"/>
      <c r="E81" s="169"/>
      <c r="F81" s="171">
        <v>-150</v>
      </c>
      <c r="G81" s="171">
        <v>-150</v>
      </c>
      <c r="H81" s="171">
        <v>-150</v>
      </c>
      <c r="I81" s="171">
        <v>-150</v>
      </c>
      <c r="J81" s="171">
        <v>-150</v>
      </c>
      <c r="K81" s="169">
        <v>-150</v>
      </c>
      <c r="L81" s="171">
        <v>-150</v>
      </c>
      <c r="M81" s="171">
        <v>-150</v>
      </c>
      <c r="N81" s="171">
        <v>-150</v>
      </c>
      <c r="O81" s="176">
        <f t="shared" si="23"/>
        <v>-1350</v>
      </c>
    </row>
    <row r="82" spans="1:16" s="72" customFormat="1" x14ac:dyDescent="0.4">
      <c r="A82" s="129"/>
      <c r="B82" s="148" t="s">
        <v>197</v>
      </c>
      <c r="C82" s="170"/>
      <c r="D82" s="169"/>
      <c r="E82" s="169"/>
      <c r="F82" s="171"/>
      <c r="G82" s="171">
        <v>-218.62</v>
      </c>
      <c r="H82" s="171">
        <v>-218.62</v>
      </c>
      <c r="I82" s="171">
        <v>-218.62</v>
      </c>
      <c r="J82" s="171">
        <v>-218.62</v>
      </c>
      <c r="K82" s="169">
        <v>-218.62</v>
      </c>
      <c r="L82" s="171">
        <v>-218.62</v>
      </c>
      <c r="M82" s="171">
        <v>-218.62</v>
      </c>
      <c r="N82" s="171">
        <v>-218.62</v>
      </c>
      <c r="O82" s="176">
        <f t="shared" si="23"/>
        <v>-1748.9599999999996</v>
      </c>
    </row>
    <row r="83" spans="1:16" s="72" customFormat="1" x14ac:dyDescent="0.4">
      <c r="A83" s="129"/>
      <c r="B83" s="186" t="s">
        <v>192</v>
      </c>
      <c r="C83" s="170"/>
      <c r="D83" s="169">
        <v>5950</v>
      </c>
      <c r="E83" s="169">
        <v>5950</v>
      </c>
      <c r="F83" s="169">
        <v>5950</v>
      </c>
      <c r="G83" s="169"/>
      <c r="H83" s="169"/>
      <c r="I83" s="169"/>
      <c r="J83" s="169"/>
      <c r="K83" s="169"/>
      <c r="L83" s="169"/>
      <c r="M83" s="169"/>
      <c r="N83" s="169"/>
      <c r="O83" s="176">
        <f t="shared" si="23"/>
        <v>17850</v>
      </c>
    </row>
    <row r="84" spans="1:16" x14ac:dyDescent="0.4">
      <c r="B84" s="186" t="s">
        <v>254</v>
      </c>
      <c r="C84" s="188"/>
      <c r="D84" s="185"/>
      <c r="E84" s="185"/>
      <c r="F84" s="185"/>
      <c r="G84" s="185">
        <v>1750</v>
      </c>
      <c r="H84" s="185">
        <v>1750</v>
      </c>
      <c r="I84" s="185">
        <v>1750</v>
      </c>
      <c r="J84" s="185">
        <v>1750</v>
      </c>
      <c r="K84" s="180">
        <v>1750</v>
      </c>
      <c r="L84" s="185">
        <v>1750</v>
      </c>
      <c r="M84" s="185">
        <v>1750</v>
      </c>
      <c r="N84" s="185">
        <v>1750</v>
      </c>
      <c r="O84" s="100">
        <f t="shared" ref="O84:O90" si="24">SUM(G84:N84)</f>
        <v>14000</v>
      </c>
    </row>
    <row r="85" spans="1:16" x14ac:dyDescent="0.4">
      <c r="B85" s="186" t="s">
        <v>255</v>
      </c>
      <c r="C85" s="188"/>
      <c r="D85" s="188"/>
      <c r="E85" s="188"/>
      <c r="F85" s="188"/>
      <c r="G85" s="185">
        <v>2900</v>
      </c>
      <c r="H85" s="185">
        <v>2900</v>
      </c>
      <c r="I85" s="185">
        <v>2900</v>
      </c>
      <c r="J85" s="185">
        <v>2900</v>
      </c>
      <c r="K85" s="180">
        <v>2900</v>
      </c>
      <c r="L85" s="185">
        <v>2900</v>
      </c>
      <c r="M85" s="185">
        <v>2900</v>
      </c>
      <c r="N85" s="185">
        <v>2900</v>
      </c>
      <c r="O85" s="100">
        <f t="shared" si="24"/>
        <v>23200</v>
      </c>
    </row>
    <row r="86" spans="1:16" x14ac:dyDescent="0.4">
      <c r="B86" s="186" t="s">
        <v>256</v>
      </c>
      <c r="C86" s="188"/>
      <c r="D86" s="188"/>
      <c r="E86" s="188"/>
      <c r="F86" s="188"/>
      <c r="G86" s="185">
        <v>1225</v>
      </c>
      <c r="H86" s="185">
        <v>1225</v>
      </c>
      <c r="I86" s="185">
        <v>1225</v>
      </c>
      <c r="J86" s="185">
        <v>1225</v>
      </c>
      <c r="K86" s="180">
        <v>1225</v>
      </c>
      <c r="L86" s="185">
        <v>1225</v>
      </c>
      <c r="M86" s="185">
        <v>1225</v>
      </c>
      <c r="N86" s="185">
        <v>1225</v>
      </c>
      <c r="O86" s="100">
        <f t="shared" si="24"/>
        <v>9800</v>
      </c>
    </row>
    <row r="87" spans="1:16" x14ac:dyDescent="0.4">
      <c r="B87" s="186" t="s">
        <v>257</v>
      </c>
      <c r="C87" s="188"/>
      <c r="D87" s="188"/>
      <c r="E87" s="188"/>
      <c r="F87" s="188"/>
      <c r="G87" s="185">
        <v>875</v>
      </c>
      <c r="H87" s="185">
        <v>875</v>
      </c>
      <c r="I87" s="185">
        <v>875</v>
      </c>
      <c r="J87" s="185">
        <v>875</v>
      </c>
      <c r="K87" s="180">
        <v>875</v>
      </c>
      <c r="L87" s="185">
        <v>875</v>
      </c>
      <c r="M87" s="185">
        <v>875</v>
      </c>
      <c r="N87" s="185">
        <v>875</v>
      </c>
      <c r="O87" s="100">
        <f t="shared" si="24"/>
        <v>7000</v>
      </c>
    </row>
    <row r="88" spans="1:16" x14ac:dyDescent="0.4">
      <c r="B88" s="186" t="s">
        <v>258</v>
      </c>
      <c r="C88" s="73"/>
      <c r="D88" s="73"/>
      <c r="E88" s="73"/>
      <c r="F88" s="73"/>
      <c r="G88" s="185">
        <v>2475</v>
      </c>
      <c r="H88" s="185">
        <v>2475</v>
      </c>
      <c r="I88" s="185">
        <v>2475</v>
      </c>
      <c r="J88" s="185">
        <v>2475</v>
      </c>
      <c r="K88" s="180">
        <v>2475</v>
      </c>
      <c r="L88" s="185">
        <v>2475</v>
      </c>
      <c r="M88" s="185">
        <v>2475</v>
      </c>
      <c r="N88" s="185">
        <v>2475</v>
      </c>
      <c r="O88" s="100">
        <f t="shared" si="24"/>
        <v>19800</v>
      </c>
    </row>
    <row r="89" spans="1:16" x14ac:dyDescent="0.4">
      <c r="B89" s="10" t="s">
        <v>259</v>
      </c>
      <c r="C89" s="73"/>
      <c r="D89" s="73"/>
      <c r="E89" s="73"/>
      <c r="F89" s="73"/>
      <c r="G89" s="177">
        <v>80</v>
      </c>
      <c r="H89" s="177">
        <v>80</v>
      </c>
      <c r="I89" s="177">
        <v>80</v>
      </c>
      <c r="J89" s="177">
        <v>80</v>
      </c>
      <c r="K89" s="169">
        <v>80</v>
      </c>
      <c r="L89" s="177">
        <v>80</v>
      </c>
      <c r="M89" s="177">
        <v>80</v>
      </c>
      <c r="N89" s="177">
        <v>80</v>
      </c>
      <c r="O89" s="187">
        <f t="shared" si="24"/>
        <v>640</v>
      </c>
      <c r="P89"/>
    </row>
    <row r="90" spans="1:16" x14ac:dyDescent="0.4">
      <c r="B90" s="128" t="s">
        <v>260</v>
      </c>
      <c r="G90" s="169">
        <v>200</v>
      </c>
      <c r="H90" s="169">
        <v>200</v>
      </c>
      <c r="I90" s="169">
        <v>200</v>
      </c>
      <c r="J90" s="169">
        <v>200</v>
      </c>
      <c r="K90" s="169">
        <v>200</v>
      </c>
      <c r="L90" s="169">
        <v>200</v>
      </c>
      <c r="M90" s="169">
        <v>200</v>
      </c>
      <c r="N90" s="169">
        <v>200</v>
      </c>
      <c r="O90" s="184">
        <f t="shared" si="24"/>
        <v>1600</v>
      </c>
    </row>
    <row r="91" spans="1:16" x14ac:dyDescent="0.4">
      <c r="B91" s="10" t="s">
        <v>261</v>
      </c>
      <c r="C91" s="73"/>
      <c r="D91" s="73"/>
      <c r="E91" s="73"/>
      <c r="F91" s="73"/>
      <c r="G91" s="185">
        <v>3950</v>
      </c>
      <c r="H91" s="177">
        <v>3950</v>
      </c>
      <c r="I91" s="177">
        <v>3950</v>
      </c>
      <c r="J91" s="177">
        <v>3950</v>
      </c>
      <c r="K91" s="169">
        <v>3950</v>
      </c>
      <c r="L91" s="177">
        <v>3950</v>
      </c>
      <c r="M91" s="177">
        <v>3950</v>
      </c>
      <c r="N91" s="177">
        <v>3950</v>
      </c>
      <c r="O91" s="126">
        <f>SUM(H91:N91)</f>
        <v>27650</v>
      </c>
      <c r="P91"/>
    </row>
    <row r="92" spans="1:16" x14ac:dyDescent="0.4">
      <c r="B92" s="186" t="s">
        <v>262</v>
      </c>
      <c r="C92" s="188"/>
      <c r="D92" s="188"/>
      <c r="E92" s="188"/>
      <c r="F92" s="188"/>
      <c r="G92" s="185"/>
      <c r="H92" s="185">
        <v>34925</v>
      </c>
      <c r="I92" s="185">
        <v>34925</v>
      </c>
      <c r="J92" s="185">
        <v>34925</v>
      </c>
      <c r="K92" s="180">
        <v>34925</v>
      </c>
      <c r="L92" s="185">
        <v>34925</v>
      </c>
      <c r="M92" s="185">
        <v>34925</v>
      </c>
      <c r="N92" s="185">
        <v>34925</v>
      </c>
      <c r="O92" s="100">
        <f>SUM(G92:N92)</f>
        <v>244475</v>
      </c>
      <c r="P92"/>
    </row>
    <row r="93" spans="1:16" s="72" customFormat="1" x14ac:dyDescent="0.4">
      <c r="A93" s="129"/>
      <c r="B93" s="148" t="s">
        <v>263</v>
      </c>
      <c r="C93" s="170"/>
      <c r="D93" s="169"/>
      <c r="E93" s="169"/>
      <c r="F93" s="171"/>
      <c r="G93" s="171"/>
      <c r="H93" s="171">
        <v>-1050</v>
      </c>
      <c r="I93" s="171">
        <v>-1050</v>
      </c>
      <c r="J93" s="171">
        <v>-1050</v>
      </c>
      <c r="K93" s="169">
        <v>-1050</v>
      </c>
      <c r="L93" s="171">
        <v>-1050</v>
      </c>
      <c r="M93" s="171">
        <v>-1050</v>
      </c>
      <c r="N93" s="171">
        <v>-1050</v>
      </c>
      <c r="O93" s="176">
        <f>SUM(H93:N93)</f>
        <v>-7350</v>
      </c>
    </row>
    <row r="94" spans="1:16" x14ac:dyDescent="0.4">
      <c r="B94" t="s">
        <v>259</v>
      </c>
      <c r="H94" s="150">
        <v>40</v>
      </c>
      <c r="I94" s="150">
        <v>40</v>
      </c>
      <c r="J94" s="150">
        <v>40</v>
      </c>
      <c r="K94" s="288">
        <v>40</v>
      </c>
      <c r="L94" s="150">
        <v>40</v>
      </c>
      <c r="M94" s="150">
        <v>40</v>
      </c>
      <c r="N94" s="150">
        <v>40</v>
      </c>
      <c r="O94" s="202">
        <f>SUM(H94:N94)</f>
        <v>280</v>
      </c>
    </row>
    <row r="95" spans="1:16" x14ac:dyDescent="0.4">
      <c r="B95" s="3" t="s">
        <v>264</v>
      </c>
      <c r="C95" s="3"/>
      <c r="D95" s="3"/>
      <c r="E95" s="3"/>
      <c r="F95" s="3"/>
      <c r="G95" s="3"/>
      <c r="H95" s="124">
        <v>7000</v>
      </c>
      <c r="I95" s="308"/>
      <c r="J95" s="308"/>
      <c r="K95" s="308"/>
      <c r="L95" s="308"/>
      <c r="M95" s="308"/>
      <c r="N95" s="308"/>
      <c r="O95" s="203">
        <f>SUM(H95:N95)</f>
        <v>7000</v>
      </c>
      <c r="P95" t="s">
        <v>265</v>
      </c>
    </row>
    <row r="96" spans="1:16" x14ac:dyDescent="0.4">
      <c r="B96" s="186" t="s">
        <v>266</v>
      </c>
      <c r="H96" s="103"/>
      <c r="I96" s="103">
        <v>11575</v>
      </c>
      <c r="J96" s="103">
        <v>11575</v>
      </c>
      <c r="K96" s="235">
        <v>11575</v>
      </c>
      <c r="L96" s="103">
        <v>11575</v>
      </c>
      <c r="M96" s="103">
        <v>11575</v>
      </c>
      <c r="N96" s="103">
        <v>11575</v>
      </c>
      <c r="O96" s="203">
        <f>SUM(H96:N96)</f>
        <v>69450</v>
      </c>
      <c r="P96" t="s">
        <v>267</v>
      </c>
    </row>
    <row r="97" spans="2:16" x14ac:dyDescent="0.4">
      <c r="B97" s="73" t="s">
        <v>268</v>
      </c>
      <c r="C97" s="3"/>
      <c r="D97" s="3"/>
      <c r="E97" s="3"/>
      <c r="F97" s="3"/>
      <c r="G97" s="3"/>
      <c r="H97" s="124"/>
      <c r="I97" s="171">
        <f t="shared" ref="I97:N97" si="25">-650</f>
        <v>-650</v>
      </c>
      <c r="J97" s="171">
        <f t="shared" si="25"/>
        <v>-650</v>
      </c>
      <c r="K97" s="169">
        <f t="shared" si="25"/>
        <v>-650</v>
      </c>
      <c r="L97" s="171">
        <f t="shared" si="25"/>
        <v>-650</v>
      </c>
      <c r="M97" s="171">
        <f t="shared" si="25"/>
        <v>-650</v>
      </c>
      <c r="N97" s="171">
        <f t="shared" si="25"/>
        <v>-650</v>
      </c>
      <c r="O97" s="218">
        <f>SUM(I97:N97)</f>
        <v>-3900</v>
      </c>
    </row>
    <row r="98" spans="2:16" x14ac:dyDescent="0.4">
      <c r="B98" s="71" t="s">
        <v>269</v>
      </c>
      <c r="C98" s="3"/>
      <c r="D98" s="3"/>
      <c r="E98" s="3"/>
      <c r="F98" s="3"/>
      <c r="G98" s="3"/>
      <c r="H98" s="124"/>
      <c r="I98" s="235">
        <v>3527</v>
      </c>
      <c r="J98" s="235">
        <v>4050</v>
      </c>
      <c r="K98" s="235">
        <v>4050</v>
      </c>
      <c r="L98" s="235">
        <v>4050</v>
      </c>
      <c r="M98" s="235">
        <v>4050</v>
      </c>
      <c r="N98" s="235">
        <v>4050</v>
      </c>
      <c r="O98" s="204">
        <f>SUM(H98:N98)</f>
        <v>23777</v>
      </c>
    </row>
    <row r="99" spans="2:16" x14ac:dyDescent="0.4">
      <c r="B99" s="71" t="s">
        <v>270</v>
      </c>
      <c r="C99" s="3"/>
      <c r="D99" s="3"/>
      <c r="E99" s="3"/>
      <c r="F99" s="3"/>
      <c r="G99" s="3"/>
      <c r="H99" s="124"/>
      <c r="I99" s="235">
        <v>2125</v>
      </c>
      <c r="J99" s="235">
        <v>2550</v>
      </c>
      <c r="K99" s="235">
        <v>2550</v>
      </c>
      <c r="L99" s="235">
        <v>2550</v>
      </c>
      <c r="M99" s="235">
        <v>2550</v>
      </c>
      <c r="N99" s="235">
        <v>2550</v>
      </c>
      <c r="O99" s="204">
        <f>SUM(H99:N99)</f>
        <v>14875</v>
      </c>
    </row>
    <row r="100" spans="2:16" x14ac:dyDescent="0.4">
      <c r="B100" s="71" t="s">
        <v>258</v>
      </c>
      <c r="C100" s="3"/>
      <c r="D100" s="3"/>
      <c r="E100" s="3"/>
      <c r="F100" s="3"/>
      <c r="G100" s="3"/>
      <c r="H100" s="124"/>
      <c r="I100" s="235"/>
      <c r="J100" s="235"/>
      <c r="K100" s="235"/>
      <c r="L100" s="235">
        <v>500</v>
      </c>
      <c r="M100" s="235">
        <v>500</v>
      </c>
      <c r="N100" s="235">
        <v>500</v>
      </c>
      <c r="O100" s="204">
        <f>SUM(H100:N100)</f>
        <v>1500</v>
      </c>
    </row>
    <row r="101" spans="2:16" s="73" customFormat="1" x14ac:dyDescent="0.4">
      <c r="B101" s="73" t="s">
        <v>271</v>
      </c>
      <c r="H101" s="159"/>
      <c r="I101" s="302"/>
      <c r="J101" s="302"/>
      <c r="K101" s="302"/>
      <c r="L101" s="302">
        <v>-1720</v>
      </c>
      <c r="M101" s="302">
        <v>-1720</v>
      </c>
      <c r="N101" s="302">
        <v>-1720</v>
      </c>
      <c r="O101" s="204">
        <f>SUM(H101:N101)</f>
        <v>-5160</v>
      </c>
    </row>
    <row r="102" spans="2:16" s="73" customFormat="1" x14ac:dyDescent="0.4">
      <c r="B102" t="s">
        <v>259</v>
      </c>
      <c r="H102" s="159"/>
      <c r="I102" s="302"/>
      <c r="J102" s="302"/>
      <c r="K102" s="302"/>
      <c r="L102" s="302"/>
      <c r="M102" s="150">
        <v>40</v>
      </c>
      <c r="N102" s="150">
        <v>40</v>
      </c>
      <c r="O102" s="204">
        <f>SUM(M102:N102)</f>
        <v>80</v>
      </c>
    </row>
    <row r="103" spans="2:16" s="73" customFormat="1" x14ac:dyDescent="0.4">
      <c r="B103" s="73" t="s">
        <v>272</v>
      </c>
      <c r="H103" s="159"/>
      <c r="I103" s="302"/>
      <c r="J103" s="302"/>
      <c r="K103" s="302"/>
      <c r="L103" s="302"/>
      <c r="M103" s="159">
        <v>-350</v>
      </c>
      <c r="N103" s="159">
        <v>-350</v>
      </c>
      <c r="O103" s="218">
        <f>SUM(M103:N103)</f>
        <v>-700</v>
      </c>
    </row>
    <row r="104" spans="2:16" s="73" customFormat="1" x14ac:dyDescent="0.4">
      <c r="B104" s="73" t="s">
        <v>273</v>
      </c>
      <c r="H104" s="159"/>
      <c r="I104" s="302"/>
      <c r="J104" s="302"/>
      <c r="K104" s="302"/>
      <c r="L104" s="302"/>
      <c r="M104" s="159">
        <v>-75</v>
      </c>
      <c r="N104" s="159">
        <v>-75</v>
      </c>
      <c r="O104" s="218">
        <f>SUM(M104:N104)</f>
        <v>-150</v>
      </c>
    </row>
    <row r="105" spans="2:16" s="73" customFormat="1" x14ac:dyDescent="0.4">
      <c r="B105" s="71" t="s">
        <v>274</v>
      </c>
      <c r="H105" s="159"/>
      <c r="I105" s="302"/>
      <c r="J105" s="302"/>
      <c r="K105" s="302"/>
      <c r="L105" s="302"/>
      <c r="M105" s="150"/>
      <c r="N105" s="103">
        <v>1461</v>
      </c>
      <c r="O105" s="204">
        <f>N105</f>
        <v>1461</v>
      </c>
      <c r="P105" s="72" t="s">
        <v>275</v>
      </c>
    </row>
    <row r="106" spans="2:16" x14ac:dyDescent="0.4">
      <c r="B106" s="10"/>
      <c r="C106" s="73"/>
      <c r="D106" s="73"/>
      <c r="E106" s="73"/>
      <c r="F106" s="73"/>
      <c r="G106" s="183"/>
      <c r="H106" s="183"/>
      <c r="I106" s="183"/>
      <c r="J106" s="183"/>
      <c r="K106" s="169"/>
      <c r="L106" s="183"/>
      <c r="M106" s="183"/>
      <c r="N106" s="183"/>
      <c r="O106" s="100"/>
    </row>
    <row r="107" spans="2:16" x14ac:dyDescent="0.4">
      <c r="B107" s="99" t="s">
        <v>107</v>
      </c>
      <c r="C107" s="100">
        <f t="shared" ref="C107:O107" si="26">SUM(C62:C106)</f>
        <v>103621</v>
      </c>
      <c r="D107" s="100">
        <f t="shared" si="26"/>
        <v>103278</v>
      </c>
      <c r="E107" s="100">
        <f t="shared" si="26"/>
        <v>124419.92</v>
      </c>
      <c r="F107" s="100">
        <f t="shared" si="26"/>
        <v>119328</v>
      </c>
      <c r="G107" s="100">
        <f t="shared" si="26"/>
        <v>126614.38</v>
      </c>
      <c r="H107" s="100">
        <f t="shared" si="26"/>
        <v>167529.38</v>
      </c>
      <c r="I107" s="100">
        <f t="shared" si="26"/>
        <v>177106.38</v>
      </c>
      <c r="J107" s="100">
        <f t="shared" si="26"/>
        <v>178054.38</v>
      </c>
      <c r="K107" s="126">
        <f t="shared" si="26"/>
        <v>178054.38</v>
      </c>
      <c r="L107" s="100">
        <f t="shared" si="26"/>
        <v>176834.38</v>
      </c>
      <c r="M107" s="100">
        <f t="shared" si="26"/>
        <v>176449.38</v>
      </c>
      <c r="N107" s="100">
        <f t="shared" si="26"/>
        <v>177910.38</v>
      </c>
      <c r="O107" s="100">
        <f t="shared" si="26"/>
        <v>1805249.96</v>
      </c>
      <c r="P107"/>
    </row>
    <row r="108" spans="2:16" x14ac:dyDescent="0.4">
      <c r="B108" s="99" t="s">
        <v>108</v>
      </c>
      <c r="C108" s="100">
        <f>C107-C62</f>
        <v>1250</v>
      </c>
      <c r="D108" s="176">
        <f t="shared" ref="D108:N108" si="27">D107-C107</f>
        <v>-343</v>
      </c>
      <c r="E108" s="100">
        <f t="shared" si="27"/>
        <v>21141.919999999998</v>
      </c>
      <c r="F108" s="176">
        <f t="shared" si="27"/>
        <v>-5091.9199999999983</v>
      </c>
      <c r="G108" s="100">
        <f t="shared" si="27"/>
        <v>7286.3800000000047</v>
      </c>
      <c r="H108" s="100">
        <f t="shared" si="27"/>
        <v>40915</v>
      </c>
      <c r="I108" s="100">
        <f t="shared" si="27"/>
        <v>9577</v>
      </c>
      <c r="J108" s="100">
        <f t="shared" si="27"/>
        <v>948</v>
      </c>
      <c r="K108" s="126">
        <f t="shared" si="27"/>
        <v>0</v>
      </c>
      <c r="L108" s="176">
        <f t="shared" si="27"/>
        <v>-1220</v>
      </c>
      <c r="M108" s="176">
        <f t="shared" si="27"/>
        <v>-385</v>
      </c>
      <c r="N108" s="100">
        <f t="shared" si="27"/>
        <v>1461</v>
      </c>
      <c r="O108" s="168">
        <f>SUM(C108:N108)</f>
        <v>75539.38</v>
      </c>
      <c r="P108"/>
    </row>
    <row r="109" spans="2:16" x14ac:dyDescent="0.4">
      <c r="B109" s="99"/>
      <c r="C109" s="100"/>
      <c r="D109" s="100"/>
      <c r="E109" s="100"/>
      <c r="F109" s="100"/>
      <c r="G109" s="100"/>
      <c r="H109" s="100"/>
      <c r="I109" s="100"/>
      <c r="J109" s="100"/>
      <c r="K109" s="126"/>
      <c r="L109" s="100"/>
      <c r="M109" s="100"/>
      <c r="N109" s="100"/>
      <c r="O109" s="100"/>
      <c r="P109"/>
    </row>
    <row r="110" spans="2:16" s="3" customFormat="1" x14ac:dyDescent="0.4">
      <c r="B110" s="120"/>
      <c r="C110" s="215"/>
      <c r="D110" s="90"/>
      <c r="E110" s="90"/>
      <c r="F110" s="90"/>
      <c r="G110" s="90"/>
      <c r="H110" s="90"/>
      <c r="I110" s="90"/>
      <c r="J110" s="90"/>
      <c r="K110" s="127"/>
      <c r="L110" s="90"/>
      <c r="M110" s="90"/>
      <c r="N110" s="90"/>
      <c r="O110" s="90"/>
      <c r="P110"/>
    </row>
    <row r="111" spans="2:16" x14ac:dyDescent="0.4">
      <c r="B111" s="99" t="s">
        <v>276</v>
      </c>
      <c r="C111" s="100">
        <f t="shared" ref="C111:O111" si="28">C107-C62</f>
        <v>1250</v>
      </c>
      <c r="D111" s="100">
        <f t="shared" si="28"/>
        <v>907</v>
      </c>
      <c r="E111" s="100">
        <f t="shared" si="28"/>
        <v>22048.92</v>
      </c>
      <c r="F111" s="100">
        <f t="shared" si="28"/>
        <v>16957</v>
      </c>
      <c r="G111" s="100">
        <f t="shared" si="28"/>
        <v>24243.380000000005</v>
      </c>
      <c r="H111" s="100">
        <f t="shared" si="28"/>
        <v>65158.380000000005</v>
      </c>
      <c r="I111" s="100">
        <f t="shared" si="28"/>
        <v>74735.38</v>
      </c>
      <c r="J111" s="100">
        <f t="shared" si="28"/>
        <v>75683.38</v>
      </c>
      <c r="K111" s="126">
        <f t="shared" si="28"/>
        <v>75683.38</v>
      </c>
      <c r="L111" s="100">
        <f t="shared" si="28"/>
        <v>74463.38</v>
      </c>
      <c r="M111" s="100">
        <f t="shared" si="28"/>
        <v>74078.38</v>
      </c>
      <c r="N111" s="100">
        <f t="shared" si="28"/>
        <v>75539.38</v>
      </c>
      <c r="O111" s="100">
        <f t="shared" si="28"/>
        <v>576797.96</v>
      </c>
    </row>
    <row r="112" spans="2:16" x14ac:dyDescent="0.4">
      <c r="G112" s="3"/>
      <c r="P112"/>
    </row>
    <row r="113" spans="2:16" x14ac:dyDescent="0.4">
      <c r="B113" s="216" t="s">
        <v>110</v>
      </c>
      <c r="C113" s="181"/>
      <c r="D113" s="181"/>
      <c r="E113" s="181"/>
      <c r="F113" s="248">
        <v>117757</v>
      </c>
      <c r="G113" s="248">
        <v>121431</v>
      </c>
      <c r="H113" s="248">
        <f>156386+7000</f>
        <v>163386</v>
      </c>
      <c r="I113" s="248">
        <v>184235</v>
      </c>
      <c r="J113" s="248">
        <v>178183</v>
      </c>
      <c r="K113" s="303">
        <v>178183</v>
      </c>
      <c r="L113" s="309">
        <v>176463</v>
      </c>
      <c r="M113" s="181">
        <v>176078</v>
      </c>
      <c r="N113" s="181">
        <v>177853</v>
      </c>
      <c r="O113" s="181"/>
      <c r="P113"/>
    </row>
    <row r="114" spans="2:16" x14ac:dyDescent="0.4">
      <c r="B114" s="83" t="s">
        <v>221</v>
      </c>
      <c r="C114" s="132"/>
      <c r="D114" s="132"/>
      <c r="G114" s="3"/>
      <c r="H114" s="132"/>
      <c r="I114" s="149"/>
      <c r="P114"/>
    </row>
    <row r="115" spans="2:16" x14ac:dyDescent="0.4">
      <c r="B115" s="189"/>
      <c r="C115" s="132"/>
      <c r="D115" s="132"/>
      <c r="E115" s="132"/>
      <c r="F115" s="132"/>
      <c r="G115" s="132"/>
      <c r="H115" s="132"/>
      <c r="K115" s="132" t="s">
        <v>277</v>
      </c>
      <c r="L115" s="132"/>
      <c r="M115" s="132"/>
      <c r="N115" s="132"/>
      <c r="P115"/>
    </row>
    <row r="116" spans="2:16" x14ac:dyDescent="0.4">
      <c r="B116" s="83"/>
      <c r="C116" s="90"/>
      <c r="D116" s="90"/>
      <c r="E116" s="90"/>
      <c r="F116" s="90"/>
      <c r="G116" s="90"/>
      <c r="H116" s="90"/>
      <c r="I116" s="90"/>
      <c r="J116" s="90"/>
      <c r="K116" s="127"/>
      <c r="L116" s="90"/>
      <c r="M116" s="90"/>
      <c r="N116" s="90"/>
      <c r="P116"/>
    </row>
    <row r="117" spans="2:16" x14ac:dyDescent="0.4">
      <c r="B117" s="83"/>
      <c r="C117" s="90"/>
      <c r="D117" s="90"/>
      <c r="E117" s="90"/>
      <c r="F117" s="90"/>
      <c r="G117" s="90"/>
      <c r="H117" s="90"/>
      <c r="I117" s="90"/>
      <c r="J117" s="90"/>
      <c r="K117" s="127"/>
      <c r="L117" s="90"/>
      <c r="M117" s="90"/>
      <c r="N117" s="90"/>
      <c r="P117"/>
    </row>
    <row r="118" spans="2:16" x14ac:dyDescent="0.4">
      <c r="G118" s="3"/>
      <c r="P118"/>
    </row>
    <row r="119" spans="2:16" x14ac:dyDescent="0.4">
      <c r="G119" s="3"/>
      <c r="H119" s="150"/>
      <c r="I119" s="159"/>
      <c r="J119" s="159"/>
      <c r="K119" s="290"/>
      <c r="P119"/>
    </row>
    <row r="120" spans="2:16" x14ac:dyDescent="0.4">
      <c r="G120" s="124"/>
      <c r="P120"/>
    </row>
    <row r="123" spans="2:16" x14ac:dyDescent="0.4">
      <c r="G123" s="151"/>
    </row>
    <row r="124" spans="2:16" x14ac:dyDescent="0.4">
      <c r="D124" s="90"/>
      <c r="E124" s="132"/>
      <c r="F124" s="90"/>
      <c r="G124" s="90"/>
    </row>
    <row r="126" spans="2:16" x14ac:dyDescent="0.4">
      <c r="D126" s="205"/>
      <c r="F126" s="150"/>
    </row>
    <row r="127" spans="2:16" x14ac:dyDescent="0.4">
      <c r="H127" s="161">
        <v>1</v>
      </c>
      <c r="I127" s="161">
        <v>2</v>
      </c>
      <c r="J127" s="161">
        <v>3</v>
      </c>
      <c r="K127" s="291">
        <v>4</v>
      </c>
      <c r="L127" s="161">
        <v>5</v>
      </c>
      <c r="M127" s="161">
        <v>6</v>
      </c>
      <c r="N127" s="161">
        <v>7</v>
      </c>
      <c r="O127" s="161">
        <v>8</v>
      </c>
      <c r="P127" s="161">
        <v>10</v>
      </c>
    </row>
    <row r="128" spans="2:16" x14ac:dyDescent="0.4">
      <c r="F128" s="151"/>
      <c r="G128" s="130">
        <v>2022</v>
      </c>
      <c r="H128" s="130">
        <v>2023</v>
      </c>
      <c r="I128" s="130">
        <v>2024</v>
      </c>
      <c r="J128" s="130">
        <v>2025</v>
      </c>
      <c r="K128" s="292">
        <v>2026</v>
      </c>
      <c r="L128" s="130">
        <v>2027</v>
      </c>
      <c r="M128" s="130">
        <v>2028</v>
      </c>
      <c r="N128" s="130">
        <v>2029</v>
      </c>
      <c r="O128" s="130">
        <v>2030</v>
      </c>
      <c r="P128" s="130">
        <v>2032</v>
      </c>
    </row>
    <row r="130" spans="6:16" x14ac:dyDescent="0.4">
      <c r="F130" t="s">
        <v>114</v>
      </c>
      <c r="G130" s="90"/>
      <c r="H130" s="90">
        <v>185000</v>
      </c>
      <c r="I130" s="90">
        <f t="shared" ref="I130:O130" si="29">H130+50000</f>
        <v>235000</v>
      </c>
      <c r="J130" s="90">
        <f t="shared" si="29"/>
        <v>285000</v>
      </c>
      <c r="K130" s="127">
        <f t="shared" si="29"/>
        <v>335000</v>
      </c>
      <c r="L130" s="90">
        <f t="shared" si="29"/>
        <v>385000</v>
      </c>
      <c r="M130" s="90">
        <f t="shared" si="29"/>
        <v>435000</v>
      </c>
      <c r="N130" s="90">
        <f t="shared" si="29"/>
        <v>485000</v>
      </c>
      <c r="O130" s="90">
        <f t="shared" si="29"/>
        <v>535000</v>
      </c>
      <c r="P130" s="90" t="e">
        <f>#REF!+50000</f>
        <v>#REF!</v>
      </c>
    </row>
    <row r="132" spans="6:16" x14ac:dyDescent="0.4">
      <c r="F132" s="83" t="s">
        <v>115</v>
      </c>
      <c r="G132" s="160">
        <f>G130*1.5</f>
        <v>0</v>
      </c>
      <c r="H132" s="160">
        <v>130000</v>
      </c>
      <c r="I132" s="160">
        <v>400000</v>
      </c>
      <c r="J132" s="160">
        <f t="shared" ref="J132:P132" si="30">J130*1.5</f>
        <v>427500</v>
      </c>
      <c r="K132" s="293">
        <f t="shared" si="30"/>
        <v>502500</v>
      </c>
      <c r="L132" s="160">
        <f t="shared" si="30"/>
        <v>577500</v>
      </c>
      <c r="M132" s="160">
        <f t="shared" si="30"/>
        <v>652500</v>
      </c>
      <c r="N132" s="160">
        <f t="shared" si="30"/>
        <v>727500</v>
      </c>
      <c r="O132" s="160">
        <f t="shared" si="30"/>
        <v>802500</v>
      </c>
      <c r="P132" s="160" t="e">
        <f t="shared" si="30"/>
        <v>#REF!</v>
      </c>
    </row>
    <row r="134" spans="6:16" x14ac:dyDescent="0.4">
      <c r="F134" t="s">
        <v>116</v>
      </c>
      <c r="H134" s="90">
        <v>100000</v>
      </c>
      <c r="I134" s="90"/>
      <c r="J134" s="90"/>
      <c r="K134" s="127"/>
      <c r="L134" s="90"/>
      <c r="M134" s="90"/>
      <c r="N134" s="90"/>
      <c r="O134" s="90"/>
      <c r="P134" s="103"/>
    </row>
    <row r="136" spans="6:16" x14ac:dyDescent="0.4">
      <c r="F136" s="162" t="s">
        <v>117</v>
      </c>
      <c r="G136" s="163">
        <f t="shared" ref="G136:P136" si="31">SUM(G130:G135)</f>
        <v>0</v>
      </c>
      <c r="H136" s="163">
        <f t="shared" si="31"/>
        <v>415000</v>
      </c>
      <c r="I136" s="163">
        <f t="shared" si="31"/>
        <v>635000</v>
      </c>
      <c r="J136" s="163">
        <f t="shared" si="31"/>
        <v>712500</v>
      </c>
      <c r="K136" s="294">
        <f t="shared" si="31"/>
        <v>837500</v>
      </c>
      <c r="L136" s="163">
        <f t="shared" si="31"/>
        <v>962500</v>
      </c>
      <c r="M136" s="163">
        <f t="shared" si="31"/>
        <v>1087500</v>
      </c>
      <c r="N136" s="163">
        <f t="shared" si="31"/>
        <v>1212500</v>
      </c>
      <c r="O136" s="163">
        <f t="shared" si="31"/>
        <v>1337500</v>
      </c>
      <c r="P136" s="163" t="e">
        <f t="shared" si="31"/>
        <v>#REF!</v>
      </c>
    </row>
    <row r="138" spans="6:16" x14ac:dyDescent="0.4">
      <c r="F138" s="164" t="s">
        <v>118</v>
      </c>
      <c r="G138" s="165">
        <f t="shared" ref="G138:P138" si="32">G136*12</f>
        <v>0</v>
      </c>
      <c r="H138" s="165">
        <f t="shared" si="32"/>
        <v>4980000</v>
      </c>
      <c r="I138" s="165">
        <f t="shared" si="32"/>
        <v>7620000</v>
      </c>
      <c r="J138" s="165">
        <f t="shared" si="32"/>
        <v>8550000</v>
      </c>
      <c r="K138" s="295">
        <f t="shared" si="32"/>
        <v>10050000</v>
      </c>
      <c r="L138" s="165">
        <f t="shared" si="32"/>
        <v>11550000</v>
      </c>
      <c r="M138" s="165">
        <f t="shared" si="32"/>
        <v>13050000</v>
      </c>
      <c r="N138" s="165">
        <f t="shared" si="32"/>
        <v>14550000</v>
      </c>
      <c r="O138" s="165">
        <f t="shared" si="32"/>
        <v>16050000</v>
      </c>
      <c r="P138" s="165" t="e">
        <f t="shared" si="32"/>
        <v>#REF!</v>
      </c>
    </row>
    <row r="140" spans="6:16" x14ac:dyDescent="0.4">
      <c r="G140" s="90"/>
      <c r="H140" s="90"/>
      <c r="I140" s="90"/>
      <c r="J140" s="90"/>
      <c r="K140" s="127"/>
      <c r="L140" s="90"/>
      <c r="M140" s="90"/>
      <c r="N140" s="90"/>
      <c r="O140" s="90"/>
      <c r="P140" s="90"/>
    </row>
    <row r="141" spans="6:16" x14ac:dyDescent="0.4">
      <c r="F141" s="166"/>
      <c r="G141" s="132"/>
      <c r="H141" s="132"/>
      <c r="I141" s="132"/>
      <c r="J141" s="132"/>
      <c r="K141" s="289"/>
      <c r="L141" s="132"/>
      <c r="M141" s="132"/>
      <c r="N141" s="132"/>
      <c r="O141" s="132"/>
      <c r="P141" s="132"/>
    </row>
    <row r="142" spans="6:16" x14ac:dyDescent="0.4">
      <c r="F142" s="83"/>
      <c r="G142" s="90"/>
      <c r="H142" s="90"/>
      <c r="I142" s="90"/>
      <c r="J142" s="90"/>
      <c r="K142" s="127"/>
      <c r="L142" s="90"/>
      <c r="M142" s="90"/>
      <c r="N142" s="90"/>
      <c r="O142" s="90"/>
      <c r="P142" s="90"/>
    </row>
    <row r="143" spans="6:16" x14ac:dyDescent="0.4">
      <c r="F143" s="83"/>
      <c r="G143" s="132"/>
      <c r="H143" s="132"/>
      <c r="I143" s="132"/>
      <c r="J143" s="132"/>
      <c r="K143" s="289"/>
      <c r="L143" s="132"/>
      <c r="M143" s="132"/>
      <c r="N143" s="132"/>
      <c r="O143" s="132"/>
      <c r="P143" s="132"/>
    </row>
    <row r="144" spans="6:16" x14ac:dyDescent="0.4">
      <c r="F144" s="83"/>
      <c r="G144" s="132"/>
      <c r="H144" s="132"/>
      <c r="I144" s="132"/>
      <c r="J144" s="132"/>
      <c r="K144" s="289"/>
      <c r="L144" s="132"/>
      <c r="M144" s="132"/>
      <c r="N144" s="132"/>
      <c r="O144" s="132"/>
      <c r="P144" s="132"/>
    </row>
  </sheetData>
  <mergeCells count="5">
    <mergeCell ref="G1:I1"/>
    <mergeCell ref="A2:B2"/>
    <mergeCell ref="A10:A12"/>
    <mergeCell ref="A14:A17"/>
    <mergeCell ref="A19:A21"/>
  </mergeCells>
  <conditionalFormatting sqref="C22:O22 C27:O2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26F9-2198-4E84-9E86-D4CFAFADD37B}">
  <dimension ref="A1:O31"/>
  <sheetViews>
    <sheetView workbookViewId="0">
      <selection activeCell="C14" sqref="C14"/>
    </sheetView>
  </sheetViews>
  <sheetFormatPr defaultRowHeight="14.6" x14ac:dyDescent="0.4"/>
  <cols>
    <col min="1" max="1" width="42.53515625" bestFit="1" customWidth="1"/>
    <col min="2" max="2" width="12" bestFit="1" customWidth="1"/>
    <col min="3" max="3" width="12" customWidth="1"/>
    <col min="5" max="5" width="8.53515625" bestFit="1" customWidth="1"/>
    <col min="6" max="11" width="10.15234375" bestFit="1" customWidth="1"/>
    <col min="12" max="12" width="5.53515625" bestFit="1" customWidth="1"/>
    <col min="15" max="15" width="11.15234375" bestFit="1" customWidth="1"/>
  </cols>
  <sheetData>
    <row r="1" spans="1:15" ht="15" thickBot="1" x14ac:dyDescent="0.45">
      <c r="C1" s="57" t="s">
        <v>278</v>
      </c>
      <c r="D1" s="684" t="s">
        <v>0</v>
      </c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</row>
    <row r="2" spans="1:15" ht="15" thickBot="1" x14ac:dyDescent="0.45">
      <c r="A2" s="44" t="s">
        <v>279</v>
      </c>
      <c r="B2" s="45" t="s">
        <v>280</v>
      </c>
      <c r="C2" s="53"/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</row>
    <row r="3" spans="1:15" ht="15" thickBot="1" x14ac:dyDescent="0.45">
      <c r="A3" s="46" t="s">
        <v>281</v>
      </c>
      <c r="B3" s="47"/>
      <c r="C3" s="54"/>
    </row>
    <row r="4" spans="1:15" ht="15" thickBot="1" x14ac:dyDescent="0.45">
      <c r="A4" s="48" t="s">
        <v>282</v>
      </c>
      <c r="B4" s="49" t="s">
        <v>283</v>
      </c>
      <c r="C4" s="53"/>
    </row>
    <row r="5" spans="1:15" ht="15" thickBot="1" x14ac:dyDescent="0.45">
      <c r="A5" s="48" t="s">
        <v>284</v>
      </c>
      <c r="B5" s="49" t="s">
        <v>283</v>
      </c>
      <c r="C5" s="53"/>
    </row>
    <row r="6" spans="1:15" ht="15" thickBot="1" x14ac:dyDescent="0.45">
      <c r="A6" s="48" t="s">
        <v>285</v>
      </c>
      <c r="B6" s="49" t="s">
        <v>283</v>
      </c>
      <c r="C6" s="53"/>
    </row>
    <row r="7" spans="1:15" ht="15" thickBot="1" x14ac:dyDescent="0.45">
      <c r="A7" s="48" t="s">
        <v>286</v>
      </c>
      <c r="B7" s="49" t="s">
        <v>283</v>
      </c>
      <c r="C7" s="53"/>
    </row>
    <row r="8" spans="1:15" ht="15" thickBot="1" x14ac:dyDescent="0.45">
      <c r="A8" s="48" t="s">
        <v>287</v>
      </c>
      <c r="B8" s="49" t="s">
        <v>288</v>
      </c>
      <c r="C8" s="53"/>
    </row>
    <row r="9" spans="1:15" ht="15" thickBot="1" x14ac:dyDescent="0.45">
      <c r="A9" s="48" t="s">
        <v>289</v>
      </c>
      <c r="B9" s="49" t="s">
        <v>288</v>
      </c>
      <c r="C9" s="53"/>
    </row>
    <row r="10" spans="1:15" ht="15" thickBot="1" x14ac:dyDescent="0.45">
      <c r="A10" s="48" t="s">
        <v>290</v>
      </c>
      <c r="B10" s="49" t="s">
        <v>288</v>
      </c>
      <c r="C10" s="53"/>
    </row>
    <row r="11" spans="1:15" ht="15" thickBot="1" x14ac:dyDescent="0.45">
      <c r="A11" s="48" t="s">
        <v>291</v>
      </c>
      <c r="B11" s="49" t="s">
        <v>288</v>
      </c>
      <c r="C11" s="53"/>
    </row>
    <row r="12" spans="1:15" ht="15" thickBot="1" x14ac:dyDescent="0.45">
      <c r="A12" s="50" t="s">
        <v>292</v>
      </c>
      <c r="B12" s="51"/>
      <c r="C12" s="55"/>
    </row>
    <row r="13" spans="1:15" ht="15" thickBot="1" x14ac:dyDescent="0.45">
      <c r="A13" s="50" t="s">
        <v>293</v>
      </c>
      <c r="B13" s="51"/>
      <c r="C13" s="55"/>
    </row>
    <row r="14" spans="1:15" ht="15" thickBot="1" x14ac:dyDescent="0.45">
      <c r="A14" s="48" t="s">
        <v>294</v>
      </c>
      <c r="B14" s="49" t="s">
        <v>283</v>
      </c>
      <c r="C14" s="53"/>
    </row>
    <row r="15" spans="1:15" ht="15" thickBot="1" x14ac:dyDescent="0.45">
      <c r="A15" s="48" t="s">
        <v>295</v>
      </c>
      <c r="B15" s="49" t="s">
        <v>283</v>
      </c>
      <c r="C15" s="53"/>
    </row>
    <row r="16" spans="1:15" ht="15" thickBot="1" x14ac:dyDescent="0.45">
      <c r="A16" s="52"/>
      <c r="B16" s="47"/>
      <c r="C16" s="54"/>
    </row>
    <row r="17" spans="1:15" ht="15" thickBot="1" x14ac:dyDescent="0.45">
      <c r="A17" s="46" t="s">
        <v>296</v>
      </c>
      <c r="B17" s="56"/>
      <c r="C17" s="54"/>
    </row>
    <row r="18" spans="1:15" ht="15" thickBot="1" x14ac:dyDescent="0.45">
      <c r="A18" s="48" t="s">
        <v>297</v>
      </c>
      <c r="B18" s="56"/>
      <c r="C18" s="1" t="e">
        <f>SUMIFS(#REF!,#REF!,"POTS - PC Refresh 2019",#REF!,"won",#REF!,"&lt;&gt;Hero Tech")</f>
        <v>#REF!</v>
      </c>
      <c r="D18" s="1" t="e">
        <f>SUMIFS(#REF!,#REF!,"POTS - PC Refresh 2019",#REF!,"open",#REF!,"1",#REF!,"&lt;&gt;Hero Tech")</f>
        <v>#REF!</v>
      </c>
      <c r="E18" s="1" t="e">
        <f>SUMIFS(#REF!,#REF!,"POTS - PC Refresh 2019",#REF!,"open",#REF!,"2",#REF!,"&lt;&gt;Hero Tech")</f>
        <v>#REF!</v>
      </c>
      <c r="F18" s="1" t="e">
        <f>SUMIFS(#REF!,#REF!,"POTS - PC Refresh 2019",#REF!,"open",#REF!,"3",#REF!,"&lt;&gt;Hero Tech")</f>
        <v>#REF!</v>
      </c>
      <c r="G18" s="1" t="e">
        <f>SUMIFS(#REF!,#REF!,"POTS - PC Refresh 2019",#REF!,"open",#REF!,"4",#REF!,"&lt;&gt;Hero Tech")</f>
        <v>#REF!</v>
      </c>
      <c r="H18" s="1" t="e">
        <f>SUMIFS(#REF!,#REF!,"POTS - PC Refresh 2019",#REF!,"open",#REF!,"5",#REF!,"&lt;&gt;Hero Tech")</f>
        <v>#REF!</v>
      </c>
      <c r="I18" s="1" t="e">
        <f>SUMIFS(#REF!,#REF!,"POTS - PC Refresh 2019",#REF!,"open",#REF!,"6",#REF!,"&lt;&gt;Hero Tech")</f>
        <v>#REF!</v>
      </c>
      <c r="J18" s="1" t="e">
        <f>SUMIFS(#REF!,#REF!,"POTS - PC Refresh 2019",#REF!,"open",#REF!,"7",#REF!,"&lt;&gt;Hero Tech")</f>
        <v>#REF!</v>
      </c>
      <c r="K18" s="1" t="e">
        <f>SUMIFS(#REF!,#REF!,"POTS - PC Refresh 2019",#REF!,"open",#REF!,"8",#REF!,"&lt;&gt;Hero Tech")</f>
        <v>#REF!</v>
      </c>
      <c r="L18" s="1" t="e">
        <f>SUMIFS(#REF!,#REF!,"POTS - PC Refresh 2019",#REF!,"open",#REF!,"9",#REF!,"&lt;&gt;Hero Tech")</f>
        <v>#REF!</v>
      </c>
      <c r="M18" s="1" t="e">
        <f>SUMIFS(#REF!,#REF!,"POTS - PC Refresh 2019",#REF!,"open",#REF!,"10",#REF!,"&lt;&gt;Hero Tech")</f>
        <v>#REF!</v>
      </c>
      <c r="N18" s="1" t="e">
        <f>SUMIFS(#REF!,#REF!,"POTS - PC Refresh 2019",#REF!,"open",#REF!,"11",#REF!,"&lt;&gt;Hero Tech")</f>
        <v>#REF!</v>
      </c>
      <c r="O18" s="1" t="e">
        <f>SUMIFS(#REF!,#REF!,"POTS - PC Refresh 2019",#REF!,"open",#REF!,"12",#REF!,"&lt;&gt;Hero Tech")</f>
        <v>#REF!</v>
      </c>
    </row>
    <row r="19" spans="1:15" ht="15" thickBot="1" x14ac:dyDescent="0.45">
      <c r="A19" s="48" t="s">
        <v>298</v>
      </c>
      <c r="B19" s="56"/>
      <c r="C19" s="1" t="e">
        <f>SUMIFS(#REF!,#REF!,"POTS - PC Refresh 2019",#REF!,"won",#REF!,"Hero Tech")</f>
        <v>#REF!</v>
      </c>
      <c r="D19" s="1" t="e">
        <f>SUMIFS(#REF!,#REF!,"POTS - PC Refresh 2019",#REF!,"open",#REF!,"1",#REF!,"Hero Tech")</f>
        <v>#REF!</v>
      </c>
      <c r="E19" s="1" t="e">
        <f>SUMIFS(#REF!,#REF!,"POTS - PC Refresh 2019",#REF!,"open",#REF!,"2",#REF!,"Hero Tech")</f>
        <v>#REF!</v>
      </c>
      <c r="F19" s="1" t="e">
        <f>SUMIFS(#REF!,#REF!,"POTS - PC Refresh 2019",#REF!,"open",#REF!,"3",#REF!,"Hero Tech")</f>
        <v>#REF!</v>
      </c>
      <c r="G19" s="1" t="e">
        <f>SUMIFS(#REF!,#REF!,"POTS - PC Refresh 2019",#REF!,"open",#REF!,"4",#REF!,"Hero Tech")</f>
        <v>#REF!</v>
      </c>
      <c r="H19" s="1" t="e">
        <f>SUMIFS(#REF!,#REF!,"POTS - PC Refresh 2019",#REF!,"open",#REF!,"5",#REF!,"Hero Tech")</f>
        <v>#REF!</v>
      </c>
      <c r="I19" s="1" t="e">
        <f>SUMIFS(#REF!,#REF!,"POTS - PC Refresh 2019",#REF!,"open",#REF!,"6",#REF!,"Hero Tech")</f>
        <v>#REF!</v>
      </c>
      <c r="J19" s="1" t="e">
        <f>SUMIFS(#REF!,#REF!,"POTS - PC Refresh 2019",#REF!,"open",#REF!,"7",#REF!,"Hero Tech")</f>
        <v>#REF!</v>
      </c>
      <c r="K19" s="1" t="e">
        <f>SUMIFS(#REF!,#REF!,"POTS - PC Refresh 2019",#REF!,"open",#REF!,"8",#REF!,"Hero Tech")</f>
        <v>#REF!</v>
      </c>
      <c r="L19" s="1" t="e">
        <f>SUMIFS(#REF!,#REF!,"POTS - PC Refresh 2019",#REF!,"open",#REF!,"9",#REF!,"Hero Tech")</f>
        <v>#REF!</v>
      </c>
      <c r="M19" s="1" t="e">
        <f>SUMIFS(#REF!,#REF!,"POTS - PC Refresh 2019",#REF!,"open",#REF!,"10",#REF!,"Hero Tech")</f>
        <v>#REF!</v>
      </c>
      <c r="N19" s="1" t="e">
        <f>SUMIFS(#REF!,#REF!,"POTS - PC Refresh 2019",#REF!,"open",#REF!,"11",#REF!,"Hero Tech")</f>
        <v>#REF!</v>
      </c>
      <c r="O19" s="1" t="e">
        <f>SUMIFS(#REF!,#REF!,"POTS - PC Refresh 2019",#REF!,"open",#REF!,"12",#REF!,"Hero Tech")</f>
        <v>#REF!</v>
      </c>
    </row>
    <row r="20" spans="1:15" ht="15" thickBot="1" x14ac:dyDescent="0.45">
      <c r="A20" s="48" t="s">
        <v>299</v>
      </c>
      <c r="B20" s="56"/>
      <c r="C20" s="54"/>
    </row>
    <row r="21" spans="1:15" ht="15" thickBot="1" x14ac:dyDescent="0.45">
      <c r="A21" s="48" t="s">
        <v>300</v>
      </c>
      <c r="B21" s="47"/>
      <c r="C21" s="54"/>
    </row>
    <row r="22" spans="1:15" ht="15" thickBot="1" x14ac:dyDescent="0.45">
      <c r="A22" s="48" t="s">
        <v>301</v>
      </c>
      <c r="B22" s="47"/>
      <c r="C22" s="54"/>
    </row>
    <row r="26" spans="1:15" x14ac:dyDescent="0.4">
      <c r="B26" s="3"/>
    </row>
    <row r="27" spans="1:15" x14ac:dyDescent="0.4">
      <c r="B27" s="3"/>
      <c r="D27" s="31">
        <f t="shared" ref="D27:K27" si="0">D29/C29</f>
        <v>1.3639527853587148</v>
      </c>
      <c r="E27" s="31">
        <f t="shared" si="0"/>
        <v>1.1955803378474481</v>
      </c>
      <c r="F27" s="31">
        <f t="shared" si="0"/>
        <v>1.3087743573336783</v>
      </c>
      <c r="G27" s="31">
        <f t="shared" si="0"/>
        <v>1.2559670157243639</v>
      </c>
      <c r="H27" s="31">
        <f t="shared" si="0"/>
        <v>1.1487822461308859</v>
      </c>
      <c r="I27" s="31">
        <f t="shared" si="0"/>
        <v>0.84595948475173399</v>
      </c>
      <c r="J27" s="31">
        <f t="shared" si="0"/>
        <v>1.1778694563561525</v>
      </c>
      <c r="K27" s="31">
        <f t="shared" si="0"/>
        <v>1.1331327730659142</v>
      </c>
    </row>
    <row r="28" spans="1:15" x14ac:dyDescent="0.4">
      <c r="C28">
        <v>2010</v>
      </c>
      <c r="D28">
        <v>2011</v>
      </c>
      <c r="E28">
        <v>2012</v>
      </c>
      <c r="F28">
        <v>2013</v>
      </c>
      <c r="G28">
        <v>2014</v>
      </c>
      <c r="H28">
        <v>2015</v>
      </c>
      <c r="I28">
        <v>2016</v>
      </c>
      <c r="J28">
        <v>2017</v>
      </c>
      <c r="K28">
        <v>2018</v>
      </c>
    </row>
    <row r="29" spans="1:15" x14ac:dyDescent="0.4">
      <c r="B29" t="s">
        <v>302</v>
      </c>
      <c r="C29" s="2">
        <v>530937</v>
      </c>
      <c r="D29" s="2">
        <v>724173</v>
      </c>
      <c r="E29" s="2">
        <v>865807</v>
      </c>
      <c r="F29" s="2">
        <v>1133146</v>
      </c>
      <c r="G29" s="2">
        <v>1423194</v>
      </c>
      <c r="H29" s="2">
        <v>1634940</v>
      </c>
      <c r="I29" s="2">
        <v>1383093</v>
      </c>
      <c r="J29" s="2">
        <v>1629103</v>
      </c>
      <c r="K29" s="2">
        <v>1845990</v>
      </c>
    </row>
    <row r="30" spans="1:15" x14ac:dyDescent="0.4">
      <c r="B30" t="s">
        <v>303</v>
      </c>
      <c r="C30" s="58"/>
      <c r="D30" s="2"/>
      <c r="E30" s="2"/>
      <c r="F30" s="2"/>
      <c r="G30" s="2"/>
      <c r="H30" s="2"/>
      <c r="I30" s="2"/>
      <c r="J30" s="2"/>
      <c r="K30" s="2">
        <v>1696000</v>
      </c>
    </row>
    <row r="31" spans="1:15" x14ac:dyDescent="0.4">
      <c r="B31" s="38" t="s">
        <v>25</v>
      </c>
      <c r="C31" s="2"/>
      <c r="K31" s="2">
        <f>K29-K30</f>
        <v>149990</v>
      </c>
    </row>
  </sheetData>
  <mergeCells count="1"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46"/>
  <sheetViews>
    <sheetView workbookViewId="0">
      <pane ySplit="1" topLeftCell="A5" activePane="bottomLeft" state="frozen"/>
      <selection pane="bottomLeft" activeCell="A7" sqref="A7:J45"/>
    </sheetView>
  </sheetViews>
  <sheetFormatPr defaultRowHeight="14.6" x14ac:dyDescent="0.4"/>
  <cols>
    <col min="1" max="1" width="47.53515625" bestFit="1" customWidth="1"/>
    <col min="2" max="2" width="58.53515625" bestFit="1" customWidth="1"/>
    <col min="3" max="3" width="13.3828125" bestFit="1" customWidth="1"/>
    <col min="4" max="4" width="29.84375" style="2" bestFit="1" customWidth="1"/>
    <col min="5" max="5" width="17.3828125" bestFit="1" customWidth="1"/>
    <col min="6" max="6" width="15.53515625" customWidth="1"/>
    <col min="7" max="9" width="10.15234375" style="1" bestFit="1" customWidth="1"/>
    <col min="10" max="10" width="51.69140625" bestFit="1" customWidth="1"/>
  </cols>
  <sheetData>
    <row r="1" spans="1:10" x14ac:dyDescent="0.4">
      <c r="G1" s="1" t="s">
        <v>304</v>
      </c>
      <c r="H1" s="1" t="s">
        <v>305</v>
      </c>
      <c r="I1" s="1" t="s">
        <v>306</v>
      </c>
      <c r="J1" s="1" t="s">
        <v>307</v>
      </c>
    </row>
    <row r="2" spans="1:10" x14ac:dyDescent="0.4">
      <c r="F2" t="s">
        <v>5</v>
      </c>
      <c r="G2" s="1">
        <v>45546.57</v>
      </c>
      <c r="H2" s="1">
        <v>45787.1</v>
      </c>
      <c r="I2" s="1">
        <v>70543.97</v>
      </c>
      <c r="J2" s="1">
        <v>91333.67</v>
      </c>
    </row>
    <row r="3" spans="1:10" x14ac:dyDescent="0.4">
      <c r="J3" s="1"/>
    </row>
    <row r="4" spans="1:10" x14ac:dyDescent="0.4">
      <c r="A4" s="9" t="s">
        <v>308</v>
      </c>
      <c r="B4" s="9" t="s">
        <v>309</v>
      </c>
      <c r="C4" s="9" t="s">
        <v>310</v>
      </c>
      <c r="D4" s="9" t="s">
        <v>311</v>
      </c>
      <c r="E4" t="s">
        <v>312</v>
      </c>
      <c r="F4" s="2" t="s">
        <v>313</v>
      </c>
    </row>
    <row r="5" spans="1:10" x14ac:dyDescent="0.4">
      <c r="A5" s="10" t="s">
        <v>314</v>
      </c>
      <c r="B5" s="10" t="s">
        <v>315</v>
      </c>
      <c r="C5" s="10" t="s">
        <v>316</v>
      </c>
      <c r="D5"/>
      <c r="E5">
        <v>1</v>
      </c>
      <c r="F5" s="2">
        <v>22000</v>
      </c>
    </row>
    <row r="6" spans="1:10" x14ac:dyDescent="0.4">
      <c r="C6" s="11" t="s">
        <v>8</v>
      </c>
      <c r="D6"/>
      <c r="E6">
        <v>1</v>
      </c>
      <c r="F6" s="2">
        <v>22000</v>
      </c>
    </row>
    <row r="7" spans="1:10" x14ac:dyDescent="0.4">
      <c r="C7" s="39" t="s">
        <v>317</v>
      </c>
      <c r="D7" s="10" t="s">
        <v>318</v>
      </c>
      <c r="E7">
        <v>1</v>
      </c>
      <c r="F7" s="2">
        <v>22000</v>
      </c>
      <c r="J7" t="s">
        <v>319</v>
      </c>
    </row>
    <row r="8" spans="1:10" x14ac:dyDescent="0.4">
      <c r="B8" s="10" t="s">
        <v>320</v>
      </c>
      <c r="C8" s="10" t="s">
        <v>316</v>
      </c>
      <c r="D8"/>
      <c r="E8">
        <v>2</v>
      </c>
      <c r="F8" s="2">
        <v>2000</v>
      </c>
    </row>
    <row r="9" spans="1:10" x14ac:dyDescent="0.4">
      <c r="C9" s="11" t="s">
        <v>2</v>
      </c>
      <c r="D9"/>
      <c r="E9">
        <v>1</v>
      </c>
      <c r="F9" s="2">
        <v>400</v>
      </c>
      <c r="J9" t="s">
        <v>319</v>
      </c>
    </row>
    <row r="10" spans="1:10" x14ac:dyDescent="0.4">
      <c r="C10" s="39" t="s">
        <v>321</v>
      </c>
      <c r="D10" s="10" t="s">
        <v>322</v>
      </c>
      <c r="E10">
        <v>1</v>
      </c>
      <c r="F10" s="2">
        <v>400</v>
      </c>
      <c r="J10" t="s">
        <v>323</v>
      </c>
    </row>
    <row r="11" spans="1:10" x14ac:dyDescent="0.4">
      <c r="C11" s="11" t="s">
        <v>3</v>
      </c>
      <c r="D11"/>
      <c r="E11">
        <v>1</v>
      </c>
      <c r="F11" s="2">
        <v>1600</v>
      </c>
    </row>
    <row r="12" spans="1:10" x14ac:dyDescent="0.4">
      <c r="C12" s="39" t="s">
        <v>324</v>
      </c>
      <c r="D12" s="10" t="s">
        <v>322</v>
      </c>
      <c r="E12">
        <v>1</v>
      </c>
      <c r="F12" s="2">
        <v>1600</v>
      </c>
      <c r="G12" s="1" t="e">
        <f>GETPIVOTDATA("Sum of Revenue",$A$4,"Close Date",152,"Company","A Change in Trajectory (ACT)","Opportunity Summary","P1 Downtown location","Months",5)</f>
        <v>#REF!</v>
      </c>
      <c r="J12" t="s">
        <v>325</v>
      </c>
    </row>
    <row r="13" spans="1:10" x14ac:dyDescent="0.4">
      <c r="B13" s="10" t="s">
        <v>326</v>
      </c>
      <c r="C13" s="10" t="s">
        <v>316</v>
      </c>
      <c r="D13"/>
      <c r="E13">
        <v>1</v>
      </c>
      <c r="F13" s="2">
        <v>0</v>
      </c>
      <c r="G13" s="1" t="e">
        <f>GETPIVOTDATA("Sum of Revenue",$A$4,"Close Date",152,"Company","Advanced Chiropractic","Opportunity Summary","P1 Sonicwall License Renewal","Months",5)</f>
        <v>#REF!</v>
      </c>
      <c r="J13" t="s">
        <v>327</v>
      </c>
    </row>
    <row r="14" spans="1:10" x14ac:dyDescent="0.4">
      <c r="C14" s="11" t="s">
        <v>2</v>
      </c>
      <c r="D14"/>
      <c r="E14">
        <v>1</v>
      </c>
      <c r="F14" s="2">
        <v>0</v>
      </c>
      <c r="G14" s="1" t="e">
        <f>GETPIVOTDATA("Sum of Revenue",$A$4,"Close Date",125,"Company","Autism Behavioral Health (ABH)","Opportunity Summary","P1 snipping tool","Months",5)</f>
        <v>#REF!</v>
      </c>
    </row>
    <row r="15" spans="1:10" x14ac:dyDescent="0.4">
      <c r="C15" s="39" t="s">
        <v>328</v>
      </c>
      <c r="D15" s="10" t="s">
        <v>329</v>
      </c>
      <c r="E15">
        <v>1</v>
      </c>
      <c r="F15" s="2">
        <v>0</v>
      </c>
      <c r="H15" s="1" t="e">
        <f>GETPIVOTDATA("Sum of Revenue",$A$4,"Close Date",152,"Company","CAPS MEDIA","Opportunity Summary","P1 PC Refresh - Win7 1 of 1","Months",5)</f>
        <v>#REF!</v>
      </c>
      <c r="J15" t="s">
        <v>330</v>
      </c>
    </row>
    <row r="16" spans="1:10" x14ac:dyDescent="0.4">
      <c r="B16" s="10" t="s">
        <v>331</v>
      </c>
      <c r="C16" s="10" t="s">
        <v>316</v>
      </c>
      <c r="D16"/>
      <c r="E16">
        <v>1</v>
      </c>
      <c r="F16" s="2">
        <v>525</v>
      </c>
      <c r="I16" s="14" t="e">
        <f>GETPIVOTDATA("Sum of Revenue",$A$4,"Close Date",152,"Company","Cool Pak","Opportunity Summary","P1 AWS - MS","Months",5)</f>
        <v>#REF!</v>
      </c>
      <c r="J16" t="s">
        <v>332</v>
      </c>
    </row>
    <row r="17" spans="2:10" x14ac:dyDescent="0.4">
      <c r="C17" s="11" t="s">
        <v>2</v>
      </c>
      <c r="D17"/>
      <c r="E17">
        <v>1</v>
      </c>
      <c r="F17" s="2">
        <v>525</v>
      </c>
      <c r="G17" s="1" t="e">
        <f>GETPIVOTDATA("Sum of Revenue",$A$4,"Close Date",125,"Company","DITEC Manufacturing","Opportunity Summary","P1 PC Refresh 1 of 6","Stage","Awaiting Client Approval","Months",5)</f>
        <v>#REF!</v>
      </c>
      <c r="J17" t="s">
        <v>333</v>
      </c>
    </row>
    <row r="18" spans="2:10" x14ac:dyDescent="0.4">
      <c r="C18" s="39" t="s">
        <v>334</v>
      </c>
      <c r="D18" s="10" t="s">
        <v>322</v>
      </c>
      <c r="E18">
        <v>1</v>
      </c>
      <c r="F18" s="2">
        <v>525</v>
      </c>
      <c r="G18" s="1" t="e">
        <f>GETPIVOTDATA("Sum of Revenue",$A$4,"Close Date",142,"Company","DITEC Manufacturing","Opportunity Summary","P1 PC Refresh 2 of 6","Stage","New Opportunity","Months",5)</f>
        <v>#REF!</v>
      </c>
      <c r="J18" t="s">
        <v>333</v>
      </c>
    </row>
    <row r="19" spans="2:10" x14ac:dyDescent="0.4">
      <c r="B19" s="10" t="s">
        <v>335</v>
      </c>
      <c r="C19" s="10" t="s">
        <v>316</v>
      </c>
      <c r="D19"/>
      <c r="E19">
        <v>1</v>
      </c>
      <c r="F19" s="2">
        <v>404.57</v>
      </c>
      <c r="I19" s="1" t="e">
        <f>GETPIVOTDATA("Sum of Revenue",$A$4,"Close Date",125,"Company","G and R Concrete","Opportunity Summary","P1 PC Refresh","Stage","New Opportunity","Months",5)</f>
        <v>#REF!</v>
      </c>
      <c r="J19" t="s">
        <v>336</v>
      </c>
    </row>
    <row r="20" spans="2:10" x14ac:dyDescent="0.4">
      <c r="C20" s="11" t="s">
        <v>1</v>
      </c>
      <c r="D20"/>
      <c r="E20">
        <v>1</v>
      </c>
      <c r="F20" s="2">
        <v>404.57</v>
      </c>
      <c r="I20" s="12" t="e">
        <f>GETPIVOTDATA("Sum of Revenue",$A$4,"Close Date",152,"Company","Hod Dunbar","Opportunity Summary","P1 WiFI","Stage","New Opportunity","Months",5)</f>
        <v>#REF!</v>
      </c>
      <c r="J20" t="s">
        <v>337</v>
      </c>
    </row>
    <row r="21" spans="2:10" x14ac:dyDescent="0.4">
      <c r="C21" s="39" t="s">
        <v>338</v>
      </c>
      <c r="D21" s="10" t="s">
        <v>322</v>
      </c>
      <c r="E21">
        <v>1</v>
      </c>
      <c r="F21" s="2">
        <v>404.57</v>
      </c>
      <c r="I21" s="1" t="e">
        <f>GETPIVOTDATA("Sum of Revenue",$A$4,"Close Date",152,"Company","House of Ruth","Opportunity Summary","P1 Laptop","Stage","New Opportunity","Months",5)</f>
        <v>#REF!</v>
      </c>
      <c r="J21" t="s">
        <v>339</v>
      </c>
    </row>
    <row r="22" spans="2:10" x14ac:dyDescent="0.4">
      <c r="B22" s="10" t="s">
        <v>340</v>
      </c>
      <c r="C22" s="10" t="s">
        <v>316</v>
      </c>
      <c r="D22"/>
      <c r="E22">
        <v>1</v>
      </c>
      <c r="F22" s="2">
        <v>132.97</v>
      </c>
      <c r="H22" s="1" t="e">
        <f>GETPIVOTDATA("Sum of Revenue",$A$4,"Close Date",125,"Company","House of Ruth","Opportunity Summary","P1 New Printer","Stage","New Opportunity","Months",5)</f>
        <v>#REF!</v>
      </c>
      <c r="J22" t="s">
        <v>341</v>
      </c>
    </row>
    <row r="23" spans="2:10" x14ac:dyDescent="0.4">
      <c r="C23" s="11" t="s">
        <v>3</v>
      </c>
      <c r="D23"/>
      <c r="E23">
        <v>1</v>
      </c>
      <c r="F23" s="2">
        <v>132.97</v>
      </c>
      <c r="H23" s="1" t="e">
        <f>GETPIVOTDATA("Sum of Revenue",$A$4,"Close Date",152,"Company","House of Ruth","Opportunity Summary","P1 replace all computers HDD","Stage","Awaiting Client Approval","Months",5)</f>
        <v>#REF!</v>
      </c>
      <c r="J23" t="s">
        <v>342</v>
      </c>
    </row>
    <row r="24" spans="2:10" x14ac:dyDescent="0.4">
      <c r="C24" s="39" t="s">
        <v>343</v>
      </c>
      <c r="D24" s="10" t="s">
        <v>322</v>
      </c>
      <c r="E24">
        <v>1</v>
      </c>
      <c r="F24" s="2">
        <v>132.97</v>
      </c>
      <c r="I24" s="1" t="e">
        <f>GETPIVOTDATA("Sum of Revenue",$A$4,"Close Date",152,"Company","House of Ruth","Opportunity Summary","P1 replace all computers SSD","Stage","Awaiting Client Approval","Months",5)</f>
        <v>#REF!</v>
      </c>
    </row>
    <row r="25" spans="2:10" x14ac:dyDescent="0.4">
      <c r="B25" s="10" t="s">
        <v>344</v>
      </c>
      <c r="C25" s="10" t="s">
        <v>316</v>
      </c>
      <c r="D25"/>
      <c r="E25">
        <v>1</v>
      </c>
      <c r="F25" s="2">
        <v>5660.9</v>
      </c>
      <c r="H25" s="1" t="e">
        <f>GETPIVOTDATA("Sum of Revenue",$A$4,"Close Date",125,"Company","Instrument Control Services","Opportunity Summary","P1 VoIP Proposal","Stage","New Opportunity","Months",5)</f>
        <v>#REF!</v>
      </c>
      <c r="J25" t="s">
        <v>345</v>
      </c>
    </row>
    <row r="26" spans="2:10" x14ac:dyDescent="0.4">
      <c r="C26" s="11" t="s">
        <v>3</v>
      </c>
      <c r="D26"/>
      <c r="E26">
        <v>1</v>
      </c>
      <c r="F26" s="2">
        <v>5660.9</v>
      </c>
      <c r="I26" s="1" t="e">
        <f>GETPIVOTDATA("Sum of Revenue",$A$4,"Close Date",152,"Company","Jack Built","Opportunity Summary","P1 MS","Stage","Qualifying","Months",5)</f>
        <v>#REF!</v>
      </c>
      <c r="J26" t="s">
        <v>346</v>
      </c>
    </row>
    <row r="27" spans="2:10" x14ac:dyDescent="0.4">
      <c r="C27" s="39" t="s">
        <v>324</v>
      </c>
      <c r="D27" s="10" t="s">
        <v>322</v>
      </c>
      <c r="E27">
        <v>1</v>
      </c>
      <c r="F27" s="2">
        <v>5660.9</v>
      </c>
      <c r="I27" s="1" t="e">
        <f>GETPIVOTDATA("Sum of Revenue",$A$4,"Close Date",152,"Company","Notes for Notes","Opportunity Summary","P1 iMac Hard Drive","Stage","On Hold","Months",5)</f>
        <v>#REF!</v>
      </c>
      <c r="J27" t="s">
        <v>347</v>
      </c>
    </row>
    <row r="28" spans="2:10" x14ac:dyDescent="0.4">
      <c r="B28" s="10" t="s">
        <v>348</v>
      </c>
      <c r="C28" s="10" t="s">
        <v>316</v>
      </c>
      <c r="D28"/>
      <c r="E28">
        <v>1</v>
      </c>
      <c r="F28" s="2">
        <v>1739.66</v>
      </c>
      <c r="H28" s="1" t="e">
        <f>GETPIVOTDATA("Sum of Revenue",$A$4,"Close Date",152,"Company","Ojai Oil Company","Opportunity Summary","P1 AWS - test server","Stage","Awaiting Client Approval","Months",5)</f>
        <v>#REF!</v>
      </c>
      <c r="J28" t="s">
        <v>349</v>
      </c>
    </row>
    <row r="29" spans="2:10" x14ac:dyDescent="0.4">
      <c r="C29" s="11" t="s">
        <v>3</v>
      </c>
      <c r="D29"/>
      <c r="E29">
        <v>1</v>
      </c>
      <c r="F29" s="2">
        <v>1739.66</v>
      </c>
      <c r="I29" s="1" t="e">
        <f>GETPIVOTDATA("Sum of Revenue",$A$4,"Close Date",152,"Company","Organic Certifiers","Opportunity Summary","P1 AWS Migration","Stage","Awaiting Client Approval","Months",5)</f>
        <v>#REF!</v>
      </c>
      <c r="J29" t="s">
        <v>350</v>
      </c>
    </row>
    <row r="30" spans="2:10" x14ac:dyDescent="0.4">
      <c r="C30" s="39" t="s">
        <v>343</v>
      </c>
      <c r="D30" s="10" t="s">
        <v>322</v>
      </c>
      <c r="E30">
        <v>1</v>
      </c>
      <c r="F30" s="2">
        <v>1739.66</v>
      </c>
      <c r="I30" s="1" t="e">
        <f>GETPIVOTDATA("Sum of Revenue",$A$4,"Close Date",152,"Company","Passport to Adaptive Living","Opportunity Summary","P1 ABAS-3 server setup","Stage","New Opportunity","Months",5)</f>
        <v>#REF!</v>
      </c>
      <c r="J30" t="s">
        <v>351</v>
      </c>
    </row>
    <row r="31" spans="2:10" x14ac:dyDescent="0.4">
      <c r="B31" s="10" t="s">
        <v>352</v>
      </c>
      <c r="C31" s="10" t="s">
        <v>316</v>
      </c>
      <c r="D31"/>
      <c r="E31">
        <v>1</v>
      </c>
      <c r="F31" s="2">
        <v>1787.24</v>
      </c>
      <c r="H31" s="1" t="e">
        <f>GETPIVOTDATA("Sum of Revenue",$A$4,"Close Date",152,"Company","Pilot Automotive","Opportunity Summary","P1 Wi-Fi (Aerohive)","Stage","Awaiting Client Approval","Months",5)</f>
        <v>#REF!</v>
      </c>
      <c r="J31" t="s">
        <v>353</v>
      </c>
    </row>
    <row r="32" spans="2:10" x14ac:dyDescent="0.4">
      <c r="C32" s="11" t="s">
        <v>3</v>
      </c>
      <c r="D32"/>
      <c r="E32">
        <v>1</v>
      </c>
      <c r="F32" s="2">
        <v>1787.24</v>
      </c>
      <c r="I32" s="1" t="e">
        <f>GETPIVOTDATA("Sum of Revenue",$A$4,"Close Date",152,"Company","Project Sister Family Services","Opportunity Summary","P1 CURV server renewal Serial HHMQ082	","Stage","Needs Invoice","Months",5)</f>
        <v>#REF!</v>
      </c>
      <c r="J32" t="s">
        <v>354</v>
      </c>
    </row>
    <row r="33" spans="2:10" x14ac:dyDescent="0.4">
      <c r="C33" s="39" t="s">
        <v>343</v>
      </c>
      <c r="D33" s="10" t="s">
        <v>322</v>
      </c>
      <c r="E33">
        <v>1</v>
      </c>
      <c r="F33" s="2">
        <v>1787.24</v>
      </c>
      <c r="I33" s="1" t="e">
        <f>GETPIVOTDATA("Sum of Revenue",$A$4,"Close Date",145,"Company","Ransom Seed Laboratory","Opportunity Summary","P1 8x8","Stage","Qualifying","Months",5)</f>
        <v>#REF!</v>
      </c>
      <c r="J33" t="s">
        <v>332</v>
      </c>
    </row>
    <row r="34" spans="2:10" x14ac:dyDescent="0.4">
      <c r="B34" s="10" t="s">
        <v>355</v>
      </c>
      <c r="C34" s="10" t="s">
        <v>316</v>
      </c>
      <c r="D34"/>
      <c r="E34">
        <v>1</v>
      </c>
      <c r="F34" s="2">
        <v>2680.86</v>
      </c>
      <c r="I34" s="1" t="e">
        <f>GETPIVOTDATA("Sum of Revenue",$A$4,"Close Date",152,"Company","Smile Shapers","Opportunity Summary","P1 Server","Stage","New Opportunity","Months",5)</f>
        <v>#REF!</v>
      </c>
      <c r="J34" t="s">
        <v>356</v>
      </c>
    </row>
    <row r="35" spans="2:10" x14ac:dyDescent="0.4">
      <c r="C35" s="11" t="s">
        <v>3</v>
      </c>
      <c r="D35"/>
      <c r="E35">
        <v>1</v>
      </c>
      <c r="F35" s="2">
        <v>2680.86</v>
      </c>
      <c r="I35" s="1" t="e">
        <f>GETPIVOTDATA("Sum of Revenue",$A$4,"Close Date",122,"Company","Smile Shapers","Opportunity Summary","P1 Server (low)","Stage","New Opportunity","Months",5)</f>
        <v>#REF!</v>
      </c>
    </row>
    <row r="36" spans="2:10" x14ac:dyDescent="0.4">
      <c r="C36" s="39" t="s">
        <v>343</v>
      </c>
      <c r="D36" s="10" t="s">
        <v>322</v>
      </c>
      <c r="E36">
        <v>1</v>
      </c>
      <c r="F36" s="2">
        <v>2680.86</v>
      </c>
      <c r="G36" s="1" t="e">
        <f>GETPIVOTDATA("Sum of Revenue",$A$4,"Close Date",152,"Company","Smile Shapers","Opportunity Summary","P1 Sodo Server","Stage","New Opportunity","Months",5)</f>
        <v>#REF!</v>
      </c>
    </row>
    <row r="37" spans="2:10" x14ac:dyDescent="0.4">
      <c r="B37" s="10" t="s">
        <v>357</v>
      </c>
      <c r="C37" s="10" t="s">
        <v>316</v>
      </c>
      <c r="D37"/>
      <c r="E37">
        <v>1</v>
      </c>
      <c r="F37" s="2">
        <v>6643.04</v>
      </c>
      <c r="H37" s="1" t="e">
        <f>GETPIVOTDATA("Sum of Revenue",$A$4,"Close Date",152,"Company","Ventura Harley","Opportunity Summary","P1 MS","Stage","New Opportunity","Months",5)</f>
        <v>#REF!</v>
      </c>
      <c r="J37" t="s">
        <v>358</v>
      </c>
    </row>
    <row r="38" spans="2:10" x14ac:dyDescent="0.4">
      <c r="C38" s="11" t="s">
        <v>5</v>
      </c>
      <c r="D38"/>
      <c r="E38">
        <v>1</v>
      </c>
      <c r="F38" s="2">
        <v>6643.04</v>
      </c>
      <c r="H38" s="1" t="e">
        <f>GETPIVOTDATA("Sum of Revenue",$A$4,"Close Date",152,"Company","ZNS","Opportunity Summary","P1 Office365 Migratin","Stage","New Opportunity","Months",5)</f>
        <v>#REF!</v>
      </c>
    </row>
    <row r="39" spans="2:10" x14ac:dyDescent="0.4">
      <c r="C39" s="39" t="s">
        <v>359</v>
      </c>
      <c r="D39" s="10" t="s">
        <v>318</v>
      </c>
      <c r="E39">
        <v>1</v>
      </c>
      <c r="F39" s="2">
        <v>6643.04</v>
      </c>
      <c r="G39" s="1" t="e">
        <f>GETPIVOTDATA("Sum of Revenue",$A$4,"Close Date",125,"Company","ZNS","Opportunity Summary","P1 Server Option 1","Stage","New Opportunity","Months",5)</f>
        <v>#REF!</v>
      </c>
    </row>
    <row r="40" spans="2:10" x14ac:dyDescent="0.4">
      <c r="B40" s="10" t="s">
        <v>360</v>
      </c>
      <c r="C40" s="10" t="s">
        <v>316</v>
      </c>
      <c r="D40"/>
      <c r="E40">
        <v>1</v>
      </c>
      <c r="F40" s="2">
        <v>0</v>
      </c>
      <c r="I40" s="1" t="e">
        <f>GETPIVOTDATA("Sum of Revenue",$A$4,"Close Date",125,"Company","ZNS","Opportunity Summary","P1 Server option 2","Stage","New Opportunity","Months",5)</f>
        <v>#REF!</v>
      </c>
    </row>
    <row r="41" spans="2:10" x14ac:dyDescent="0.4">
      <c r="C41" s="11" t="s">
        <v>5</v>
      </c>
      <c r="D41"/>
      <c r="E41">
        <v>1</v>
      </c>
      <c r="F41" s="2">
        <v>0</v>
      </c>
      <c r="G41" s="1" t="e">
        <f>GETPIVOTDATA("Sum of Revenue",$A$4,"Close Date",137,"Company","ZNS","Opportunity Summary","P1 Site location setup","Stage","New Opportunity","Months",5)</f>
        <v>#REF!</v>
      </c>
    </row>
    <row r="42" spans="2:10" x14ac:dyDescent="0.4">
      <c r="C42" s="39" t="s">
        <v>359</v>
      </c>
      <c r="D42" s="10" t="s">
        <v>361</v>
      </c>
      <c r="E42">
        <v>1</v>
      </c>
      <c r="F42" s="2">
        <v>0</v>
      </c>
    </row>
    <row r="43" spans="2:10" x14ac:dyDescent="0.4">
      <c r="B43" s="10" t="s">
        <v>362</v>
      </c>
      <c r="C43" s="10" t="s">
        <v>316</v>
      </c>
      <c r="D43"/>
      <c r="E43">
        <v>1</v>
      </c>
      <c r="F43" s="2">
        <v>321.08</v>
      </c>
      <c r="G43" s="1" t="e">
        <f>GETPIVOTDATA("Sum of Revenue",$A$4,"Close Date",179,"Company","Autism Response Team (ART)","Opportunity Summary","P1 Raise AWS amount they pay","Stage","New Opportunity","Months",6)</f>
        <v>#REF!</v>
      </c>
    </row>
    <row r="44" spans="2:10" x14ac:dyDescent="0.4">
      <c r="C44" s="11" t="s">
        <v>5</v>
      </c>
      <c r="D44"/>
      <c r="E44">
        <v>1</v>
      </c>
      <c r="F44" s="2">
        <v>321.08</v>
      </c>
      <c r="H44" s="1" t="e">
        <f>GETPIVOTDATA("Sum of Revenue",$A$4,"Close Date",167,"Company","DITEC Manufacturing","Opportunity Summary","P1 DYNAMICS Migration Project","Stage","On Hold","Months",6)</f>
        <v>#REF!</v>
      </c>
      <c r="J44" t="s">
        <v>363</v>
      </c>
    </row>
    <row r="45" spans="2:10" x14ac:dyDescent="0.4">
      <c r="C45" s="39" t="s">
        <v>364</v>
      </c>
      <c r="D45" s="10" t="s">
        <v>322</v>
      </c>
      <c r="E45">
        <v>1</v>
      </c>
      <c r="F45" s="2">
        <v>321.08</v>
      </c>
      <c r="G45" s="1" t="e">
        <f>GETPIVOTDATA("Sum of Revenue",$A$4,"Close Date",170,"Company","DITEC Manufacturing","Opportunity Summary","P1 PC Refresh 3 of 6","Stage","New Opportunity","Months",6)</f>
        <v>#REF!</v>
      </c>
    </row>
    <row r="46" spans="2:10" x14ac:dyDescent="0.4">
      <c r="B46" s="10" t="s">
        <v>365</v>
      </c>
      <c r="C46" s="10" t="s">
        <v>316</v>
      </c>
      <c r="D46"/>
      <c r="E46">
        <v>1</v>
      </c>
      <c r="F46" s="2">
        <v>0</v>
      </c>
    </row>
    <row r="47" spans="2:10" x14ac:dyDescent="0.4">
      <c r="C47" s="11" t="s">
        <v>5</v>
      </c>
      <c r="D47"/>
      <c r="E47">
        <v>1</v>
      </c>
      <c r="F47" s="2">
        <v>0</v>
      </c>
    </row>
    <row r="48" spans="2:10" x14ac:dyDescent="0.4">
      <c r="C48" s="39" t="s">
        <v>359</v>
      </c>
      <c r="D48" s="10" t="s">
        <v>318</v>
      </c>
      <c r="E48">
        <v>1</v>
      </c>
      <c r="F48" s="2">
        <v>0</v>
      </c>
    </row>
    <row r="49" spans="1:6" x14ac:dyDescent="0.4">
      <c r="B49" s="10" t="s">
        <v>366</v>
      </c>
      <c r="C49" s="10" t="s">
        <v>316</v>
      </c>
      <c r="D49"/>
      <c r="E49">
        <v>1</v>
      </c>
      <c r="F49" s="2">
        <v>0</v>
      </c>
    </row>
    <row r="50" spans="1:6" x14ac:dyDescent="0.4">
      <c r="C50" s="11" t="s">
        <v>5</v>
      </c>
      <c r="D50"/>
      <c r="E50">
        <v>1</v>
      </c>
      <c r="F50" s="2">
        <v>0</v>
      </c>
    </row>
    <row r="51" spans="1:6" x14ac:dyDescent="0.4">
      <c r="C51" s="39" t="s">
        <v>359</v>
      </c>
      <c r="D51" s="10" t="s">
        <v>318</v>
      </c>
      <c r="E51">
        <v>1</v>
      </c>
      <c r="F51" s="2">
        <v>0</v>
      </c>
    </row>
    <row r="52" spans="1:6" x14ac:dyDescent="0.4">
      <c r="A52" s="10" t="s">
        <v>367</v>
      </c>
      <c r="B52" s="10" t="s">
        <v>368</v>
      </c>
      <c r="C52" s="10" t="s">
        <v>316</v>
      </c>
      <c r="D52"/>
      <c r="E52">
        <v>1</v>
      </c>
      <c r="F52" s="2">
        <v>9000</v>
      </c>
    </row>
    <row r="53" spans="1:6" x14ac:dyDescent="0.4">
      <c r="C53" s="11" t="s">
        <v>369</v>
      </c>
      <c r="D53"/>
      <c r="E53">
        <v>1</v>
      </c>
      <c r="F53" s="2">
        <v>9000</v>
      </c>
    </row>
    <row r="54" spans="1:6" x14ac:dyDescent="0.4">
      <c r="C54" s="39" t="s">
        <v>370</v>
      </c>
      <c r="D54" s="10" t="s">
        <v>318</v>
      </c>
      <c r="E54">
        <v>1</v>
      </c>
      <c r="F54" s="2">
        <v>9000</v>
      </c>
    </row>
    <row r="55" spans="1:6" x14ac:dyDescent="0.4">
      <c r="B55" s="10" t="s">
        <v>320</v>
      </c>
      <c r="C55" s="10" t="s">
        <v>316</v>
      </c>
      <c r="D55"/>
      <c r="E55">
        <v>1</v>
      </c>
      <c r="F55" s="2">
        <v>539</v>
      </c>
    </row>
    <row r="56" spans="1:6" x14ac:dyDescent="0.4">
      <c r="C56" s="11" t="s">
        <v>4</v>
      </c>
      <c r="D56"/>
      <c r="E56">
        <v>1</v>
      </c>
      <c r="F56" s="2">
        <v>539</v>
      </c>
    </row>
    <row r="57" spans="1:6" x14ac:dyDescent="0.4">
      <c r="C57" s="39" t="s">
        <v>371</v>
      </c>
      <c r="D57" s="10" t="s">
        <v>322</v>
      </c>
      <c r="E57">
        <v>1</v>
      </c>
      <c r="F57" s="2">
        <v>539</v>
      </c>
    </row>
    <row r="58" spans="1:6" x14ac:dyDescent="0.4">
      <c r="B58" s="10" t="s">
        <v>372</v>
      </c>
      <c r="C58" s="10" t="s">
        <v>316</v>
      </c>
      <c r="D58"/>
      <c r="E58">
        <v>1</v>
      </c>
      <c r="F58" s="2">
        <v>0</v>
      </c>
    </row>
    <row r="59" spans="1:6" x14ac:dyDescent="0.4">
      <c r="C59" s="11" t="s">
        <v>1</v>
      </c>
      <c r="D59"/>
      <c r="E59">
        <v>1</v>
      </c>
      <c r="F59" s="2">
        <v>0</v>
      </c>
    </row>
    <row r="60" spans="1:6" x14ac:dyDescent="0.4">
      <c r="C60" s="39" t="s">
        <v>373</v>
      </c>
      <c r="D60" s="10" t="s">
        <v>329</v>
      </c>
      <c r="E60">
        <v>1</v>
      </c>
      <c r="F60" s="2">
        <v>0</v>
      </c>
    </row>
    <row r="61" spans="1:6" x14ac:dyDescent="0.4">
      <c r="B61" s="10" t="s">
        <v>374</v>
      </c>
      <c r="C61" s="10" t="s">
        <v>316</v>
      </c>
      <c r="D61"/>
      <c r="E61">
        <v>1</v>
      </c>
      <c r="F61" s="2">
        <v>620</v>
      </c>
    </row>
    <row r="62" spans="1:6" x14ac:dyDescent="0.4">
      <c r="C62" s="11" t="s">
        <v>5</v>
      </c>
      <c r="D62"/>
      <c r="E62">
        <v>1</v>
      </c>
      <c r="F62" s="2">
        <v>620</v>
      </c>
    </row>
    <row r="63" spans="1:6" x14ac:dyDescent="0.4">
      <c r="C63" s="39" t="s">
        <v>364</v>
      </c>
      <c r="D63" s="10" t="s">
        <v>318</v>
      </c>
      <c r="E63">
        <v>1</v>
      </c>
      <c r="F63" s="2">
        <v>620</v>
      </c>
    </row>
    <row r="64" spans="1:6" x14ac:dyDescent="0.4">
      <c r="A64" s="10" t="s">
        <v>268</v>
      </c>
      <c r="B64" s="10" t="s">
        <v>375</v>
      </c>
      <c r="C64" s="10" t="s">
        <v>316</v>
      </c>
      <c r="D64"/>
      <c r="E64">
        <v>1</v>
      </c>
      <c r="F64" s="2">
        <v>1065.3399999999999</v>
      </c>
    </row>
    <row r="65" spans="1:6" x14ac:dyDescent="0.4">
      <c r="C65" s="11" t="s">
        <v>1</v>
      </c>
      <c r="D65"/>
      <c r="E65">
        <v>1</v>
      </c>
      <c r="F65" s="2">
        <v>1065.3399999999999</v>
      </c>
    </row>
    <row r="66" spans="1:6" x14ac:dyDescent="0.4">
      <c r="C66" s="39" t="s">
        <v>376</v>
      </c>
      <c r="D66" s="10" t="s">
        <v>322</v>
      </c>
      <c r="E66">
        <v>1</v>
      </c>
      <c r="F66" s="2">
        <v>1065.3399999999999</v>
      </c>
    </row>
    <row r="67" spans="1:6" x14ac:dyDescent="0.4">
      <c r="B67" s="10" t="s">
        <v>377</v>
      </c>
      <c r="C67" s="10" t="s">
        <v>316</v>
      </c>
      <c r="D67"/>
      <c r="E67">
        <v>1</v>
      </c>
      <c r="F67" s="2">
        <v>249</v>
      </c>
    </row>
    <row r="68" spans="1:6" x14ac:dyDescent="0.4">
      <c r="C68" s="11" t="s">
        <v>1</v>
      </c>
      <c r="D68"/>
      <c r="E68">
        <v>1</v>
      </c>
      <c r="F68" s="2">
        <v>249</v>
      </c>
    </row>
    <row r="69" spans="1:6" x14ac:dyDescent="0.4">
      <c r="C69" s="39" t="s">
        <v>378</v>
      </c>
      <c r="D69" s="10" t="s">
        <v>322</v>
      </c>
      <c r="E69">
        <v>1</v>
      </c>
      <c r="F69" s="2">
        <v>249</v>
      </c>
    </row>
    <row r="70" spans="1:6" x14ac:dyDescent="0.4">
      <c r="B70" s="10" t="s">
        <v>379</v>
      </c>
      <c r="C70" s="10" t="s">
        <v>316</v>
      </c>
      <c r="D70"/>
      <c r="E70">
        <v>1</v>
      </c>
      <c r="F70" s="2">
        <v>7376.8</v>
      </c>
    </row>
    <row r="71" spans="1:6" x14ac:dyDescent="0.4">
      <c r="C71" s="11" t="s">
        <v>1</v>
      </c>
      <c r="D71"/>
      <c r="E71">
        <v>1</v>
      </c>
      <c r="F71" s="2">
        <v>7376.8</v>
      </c>
    </row>
    <row r="72" spans="1:6" x14ac:dyDescent="0.4">
      <c r="C72" s="39" t="s">
        <v>380</v>
      </c>
      <c r="D72" s="10" t="s">
        <v>322</v>
      </c>
      <c r="E72">
        <v>1</v>
      </c>
      <c r="F72" s="2">
        <v>7376.8</v>
      </c>
    </row>
    <row r="73" spans="1:6" x14ac:dyDescent="0.4">
      <c r="A73" s="10" t="s">
        <v>381</v>
      </c>
      <c r="B73" s="10" t="s">
        <v>320</v>
      </c>
      <c r="C73" s="10" t="s">
        <v>316</v>
      </c>
      <c r="D73"/>
      <c r="E73">
        <v>1</v>
      </c>
      <c r="F73" s="2">
        <v>600</v>
      </c>
    </row>
    <row r="74" spans="1:6" x14ac:dyDescent="0.4">
      <c r="C74" s="11" t="s">
        <v>3</v>
      </c>
      <c r="D74"/>
      <c r="E74">
        <v>1</v>
      </c>
      <c r="F74" s="2">
        <v>600</v>
      </c>
    </row>
    <row r="75" spans="1:6" x14ac:dyDescent="0.4">
      <c r="C75" s="39" t="s">
        <v>324</v>
      </c>
      <c r="D75" s="10" t="s">
        <v>322</v>
      </c>
      <c r="E75">
        <v>1</v>
      </c>
      <c r="F75" s="2">
        <v>600</v>
      </c>
    </row>
    <row r="76" spans="1:6" x14ac:dyDescent="0.4">
      <c r="B76" s="10" t="s">
        <v>382</v>
      </c>
      <c r="C76" s="10" t="s">
        <v>316</v>
      </c>
      <c r="D76"/>
      <c r="E76">
        <v>1</v>
      </c>
      <c r="F76" s="2">
        <v>617.99</v>
      </c>
    </row>
    <row r="77" spans="1:6" x14ac:dyDescent="0.4">
      <c r="C77" s="11" t="s">
        <v>1</v>
      </c>
      <c r="D77"/>
      <c r="E77">
        <v>1</v>
      </c>
      <c r="F77" s="2">
        <v>617.99</v>
      </c>
    </row>
    <row r="78" spans="1:6" x14ac:dyDescent="0.4">
      <c r="C78" s="39" t="s">
        <v>383</v>
      </c>
      <c r="D78" s="10" t="s">
        <v>322</v>
      </c>
      <c r="E78">
        <v>1</v>
      </c>
      <c r="F78" s="2">
        <v>617.99</v>
      </c>
    </row>
    <row r="79" spans="1:6" x14ac:dyDescent="0.4">
      <c r="A79" s="10" t="s">
        <v>384</v>
      </c>
      <c r="B79" s="10" t="s">
        <v>385</v>
      </c>
      <c r="C79" s="10" t="s">
        <v>316</v>
      </c>
      <c r="D79"/>
      <c r="E79">
        <v>1</v>
      </c>
      <c r="F79" s="2">
        <v>686.5</v>
      </c>
    </row>
    <row r="80" spans="1:6" x14ac:dyDescent="0.4">
      <c r="C80" s="11" t="s">
        <v>4</v>
      </c>
      <c r="D80"/>
      <c r="E80">
        <v>1</v>
      </c>
      <c r="F80" s="2">
        <v>686.5</v>
      </c>
    </row>
    <row r="81" spans="1:6" x14ac:dyDescent="0.4">
      <c r="C81" s="39" t="s">
        <v>386</v>
      </c>
      <c r="D81" s="10" t="s">
        <v>322</v>
      </c>
      <c r="E81">
        <v>1</v>
      </c>
      <c r="F81" s="2">
        <v>686.5</v>
      </c>
    </row>
    <row r="82" spans="1:6" x14ac:dyDescent="0.4">
      <c r="B82" s="10" t="s">
        <v>320</v>
      </c>
      <c r="C82" s="10" t="s">
        <v>316</v>
      </c>
      <c r="D82"/>
      <c r="E82">
        <v>1</v>
      </c>
      <c r="F82" s="2">
        <v>539</v>
      </c>
    </row>
    <row r="83" spans="1:6" x14ac:dyDescent="0.4">
      <c r="C83" s="11" t="s">
        <v>5</v>
      </c>
      <c r="D83"/>
      <c r="E83">
        <v>1</v>
      </c>
      <c r="F83" s="2">
        <v>539</v>
      </c>
    </row>
    <row r="84" spans="1:6" x14ac:dyDescent="0.4">
      <c r="C84" s="39" t="s">
        <v>364</v>
      </c>
      <c r="D84" s="10" t="s">
        <v>322</v>
      </c>
      <c r="E84">
        <v>1</v>
      </c>
      <c r="F84" s="2">
        <v>539</v>
      </c>
    </row>
    <row r="85" spans="1:6" x14ac:dyDescent="0.4">
      <c r="B85" s="10" t="s">
        <v>331</v>
      </c>
      <c r="C85" s="10" t="s">
        <v>316</v>
      </c>
      <c r="D85"/>
      <c r="E85">
        <v>1</v>
      </c>
      <c r="F85" s="2">
        <v>350</v>
      </c>
    </row>
    <row r="86" spans="1:6" x14ac:dyDescent="0.4">
      <c r="C86" s="11" t="s">
        <v>2</v>
      </c>
      <c r="D86"/>
      <c r="E86">
        <v>1</v>
      </c>
      <c r="F86" s="2">
        <v>350</v>
      </c>
    </row>
    <row r="87" spans="1:6" x14ac:dyDescent="0.4">
      <c r="C87" s="39" t="s">
        <v>334</v>
      </c>
      <c r="D87" s="10" t="s">
        <v>322</v>
      </c>
      <c r="E87">
        <v>1</v>
      </c>
      <c r="F87" s="2">
        <v>350</v>
      </c>
    </row>
    <row r="88" spans="1:6" x14ac:dyDescent="0.4">
      <c r="A88" s="10" t="s">
        <v>387</v>
      </c>
      <c r="B88" s="10" t="s">
        <v>315</v>
      </c>
      <c r="C88" s="10" t="s">
        <v>316</v>
      </c>
      <c r="D88"/>
      <c r="E88">
        <v>1</v>
      </c>
      <c r="F88" s="2">
        <v>6000</v>
      </c>
    </row>
    <row r="89" spans="1:6" x14ac:dyDescent="0.4">
      <c r="C89" s="11" t="s">
        <v>8</v>
      </c>
      <c r="D89"/>
      <c r="E89">
        <v>1</v>
      </c>
      <c r="F89" s="2">
        <v>6000</v>
      </c>
    </row>
    <row r="90" spans="1:6" x14ac:dyDescent="0.4">
      <c r="C90" s="39" t="s">
        <v>317</v>
      </c>
      <c r="D90" s="10" t="s">
        <v>318</v>
      </c>
      <c r="E90">
        <v>1</v>
      </c>
      <c r="F90" s="2">
        <v>6000</v>
      </c>
    </row>
    <row r="91" spans="1:6" x14ac:dyDescent="0.4">
      <c r="B91" s="10" t="s">
        <v>320</v>
      </c>
      <c r="C91" s="10" t="s">
        <v>316</v>
      </c>
      <c r="D91"/>
      <c r="E91">
        <v>1</v>
      </c>
      <c r="F91" s="2">
        <v>539</v>
      </c>
    </row>
    <row r="92" spans="1:6" x14ac:dyDescent="0.4">
      <c r="C92" s="11" t="s">
        <v>3</v>
      </c>
      <c r="D92"/>
      <c r="E92">
        <v>1</v>
      </c>
      <c r="F92" s="2">
        <v>539</v>
      </c>
    </row>
    <row r="93" spans="1:6" x14ac:dyDescent="0.4">
      <c r="C93" s="39" t="s">
        <v>324</v>
      </c>
      <c r="D93" s="10" t="s">
        <v>322</v>
      </c>
      <c r="E93">
        <v>1</v>
      </c>
      <c r="F93" s="2">
        <v>539</v>
      </c>
    </row>
    <row r="94" spans="1:6" x14ac:dyDescent="0.4">
      <c r="B94" s="10" t="s">
        <v>388</v>
      </c>
      <c r="C94" s="10" t="s">
        <v>316</v>
      </c>
      <c r="D94"/>
      <c r="E94">
        <v>1</v>
      </c>
      <c r="F94" s="2">
        <v>212.64</v>
      </c>
    </row>
    <row r="95" spans="1:6" x14ac:dyDescent="0.4">
      <c r="C95" s="11" t="s">
        <v>4</v>
      </c>
      <c r="D95"/>
      <c r="E95">
        <v>1</v>
      </c>
      <c r="F95" s="2">
        <v>212.64</v>
      </c>
    </row>
    <row r="96" spans="1:6" x14ac:dyDescent="0.4">
      <c r="C96" s="39" t="s">
        <v>389</v>
      </c>
      <c r="D96" s="10" t="s">
        <v>322</v>
      </c>
      <c r="E96">
        <v>1</v>
      </c>
      <c r="F96" s="2">
        <v>212.64</v>
      </c>
    </row>
    <row r="97" spans="1:6" x14ac:dyDescent="0.4">
      <c r="B97" s="10" t="s">
        <v>390</v>
      </c>
      <c r="C97" s="10" t="s">
        <v>316</v>
      </c>
      <c r="D97"/>
      <c r="E97">
        <v>1</v>
      </c>
      <c r="F97" s="2">
        <v>2268.77</v>
      </c>
    </row>
    <row r="98" spans="1:6" x14ac:dyDescent="0.4">
      <c r="C98" s="11" t="s">
        <v>2</v>
      </c>
      <c r="D98"/>
      <c r="E98">
        <v>1</v>
      </c>
      <c r="F98" s="2">
        <v>2268.77</v>
      </c>
    </row>
    <row r="99" spans="1:6" x14ac:dyDescent="0.4">
      <c r="C99" s="39" t="s">
        <v>328</v>
      </c>
      <c r="D99" s="10" t="s">
        <v>322</v>
      </c>
      <c r="E99">
        <v>1</v>
      </c>
      <c r="F99" s="2">
        <v>2268.77</v>
      </c>
    </row>
    <row r="100" spans="1:6" x14ac:dyDescent="0.4">
      <c r="A100" s="10" t="s">
        <v>391</v>
      </c>
      <c r="B100" s="10" t="s">
        <v>320</v>
      </c>
      <c r="C100" s="10" t="s">
        <v>316</v>
      </c>
      <c r="D100"/>
      <c r="E100">
        <v>1</v>
      </c>
      <c r="F100" s="2">
        <v>539</v>
      </c>
    </row>
    <row r="101" spans="1:6" x14ac:dyDescent="0.4">
      <c r="C101" s="11" t="s">
        <v>1</v>
      </c>
      <c r="D101"/>
      <c r="E101">
        <v>1</v>
      </c>
      <c r="F101" s="2">
        <v>539</v>
      </c>
    </row>
    <row r="102" spans="1:6" x14ac:dyDescent="0.4">
      <c r="C102" s="39" t="s">
        <v>392</v>
      </c>
      <c r="D102" s="10" t="s">
        <v>322</v>
      </c>
      <c r="E102">
        <v>1</v>
      </c>
      <c r="F102" s="2">
        <v>539</v>
      </c>
    </row>
    <row r="103" spans="1:6" x14ac:dyDescent="0.4">
      <c r="A103" s="10" t="s">
        <v>393</v>
      </c>
      <c r="B103" s="10" t="s">
        <v>394</v>
      </c>
      <c r="C103" s="10" t="s">
        <v>316</v>
      </c>
      <c r="D103"/>
      <c r="E103">
        <v>1</v>
      </c>
      <c r="F103" s="2">
        <v>6000</v>
      </c>
    </row>
    <row r="104" spans="1:6" x14ac:dyDescent="0.4">
      <c r="C104" s="11" t="s">
        <v>5</v>
      </c>
      <c r="D104"/>
      <c r="E104">
        <v>1</v>
      </c>
      <c r="F104" s="2">
        <v>6000</v>
      </c>
    </row>
    <row r="105" spans="1:6" x14ac:dyDescent="0.4">
      <c r="C105" s="39" t="s">
        <v>359</v>
      </c>
      <c r="D105" s="10" t="s">
        <v>395</v>
      </c>
      <c r="E105">
        <v>1</v>
      </c>
      <c r="F105" s="2">
        <v>6000</v>
      </c>
    </row>
    <row r="106" spans="1:6" x14ac:dyDescent="0.4">
      <c r="B106" s="10" t="s">
        <v>396</v>
      </c>
      <c r="C106" s="10" t="s">
        <v>316</v>
      </c>
      <c r="D106"/>
      <c r="E106">
        <v>1</v>
      </c>
      <c r="F106" s="2">
        <v>5100</v>
      </c>
    </row>
    <row r="107" spans="1:6" x14ac:dyDescent="0.4">
      <c r="C107" s="11" t="s">
        <v>3</v>
      </c>
      <c r="D107"/>
      <c r="E107">
        <v>1</v>
      </c>
      <c r="F107" s="2">
        <v>5100</v>
      </c>
    </row>
    <row r="108" spans="1:6" x14ac:dyDescent="0.4">
      <c r="C108" s="39" t="s">
        <v>343</v>
      </c>
      <c r="D108" s="10" t="s">
        <v>322</v>
      </c>
      <c r="E108">
        <v>1</v>
      </c>
      <c r="F108" s="2">
        <v>5100</v>
      </c>
    </row>
    <row r="109" spans="1:6" x14ac:dyDescent="0.4">
      <c r="B109" s="10" t="s">
        <v>397</v>
      </c>
      <c r="C109" s="10" t="s">
        <v>316</v>
      </c>
      <c r="D109"/>
      <c r="E109">
        <v>1</v>
      </c>
      <c r="F109" s="2">
        <v>22176.32</v>
      </c>
    </row>
    <row r="110" spans="1:6" x14ac:dyDescent="0.4">
      <c r="C110" s="11" t="s">
        <v>12</v>
      </c>
      <c r="D110"/>
      <c r="E110">
        <v>1</v>
      </c>
      <c r="F110" s="2">
        <v>22176.32</v>
      </c>
    </row>
    <row r="111" spans="1:6" x14ac:dyDescent="0.4">
      <c r="C111" s="39" t="s">
        <v>398</v>
      </c>
      <c r="D111" s="10" t="s">
        <v>395</v>
      </c>
      <c r="E111">
        <v>1</v>
      </c>
      <c r="F111" s="2">
        <v>22176.32</v>
      </c>
    </row>
    <row r="112" spans="1:6" x14ac:dyDescent="0.4">
      <c r="B112" s="10" t="s">
        <v>399</v>
      </c>
      <c r="C112" s="10" t="s">
        <v>316</v>
      </c>
      <c r="D112"/>
      <c r="E112">
        <v>1</v>
      </c>
      <c r="F112" s="2">
        <v>250</v>
      </c>
    </row>
    <row r="113" spans="1:6" x14ac:dyDescent="0.4">
      <c r="C113" s="11" t="s">
        <v>8</v>
      </c>
      <c r="D113"/>
      <c r="E113">
        <v>1</v>
      </c>
      <c r="F113" s="2">
        <v>250</v>
      </c>
    </row>
    <row r="114" spans="1:6" x14ac:dyDescent="0.4">
      <c r="C114" s="39" t="s">
        <v>400</v>
      </c>
      <c r="D114" s="10" t="s">
        <v>401</v>
      </c>
      <c r="E114">
        <v>1</v>
      </c>
      <c r="F114" s="2">
        <v>250</v>
      </c>
    </row>
    <row r="115" spans="1:6" x14ac:dyDescent="0.4">
      <c r="B115" s="10" t="s">
        <v>402</v>
      </c>
      <c r="C115" s="10" t="s">
        <v>316</v>
      </c>
      <c r="D115"/>
      <c r="E115">
        <v>1</v>
      </c>
      <c r="F115" s="2">
        <v>215</v>
      </c>
    </row>
    <row r="116" spans="1:6" x14ac:dyDescent="0.4">
      <c r="C116" s="11" t="s">
        <v>1</v>
      </c>
      <c r="D116"/>
      <c r="E116">
        <v>1</v>
      </c>
      <c r="F116" s="2">
        <v>215</v>
      </c>
    </row>
    <row r="117" spans="1:6" x14ac:dyDescent="0.4">
      <c r="C117" s="39" t="s">
        <v>338</v>
      </c>
      <c r="D117" s="10" t="s">
        <v>322</v>
      </c>
      <c r="E117">
        <v>1</v>
      </c>
      <c r="F117" s="2">
        <v>215</v>
      </c>
    </row>
    <row r="118" spans="1:6" x14ac:dyDescent="0.4">
      <c r="B118" s="10" t="s">
        <v>403</v>
      </c>
      <c r="C118" s="10" t="s">
        <v>316</v>
      </c>
      <c r="D118"/>
      <c r="E118">
        <v>1</v>
      </c>
      <c r="F118" s="2">
        <v>500</v>
      </c>
    </row>
    <row r="119" spans="1:6" x14ac:dyDescent="0.4">
      <c r="C119" s="11" t="s">
        <v>8</v>
      </c>
      <c r="D119"/>
      <c r="E119">
        <v>1</v>
      </c>
      <c r="F119" s="2">
        <v>500</v>
      </c>
    </row>
    <row r="120" spans="1:6" x14ac:dyDescent="0.4">
      <c r="C120" s="39" t="s">
        <v>317</v>
      </c>
      <c r="D120" s="10" t="s">
        <v>361</v>
      </c>
      <c r="E120">
        <v>1</v>
      </c>
      <c r="F120" s="2">
        <v>500</v>
      </c>
    </row>
    <row r="121" spans="1:6" x14ac:dyDescent="0.4">
      <c r="B121" s="10" t="s">
        <v>404</v>
      </c>
      <c r="C121" s="10" t="s">
        <v>316</v>
      </c>
      <c r="D121"/>
      <c r="E121">
        <v>1</v>
      </c>
      <c r="F121" s="2">
        <v>2273.21</v>
      </c>
    </row>
    <row r="122" spans="1:6" x14ac:dyDescent="0.4">
      <c r="C122" s="11" t="s">
        <v>8</v>
      </c>
      <c r="D122"/>
      <c r="E122">
        <v>1</v>
      </c>
      <c r="F122" s="2">
        <v>2273.21</v>
      </c>
    </row>
    <row r="123" spans="1:6" x14ac:dyDescent="0.4">
      <c r="C123" s="39" t="s">
        <v>317</v>
      </c>
      <c r="D123" s="10" t="s">
        <v>361</v>
      </c>
      <c r="E123">
        <v>1</v>
      </c>
      <c r="F123" s="2">
        <v>2273.21</v>
      </c>
    </row>
    <row r="124" spans="1:6" x14ac:dyDescent="0.4">
      <c r="A124" s="10" t="s">
        <v>405</v>
      </c>
      <c r="B124" s="10" t="s">
        <v>406</v>
      </c>
      <c r="C124" s="10" t="s">
        <v>316</v>
      </c>
      <c r="D124"/>
      <c r="E124">
        <v>1</v>
      </c>
      <c r="F124" s="2">
        <v>52.03</v>
      </c>
    </row>
    <row r="125" spans="1:6" x14ac:dyDescent="0.4">
      <c r="C125" s="11" t="s">
        <v>1</v>
      </c>
      <c r="D125"/>
      <c r="E125">
        <v>1</v>
      </c>
      <c r="F125" s="2">
        <v>52.03</v>
      </c>
    </row>
    <row r="126" spans="1:6" x14ac:dyDescent="0.4">
      <c r="C126" s="39" t="s">
        <v>407</v>
      </c>
      <c r="D126" s="10" t="s">
        <v>322</v>
      </c>
      <c r="E126">
        <v>1</v>
      </c>
      <c r="F126" s="2">
        <v>52.03</v>
      </c>
    </row>
    <row r="127" spans="1:6" x14ac:dyDescent="0.4">
      <c r="B127" s="10" t="s">
        <v>408</v>
      </c>
      <c r="C127" s="10" t="s">
        <v>316</v>
      </c>
      <c r="D127"/>
      <c r="E127">
        <v>1</v>
      </c>
      <c r="F127" s="2">
        <v>249</v>
      </c>
    </row>
    <row r="128" spans="1:6" x14ac:dyDescent="0.4">
      <c r="C128" s="11" t="s">
        <v>5</v>
      </c>
      <c r="D128"/>
      <c r="E128">
        <v>1</v>
      </c>
      <c r="F128" s="2">
        <v>249</v>
      </c>
    </row>
    <row r="129" spans="1:6" x14ac:dyDescent="0.4">
      <c r="C129" s="39" t="s">
        <v>409</v>
      </c>
      <c r="D129" s="10" t="s">
        <v>361</v>
      </c>
      <c r="E129">
        <v>1</v>
      </c>
      <c r="F129" s="2">
        <v>249</v>
      </c>
    </row>
    <row r="130" spans="1:6" x14ac:dyDescent="0.4">
      <c r="B130" s="10" t="s">
        <v>410</v>
      </c>
      <c r="C130" s="10" t="s">
        <v>316</v>
      </c>
      <c r="D130"/>
      <c r="E130">
        <v>1</v>
      </c>
      <c r="F130" s="2">
        <v>900</v>
      </c>
    </row>
    <row r="131" spans="1:6" x14ac:dyDescent="0.4">
      <c r="C131" s="11" t="s">
        <v>4</v>
      </c>
      <c r="D131"/>
      <c r="E131">
        <v>1</v>
      </c>
      <c r="F131" s="2">
        <v>900</v>
      </c>
    </row>
    <row r="132" spans="1:6" x14ac:dyDescent="0.4">
      <c r="C132" s="39" t="s">
        <v>386</v>
      </c>
      <c r="D132" s="10" t="s">
        <v>322</v>
      </c>
      <c r="E132">
        <v>1</v>
      </c>
      <c r="F132" s="2">
        <v>900</v>
      </c>
    </row>
    <row r="133" spans="1:6" x14ac:dyDescent="0.4">
      <c r="A133" s="10" t="s">
        <v>411</v>
      </c>
      <c r="B133" s="10" t="s">
        <v>412</v>
      </c>
      <c r="C133" s="10" t="s">
        <v>316</v>
      </c>
      <c r="D133"/>
      <c r="E133">
        <v>1</v>
      </c>
      <c r="F133" s="2">
        <v>23055.09</v>
      </c>
    </row>
    <row r="134" spans="1:6" x14ac:dyDescent="0.4">
      <c r="C134" s="11" t="s">
        <v>7</v>
      </c>
      <c r="D134"/>
      <c r="E134">
        <v>1</v>
      </c>
      <c r="F134" s="2">
        <v>23055.09</v>
      </c>
    </row>
    <row r="135" spans="1:6" x14ac:dyDescent="0.4">
      <c r="C135" s="39" t="s">
        <v>413</v>
      </c>
      <c r="D135" s="10" t="s">
        <v>414</v>
      </c>
      <c r="E135">
        <v>1</v>
      </c>
      <c r="F135" s="2">
        <v>23055.09</v>
      </c>
    </row>
    <row r="136" spans="1:6" x14ac:dyDescent="0.4">
      <c r="B136" s="10" t="s">
        <v>315</v>
      </c>
      <c r="C136" s="10" t="s">
        <v>316</v>
      </c>
      <c r="D136"/>
      <c r="E136">
        <v>1</v>
      </c>
      <c r="F136" s="2">
        <v>10600</v>
      </c>
    </row>
    <row r="137" spans="1:6" x14ac:dyDescent="0.4">
      <c r="C137" s="11" t="s">
        <v>6</v>
      </c>
      <c r="D137"/>
      <c r="E137">
        <v>1</v>
      </c>
      <c r="F137" s="2">
        <v>10600</v>
      </c>
    </row>
    <row r="138" spans="1:6" x14ac:dyDescent="0.4">
      <c r="C138" s="39" t="s">
        <v>415</v>
      </c>
      <c r="D138" s="10" t="s">
        <v>414</v>
      </c>
      <c r="E138">
        <v>1</v>
      </c>
      <c r="F138" s="2">
        <v>10600</v>
      </c>
    </row>
    <row r="139" spans="1:6" x14ac:dyDescent="0.4">
      <c r="B139" s="10" t="s">
        <v>416</v>
      </c>
      <c r="C139" s="10" t="s">
        <v>316</v>
      </c>
      <c r="D139"/>
      <c r="E139">
        <v>1</v>
      </c>
      <c r="F139" s="2">
        <v>4930</v>
      </c>
    </row>
    <row r="140" spans="1:6" x14ac:dyDescent="0.4">
      <c r="C140" s="11" t="s">
        <v>8</v>
      </c>
      <c r="D140"/>
      <c r="E140">
        <v>1</v>
      </c>
      <c r="F140" s="2">
        <v>4930</v>
      </c>
    </row>
    <row r="141" spans="1:6" x14ac:dyDescent="0.4">
      <c r="C141" s="39" t="s">
        <v>317</v>
      </c>
      <c r="D141" s="10" t="s">
        <v>414</v>
      </c>
      <c r="E141">
        <v>1</v>
      </c>
      <c r="F141" s="2">
        <v>4930</v>
      </c>
    </row>
    <row r="142" spans="1:6" x14ac:dyDescent="0.4">
      <c r="B142" s="10" t="s">
        <v>331</v>
      </c>
      <c r="C142" s="10" t="s">
        <v>316</v>
      </c>
      <c r="D142"/>
      <c r="E142">
        <v>1</v>
      </c>
      <c r="F142" s="2">
        <v>700</v>
      </c>
    </row>
    <row r="143" spans="1:6" x14ac:dyDescent="0.4">
      <c r="C143" s="11" t="s">
        <v>2</v>
      </c>
      <c r="D143"/>
      <c r="E143">
        <v>1</v>
      </c>
      <c r="F143" s="2">
        <v>700</v>
      </c>
    </row>
    <row r="144" spans="1:6" x14ac:dyDescent="0.4">
      <c r="C144" s="39" t="s">
        <v>334</v>
      </c>
      <c r="D144" s="10" t="s">
        <v>322</v>
      </c>
      <c r="E144">
        <v>1</v>
      </c>
      <c r="F144" s="2">
        <v>700</v>
      </c>
    </row>
    <row r="145" spans="1:6" x14ac:dyDescent="0.4">
      <c r="B145" s="10" t="s">
        <v>417</v>
      </c>
      <c r="C145" s="10" t="s">
        <v>316</v>
      </c>
      <c r="D145"/>
      <c r="E145">
        <v>1</v>
      </c>
      <c r="F145" s="2">
        <v>235.99</v>
      </c>
    </row>
    <row r="146" spans="1:6" x14ac:dyDescent="0.4">
      <c r="C146" s="11" t="s">
        <v>2</v>
      </c>
      <c r="D146"/>
      <c r="E146">
        <v>1</v>
      </c>
      <c r="F146" s="2">
        <v>235.99</v>
      </c>
    </row>
    <row r="147" spans="1:6" x14ac:dyDescent="0.4">
      <c r="C147" s="39" t="s">
        <v>418</v>
      </c>
      <c r="D147" s="10" t="s">
        <v>322</v>
      </c>
      <c r="E147">
        <v>1</v>
      </c>
      <c r="F147" s="2">
        <v>235.99</v>
      </c>
    </row>
    <row r="148" spans="1:6" x14ac:dyDescent="0.4">
      <c r="B148" s="10" t="s">
        <v>419</v>
      </c>
      <c r="C148" s="10" t="s">
        <v>316</v>
      </c>
      <c r="D148"/>
      <c r="E148">
        <v>1</v>
      </c>
      <c r="F148" s="2">
        <v>230.79</v>
      </c>
    </row>
    <row r="149" spans="1:6" x14ac:dyDescent="0.4">
      <c r="C149" s="11" t="s">
        <v>2</v>
      </c>
      <c r="D149"/>
      <c r="E149">
        <v>1</v>
      </c>
      <c r="F149" s="2">
        <v>230.79</v>
      </c>
    </row>
    <row r="150" spans="1:6" x14ac:dyDescent="0.4">
      <c r="C150" s="39" t="s">
        <v>420</v>
      </c>
      <c r="D150" s="10" t="s">
        <v>322</v>
      </c>
      <c r="E150">
        <v>1</v>
      </c>
      <c r="F150" s="2">
        <v>230.79</v>
      </c>
    </row>
    <row r="151" spans="1:6" x14ac:dyDescent="0.4">
      <c r="B151" s="10" t="s">
        <v>421</v>
      </c>
      <c r="C151" s="10" t="s">
        <v>316</v>
      </c>
      <c r="D151"/>
      <c r="E151">
        <v>1</v>
      </c>
      <c r="F151" s="2">
        <v>254.99</v>
      </c>
    </row>
    <row r="152" spans="1:6" x14ac:dyDescent="0.4">
      <c r="C152" s="11" t="s">
        <v>3</v>
      </c>
      <c r="D152"/>
      <c r="E152">
        <v>1</v>
      </c>
      <c r="F152" s="2">
        <v>254.99</v>
      </c>
    </row>
    <row r="153" spans="1:6" x14ac:dyDescent="0.4">
      <c r="C153" s="39" t="s">
        <v>343</v>
      </c>
      <c r="D153" s="10" t="s">
        <v>322</v>
      </c>
      <c r="E153">
        <v>1</v>
      </c>
      <c r="F153" s="2">
        <v>254.99</v>
      </c>
    </row>
    <row r="154" spans="1:6" x14ac:dyDescent="0.4">
      <c r="B154" s="10" t="s">
        <v>422</v>
      </c>
      <c r="C154" s="10" t="s">
        <v>316</v>
      </c>
      <c r="D154"/>
      <c r="E154">
        <v>1</v>
      </c>
      <c r="F154" s="2">
        <v>792.92</v>
      </c>
    </row>
    <row r="155" spans="1:6" x14ac:dyDescent="0.4">
      <c r="C155" s="11" t="s">
        <v>4</v>
      </c>
      <c r="D155"/>
      <c r="E155">
        <v>1</v>
      </c>
      <c r="F155" s="2">
        <v>792.92</v>
      </c>
    </row>
    <row r="156" spans="1:6" x14ac:dyDescent="0.4">
      <c r="C156" s="39" t="s">
        <v>423</v>
      </c>
      <c r="D156" s="10" t="s">
        <v>322</v>
      </c>
      <c r="E156">
        <v>1</v>
      </c>
      <c r="F156" s="2">
        <v>792.92</v>
      </c>
    </row>
    <row r="157" spans="1:6" x14ac:dyDescent="0.4">
      <c r="B157" s="10" t="s">
        <v>424</v>
      </c>
      <c r="C157" s="10" t="s">
        <v>316</v>
      </c>
      <c r="D157"/>
      <c r="E157">
        <v>1</v>
      </c>
      <c r="F157" s="2">
        <v>200</v>
      </c>
    </row>
    <row r="158" spans="1:6" x14ac:dyDescent="0.4">
      <c r="C158" s="11" t="s">
        <v>4</v>
      </c>
      <c r="D158"/>
      <c r="E158">
        <v>1</v>
      </c>
      <c r="F158" s="2">
        <v>200</v>
      </c>
    </row>
    <row r="159" spans="1:6" x14ac:dyDescent="0.4">
      <c r="C159" s="39" t="s">
        <v>425</v>
      </c>
      <c r="D159" s="10" t="s">
        <v>322</v>
      </c>
      <c r="E159">
        <v>1</v>
      </c>
      <c r="F159" s="2">
        <v>200</v>
      </c>
    </row>
    <row r="160" spans="1:6" x14ac:dyDescent="0.4">
      <c r="A160" s="10" t="s">
        <v>426</v>
      </c>
      <c r="B160" s="10" t="s">
        <v>427</v>
      </c>
      <c r="C160" s="10" t="s">
        <v>316</v>
      </c>
      <c r="D160"/>
      <c r="E160">
        <v>2</v>
      </c>
      <c r="F160" s="2">
        <v>447.98</v>
      </c>
    </row>
    <row r="161" spans="1:6" x14ac:dyDescent="0.4">
      <c r="C161" s="11" t="s">
        <v>3</v>
      </c>
      <c r="D161"/>
      <c r="E161">
        <v>2</v>
      </c>
      <c r="F161" s="2">
        <v>447.98</v>
      </c>
    </row>
    <row r="162" spans="1:6" x14ac:dyDescent="0.4">
      <c r="C162" s="39" t="s">
        <v>428</v>
      </c>
      <c r="D162" s="10" t="s">
        <v>322</v>
      </c>
      <c r="E162">
        <v>1</v>
      </c>
      <c r="F162" s="2">
        <v>223.99</v>
      </c>
    </row>
    <row r="163" spans="1:6" x14ac:dyDescent="0.4">
      <c r="C163" s="39" t="s">
        <v>429</v>
      </c>
      <c r="D163" s="10" t="s">
        <v>322</v>
      </c>
      <c r="E163">
        <v>1</v>
      </c>
      <c r="F163" s="2">
        <v>223.99</v>
      </c>
    </row>
    <row r="164" spans="1:6" x14ac:dyDescent="0.4">
      <c r="B164" s="10" t="s">
        <v>430</v>
      </c>
      <c r="C164" s="10" t="s">
        <v>316</v>
      </c>
      <c r="D164"/>
      <c r="E164">
        <v>1</v>
      </c>
      <c r="F164" s="2">
        <v>39.49</v>
      </c>
    </row>
    <row r="165" spans="1:6" x14ac:dyDescent="0.4">
      <c r="C165" s="11" t="s">
        <v>2</v>
      </c>
      <c r="D165"/>
      <c r="E165">
        <v>1</v>
      </c>
      <c r="F165" s="2">
        <v>39.49</v>
      </c>
    </row>
    <row r="166" spans="1:6" x14ac:dyDescent="0.4">
      <c r="C166" s="39" t="s">
        <v>418</v>
      </c>
      <c r="D166" s="10" t="s">
        <v>322</v>
      </c>
      <c r="E166">
        <v>1</v>
      </c>
      <c r="F166" s="2">
        <v>39.49</v>
      </c>
    </row>
    <row r="167" spans="1:6" x14ac:dyDescent="0.4">
      <c r="B167" s="10" t="s">
        <v>431</v>
      </c>
      <c r="C167" s="10" t="s">
        <v>316</v>
      </c>
      <c r="D167"/>
      <c r="E167">
        <v>1</v>
      </c>
      <c r="F167" s="2">
        <v>39.49</v>
      </c>
    </row>
    <row r="168" spans="1:6" x14ac:dyDescent="0.4">
      <c r="C168" s="11" t="s">
        <v>2</v>
      </c>
      <c r="D168"/>
      <c r="E168">
        <v>1</v>
      </c>
      <c r="F168" s="2">
        <v>39.49</v>
      </c>
    </row>
    <row r="169" spans="1:6" x14ac:dyDescent="0.4">
      <c r="C169" s="39" t="s">
        <v>334</v>
      </c>
      <c r="D169" s="10" t="s">
        <v>395</v>
      </c>
      <c r="E169">
        <v>1</v>
      </c>
      <c r="F169" s="2">
        <v>39.49</v>
      </c>
    </row>
    <row r="170" spans="1:6" x14ac:dyDescent="0.4">
      <c r="B170" s="10" t="s">
        <v>432</v>
      </c>
      <c r="C170" s="10" t="s">
        <v>316</v>
      </c>
      <c r="D170"/>
      <c r="E170">
        <v>1</v>
      </c>
      <c r="F170" s="2">
        <v>4765.22</v>
      </c>
    </row>
    <row r="171" spans="1:6" x14ac:dyDescent="0.4">
      <c r="C171" s="11" t="s">
        <v>5</v>
      </c>
      <c r="D171"/>
      <c r="E171">
        <v>1</v>
      </c>
      <c r="F171" s="2">
        <v>4765.22</v>
      </c>
    </row>
    <row r="172" spans="1:6" x14ac:dyDescent="0.4">
      <c r="C172" s="39" t="s">
        <v>359</v>
      </c>
      <c r="D172" s="10" t="s">
        <v>395</v>
      </c>
      <c r="E172">
        <v>1</v>
      </c>
      <c r="F172" s="2">
        <v>4765.22</v>
      </c>
    </row>
    <row r="173" spans="1:6" x14ac:dyDescent="0.4">
      <c r="A173" s="10" t="s">
        <v>433</v>
      </c>
      <c r="B173" s="10" t="s">
        <v>394</v>
      </c>
      <c r="C173" s="10" t="s">
        <v>316</v>
      </c>
      <c r="D173"/>
      <c r="E173">
        <v>2</v>
      </c>
      <c r="F173" s="2">
        <v>4485</v>
      </c>
    </row>
    <row r="174" spans="1:6" x14ac:dyDescent="0.4">
      <c r="C174" s="11" t="s">
        <v>4</v>
      </c>
      <c r="D174"/>
      <c r="E174">
        <v>1</v>
      </c>
      <c r="F174" s="2">
        <v>2265</v>
      </c>
    </row>
    <row r="175" spans="1:6" x14ac:dyDescent="0.4">
      <c r="C175" s="39" t="s">
        <v>386</v>
      </c>
      <c r="D175" s="10" t="s">
        <v>395</v>
      </c>
      <c r="E175">
        <v>1</v>
      </c>
      <c r="F175" s="2">
        <v>2265</v>
      </c>
    </row>
    <row r="176" spans="1:6" x14ac:dyDescent="0.4">
      <c r="C176" s="11" t="s">
        <v>7</v>
      </c>
      <c r="D176"/>
      <c r="E176">
        <v>1</v>
      </c>
      <c r="F176" s="2">
        <v>2220</v>
      </c>
    </row>
    <row r="177" spans="1:6" x14ac:dyDescent="0.4">
      <c r="C177" s="39" t="s">
        <v>413</v>
      </c>
      <c r="D177" s="10" t="s">
        <v>395</v>
      </c>
      <c r="E177">
        <v>1</v>
      </c>
      <c r="F177" s="2">
        <v>2220</v>
      </c>
    </row>
    <row r="178" spans="1:6" x14ac:dyDescent="0.4">
      <c r="B178" s="10" t="s">
        <v>434</v>
      </c>
      <c r="C178" s="10" t="s">
        <v>316</v>
      </c>
      <c r="D178"/>
      <c r="E178">
        <v>1</v>
      </c>
      <c r="F178" s="2">
        <v>250</v>
      </c>
    </row>
    <row r="179" spans="1:6" x14ac:dyDescent="0.4">
      <c r="C179" s="11" t="s">
        <v>12</v>
      </c>
      <c r="D179"/>
      <c r="E179">
        <v>1</v>
      </c>
      <c r="F179" s="2">
        <v>250</v>
      </c>
    </row>
    <row r="180" spans="1:6" x14ac:dyDescent="0.4">
      <c r="C180" s="39" t="s">
        <v>398</v>
      </c>
      <c r="D180" s="10" t="s">
        <v>361</v>
      </c>
      <c r="E180">
        <v>1</v>
      </c>
      <c r="F180" s="2">
        <v>250</v>
      </c>
    </row>
    <row r="181" spans="1:6" x14ac:dyDescent="0.4">
      <c r="B181" s="10" t="s">
        <v>435</v>
      </c>
      <c r="C181" s="10" t="s">
        <v>316</v>
      </c>
      <c r="D181"/>
      <c r="E181">
        <v>1</v>
      </c>
      <c r="F181" s="2">
        <v>7000</v>
      </c>
    </row>
    <row r="182" spans="1:6" x14ac:dyDescent="0.4">
      <c r="C182" s="11" t="s">
        <v>12</v>
      </c>
      <c r="D182"/>
      <c r="E182">
        <v>1</v>
      </c>
      <c r="F182" s="2">
        <v>7000</v>
      </c>
    </row>
    <row r="183" spans="1:6" x14ac:dyDescent="0.4">
      <c r="C183" s="39" t="s">
        <v>398</v>
      </c>
      <c r="D183" s="10" t="s">
        <v>361</v>
      </c>
      <c r="E183">
        <v>1</v>
      </c>
      <c r="F183" s="2">
        <v>7000</v>
      </c>
    </row>
    <row r="184" spans="1:6" x14ac:dyDescent="0.4">
      <c r="A184" s="10" t="s">
        <v>436</v>
      </c>
      <c r="B184" s="10" t="s">
        <v>437</v>
      </c>
      <c r="C184" s="10" t="s">
        <v>316</v>
      </c>
      <c r="D184"/>
      <c r="E184">
        <v>1</v>
      </c>
      <c r="F184" s="2">
        <v>312</v>
      </c>
    </row>
    <row r="185" spans="1:6" x14ac:dyDescent="0.4">
      <c r="C185" s="11" t="s">
        <v>3</v>
      </c>
      <c r="D185"/>
      <c r="E185">
        <v>1</v>
      </c>
      <c r="F185" s="2">
        <v>312</v>
      </c>
    </row>
    <row r="186" spans="1:6" x14ac:dyDescent="0.4">
      <c r="C186" s="39" t="s">
        <v>428</v>
      </c>
      <c r="D186" s="10" t="s">
        <v>322</v>
      </c>
      <c r="E186">
        <v>1</v>
      </c>
      <c r="F186" s="2">
        <v>312</v>
      </c>
    </row>
    <row r="187" spans="1:6" x14ac:dyDescent="0.4">
      <c r="A187" s="10" t="s">
        <v>438</v>
      </c>
      <c r="B187" s="10" t="s">
        <v>439</v>
      </c>
      <c r="C187" s="10" t="s">
        <v>316</v>
      </c>
      <c r="D187"/>
      <c r="E187">
        <v>1</v>
      </c>
      <c r="F187" s="2">
        <v>2800</v>
      </c>
    </row>
    <row r="188" spans="1:6" x14ac:dyDescent="0.4">
      <c r="C188" s="11" t="s">
        <v>7</v>
      </c>
      <c r="D188"/>
      <c r="E188">
        <v>1</v>
      </c>
      <c r="F188" s="2">
        <v>2800</v>
      </c>
    </row>
    <row r="189" spans="1:6" x14ac:dyDescent="0.4">
      <c r="C189" s="39" t="s">
        <v>440</v>
      </c>
      <c r="D189" s="10" t="s">
        <v>361</v>
      </c>
      <c r="E189">
        <v>1</v>
      </c>
      <c r="F189" s="2">
        <v>2800</v>
      </c>
    </row>
    <row r="190" spans="1:6" x14ac:dyDescent="0.4">
      <c r="B190" s="10" t="s">
        <v>441</v>
      </c>
      <c r="C190" s="10" t="s">
        <v>316</v>
      </c>
      <c r="D190"/>
      <c r="E190">
        <v>1</v>
      </c>
      <c r="F190" s="2">
        <v>2690</v>
      </c>
    </row>
    <row r="191" spans="1:6" x14ac:dyDescent="0.4">
      <c r="C191" s="11" t="s">
        <v>7</v>
      </c>
      <c r="D191"/>
      <c r="E191">
        <v>1</v>
      </c>
      <c r="F191" s="2">
        <v>2690</v>
      </c>
    </row>
    <row r="192" spans="1:6" x14ac:dyDescent="0.4">
      <c r="C192" s="39" t="s">
        <v>440</v>
      </c>
      <c r="D192" s="10" t="s">
        <v>395</v>
      </c>
      <c r="E192">
        <v>1</v>
      </c>
      <c r="F192" s="2">
        <v>2690</v>
      </c>
    </row>
    <row r="193" spans="2:6" x14ac:dyDescent="0.4">
      <c r="B193" s="10" t="s">
        <v>442</v>
      </c>
      <c r="C193" s="10" t="s">
        <v>316</v>
      </c>
      <c r="D193"/>
      <c r="E193">
        <v>1</v>
      </c>
      <c r="F193" s="2">
        <v>0</v>
      </c>
    </row>
    <row r="194" spans="2:6" x14ac:dyDescent="0.4">
      <c r="C194" s="11" t="s">
        <v>5</v>
      </c>
      <c r="D194"/>
      <c r="E194">
        <v>1</v>
      </c>
      <c r="F194" s="2">
        <v>0</v>
      </c>
    </row>
    <row r="195" spans="2:6" x14ac:dyDescent="0.4">
      <c r="C195" s="39" t="s">
        <v>359</v>
      </c>
      <c r="D195" s="10" t="s">
        <v>329</v>
      </c>
      <c r="E195">
        <v>1</v>
      </c>
      <c r="F195" s="2">
        <v>0</v>
      </c>
    </row>
    <row r="196" spans="2:6" x14ac:dyDescent="0.4">
      <c r="B196" s="10" t="s">
        <v>443</v>
      </c>
      <c r="C196" s="10" t="s">
        <v>316</v>
      </c>
      <c r="D196"/>
      <c r="E196">
        <v>1</v>
      </c>
      <c r="F196" s="2">
        <v>3000</v>
      </c>
    </row>
    <row r="197" spans="2:6" x14ac:dyDescent="0.4">
      <c r="C197" s="11" t="s">
        <v>3</v>
      </c>
      <c r="D197"/>
      <c r="E197">
        <v>1</v>
      </c>
      <c r="F197" s="2">
        <v>3000</v>
      </c>
    </row>
    <row r="198" spans="2:6" x14ac:dyDescent="0.4">
      <c r="C198" s="39" t="s">
        <v>343</v>
      </c>
      <c r="D198" s="10" t="s">
        <v>322</v>
      </c>
      <c r="E198">
        <v>1</v>
      </c>
      <c r="F198" s="2">
        <v>3000</v>
      </c>
    </row>
    <row r="199" spans="2:6" x14ac:dyDescent="0.4">
      <c r="B199" s="10" t="s">
        <v>444</v>
      </c>
      <c r="C199" s="10" t="s">
        <v>316</v>
      </c>
      <c r="D199"/>
      <c r="E199">
        <v>1</v>
      </c>
      <c r="F199" s="2">
        <v>175</v>
      </c>
    </row>
    <row r="200" spans="2:6" x14ac:dyDescent="0.4">
      <c r="C200" s="11" t="s">
        <v>5</v>
      </c>
      <c r="D200"/>
      <c r="E200">
        <v>1</v>
      </c>
      <c r="F200" s="2">
        <v>175</v>
      </c>
    </row>
    <row r="201" spans="2:6" x14ac:dyDescent="0.4">
      <c r="C201" s="39" t="s">
        <v>359</v>
      </c>
      <c r="D201" s="10" t="s">
        <v>322</v>
      </c>
      <c r="E201">
        <v>1</v>
      </c>
      <c r="F201" s="2">
        <v>175</v>
      </c>
    </row>
    <row r="202" spans="2:6" x14ac:dyDescent="0.4">
      <c r="B202" s="10" t="s">
        <v>445</v>
      </c>
      <c r="C202" s="10" t="s">
        <v>316</v>
      </c>
      <c r="D202"/>
      <c r="E202">
        <v>1</v>
      </c>
      <c r="F202" s="2">
        <v>4450.41</v>
      </c>
    </row>
    <row r="203" spans="2:6" x14ac:dyDescent="0.4">
      <c r="C203" s="11" t="s">
        <v>5</v>
      </c>
      <c r="D203"/>
      <c r="E203">
        <v>1</v>
      </c>
      <c r="F203" s="2">
        <v>4450.41</v>
      </c>
    </row>
    <row r="204" spans="2:6" x14ac:dyDescent="0.4">
      <c r="C204" s="39" t="s">
        <v>359</v>
      </c>
      <c r="D204" s="10" t="s">
        <v>361</v>
      </c>
      <c r="E204">
        <v>1</v>
      </c>
      <c r="F204" s="2">
        <v>4450.41</v>
      </c>
    </row>
    <row r="205" spans="2:6" x14ac:dyDescent="0.4">
      <c r="B205" s="10" t="s">
        <v>446</v>
      </c>
      <c r="C205" s="10" t="s">
        <v>316</v>
      </c>
      <c r="D205"/>
      <c r="E205">
        <v>1</v>
      </c>
      <c r="F205" s="2">
        <v>5000</v>
      </c>
    </row>
    <row r="206" spans="2:6" x14ac:dyDescent="0.4">
      <c r="C206" s="11" t="s">
        <v>5</v>
      </c>
      <c r="D206"/>
      <c r="E206">
        <v>1</v>
      </c>
      <c r="F206" s="2">
        <v>5000</v>
      </c>
    </row>
    <row r="207" spans="2:6" x14ac:dyDescent="0.4">
      <c r="C207" s="39" t="s">
        <v>359</v>
      </c>
      <c r="D207" s="10" t="s">
        <v>361</v>
      </c>
      <c r="E207">
        <v>1</v>
      </c>
      <c r="F207" s="2">
        <v>5000</v>
      </c>
    </row>
    <row r="208" spans="2:6" x14ac:dyDescent="0.4">
      <c r="B208" s="10" t="s">
        <v>447</v>
      </c>
      <c r="C208" s="10" t="s">
        <v>316</v>
      </c>
      <c r="D208"/>
      <c r="E208">
        <v>1</v>
      </c>
      <c r="F208" s="2">
        <v>3654.88</v>
      </c>
    </row>
    <row r="209" spans="1:6" x14ac:dyDescent="0.4">
      <c r="C209" s="11" t="s">
        <v>5</v>
      </c>
      <c r="D209"/>
      <c r="E209">
        <v>1</v>
      </c>
      <c r="F209" s="2">
        <v>3654.88</v>
      </c>
    </row>
    <row r="210" spans="1:6" x14ac:dyDescent="0.4">
      <c r="C210" s="39" t="s">
        <v>359</v>
      </c>
      <c r="D210" s="10" t="s">
        <v>361</v>
      </c>
      <c r="E210">
        <v>1</v>
      </c>
      <c r="F210" s="2">
        <v>3654.88</v>
      </c>
    </row>
    <row r="211" spans="1:6" x14ac:dyDescent="0.4">
      <c r="B211" s="10" t="s">
        <v>448</v>
      </c>
      <c r="C211" s="10" t="s">
        <v>316</v>
      </c>
      <c r="D211"/>
      <c r="E211">
        <v>1</v>
      </c>
      <c r="F211" s="2">
        <v>0</v>
      </c>
    </row>
    <row r="212" spans="1:6" x14ac:dyDescent="0.4">
      <c r="C212" s="11" t="s">
        <v>6</v>
      </c>
      <c r="D212"/>
      <c r="E212">
        <v>1</v>
      </c>
      <c r="F212" s="2">
        <v>0</v>
      </c>
    </row>
    <row r="213" spans="1:6" x14ac:dyDescent="0.4">
      <c r="C213" s="39" t="s">
        <v>415</v>
      </c>
      <c r="D213" s="10" t="s">
        <v>318</v>
      </c>
      <c r="E213">
        <v>1</v>
      </c>
      <c r="F213" s="2">
        <v>0</v>
      </c>
    </row>
    <row r="214" spans="1:6" x14ac:dyDescent="0.4">
      <c r="B214" s="10" t="s">
        <v>449</v>
      </c>
      <c r="C214" s="10" t="s">
        <v>316</v>
      </c>
      <c r="D214"/>
      <c r="E214">
        <v>1</v>
      </c>
      <c r="F214" s="2">
        <v>1920</v>
      </c>
    </row>
    <row r="215" spans="1:6" x14ac:dyDescent="0.4">
      <c r="C215" s="11" t="s">
        <v>5</v>
      </c>
      <c r="D215"/>
      <c r="E215">
        <v>1</v>
      </c>
      <c r="F215" s="2">
        <v>1920</v>
      </c>
    </row>
    <row r="216" spans="1:6" x14ac:dyDescent="0.4">
      <c r="C216" s="39" t="s">
        <v>359</v>
      </c>
      <c r="D216" s="10" t="s">
        <v>395</v>
      </c>
      <c r="E216">
        <v>1</v>
      </c>
      <c r="F216" s="2">
        <v>1920</v>
      </c>
    </row>
    <row r="217" spans="1:6" x14ac:dyDescent="0.4">
      <c r="B217" s="10" t="s">
        <v>450</v>
      </c>
      <c r="C217" s="10" t="s">
        <v>316</v>
      </c>
      <c r="D217"/>
      <c r="E217">
        <v>1</v>
      </c>
      <c r="F217" s="2">
        <v>200</v>
      </c>
    </row>
    <row r="218" spans="1:6" x14ac:dyDescent="0.4">
      <c r="C218" s="11" t="s">
        <v>4</v>
      </c>
      <c r="D218"/>
      <c r="E218">
        <v>1</v>
      </c>
      <c r="F218" s="2">
        <v>200</v>
      </c>
    </row>
    <row r="219" spans="1:6" x14ac:dyDescent="0.4">
      <c r="C219" s="39" t="s">
        <v>371</v>
      </c>
      <c r="D219" s="10" t="s">
        <v>322</v>
      </c>
      <c r="E219">
        <v>1</v>
      </c>
      <c r="F219" s="2">
        <v>200</v>
      </c>
    </row>
    <row r="220" spans="1:6" x14ac:dyDescent="0.4">
      <c r="A220" s="10" t="s">
        <v>251</v>
      </c>
      <c r="B220" s="10" t="s">
        <v>368</v>
      </c>
      <c r="C220" s="10" t="s">
        <v>316</v>
      </c>
      <c r="D220"/>
      <c r="E220">
        <v>1</v>
      </c>
      <c r="F220" s="2">
        <v>25000</v>
      </c>
    </row>
    <row r="221" spans="1:6" x14ac:dyDescent="0.4">
      <c r="C221" s="11" t="s">
        <v>6</v>
      </c>
      <c r="D221"/>
      <c r="E221">
        <v>1</v>
      </c>
      <c r="F221" s="2">
        <v>25000</v>
      </c>
    </row>
    <row r="222" spans="1:6" x14ac:dyDescent="0.4">
      <c r="C222" s="39" t="s">
        <v>451</v>
      </c>
      <c r="D222" s="10" t="s">
        <v>414</v>
      </c>
      <c r="E222">
        <v>1</v>
      </c>
      <c r="F222" s="2">
        <v>25000</v>
      </c>
    </row>
    <row r="223" spans="1:6" x14ac:dyDescent="0.4">
      <c r="B223" s="10" t="s">
        <v>437</v>
      </c>
      <c r="C223" s="10" t="s">
        <v>316</v>
      </c>
      <c r="D223"/>
      <c r="E223">
        <v>1</v>
      </c>
      <c r="F223" s="2">
        <v>160.44</v>
      </c>
    </row>
    <row r="224" spans="1:6" x14ac:dyDescent="0.4">
      <c r="C224" s="11" t="s">
        <v>6</v>
      </c>
      <c r="D224"/>
      <c r="E224">
        <v>1</v>
      </c>
      <c r="F224" s="2">
        <v>160.44</v>
      </c>
    </row>
    <row r="225" spans="2:6" x14ac:dyDescent="0.4">
      <c r="C225" s="39" t="s">
        <v>452</v>
      </c>
      <c r="D225" s="10" t="s">
        <v>318</v>
      </c>
      <c r="E225">
        <v>1</v>
      </c>
      <c r="F225" s="2">
        <v>160.44</v>
      </c>
    </row>
    <row r="226" spans="2:6" x14ac:dyDescent="0.4">
      <c r="B226" s="10" t="s">
        <v>453</v>
      </c>
      <c r="C226" s="10" t="s">
        <v>316</v>
      </c>
      <c r="D226"/>
      <c r="E226">
        <v>1</v>
      </c>
      <c r="F226" s="2">
        <v>1056.27</v>
      </c>
    </row>
    <row r="227" spans="2:6" x14ac:dyDescent="0.4">
      <c r="C227" s="11" t="s">
        <v>1</v>
      </c>
      <c r="D227"/>
      <c r="E227">
        <v>1</v>
      </c>
      <c r="F227" s="2">
        <v>1056.27</v>
      </c>
    </row>
    <row r="228" spans="2:6" x14ac:dyDescent="0.4">
      <c r="C228" s="39" t="s">
        <v>454</v>
      </c>
      <c r="D228" s="10" t="s">
        <v>322</v>
      </c>
      <c r="E228">
        <v>1</v>
      </c>
      <c r="F228" s="2">
        <v>1056.27</v>
      </c>
    </row>
    <row r="229" spans="2:6" x14ac:dyDescent="0.4">
      <c r="B229" s="10" t="s">
        <v>455</v>
      </c>
      <c r="C229" s="10" t="s">
        <v>316</v>
      </c>
      <c r="D229"/>
      <c r="E229">
        <v>1</v>
      </c>
      <c r="F229" s="2">
        <v>250</v>
      </c>
    </row>
    <row r="230" spans="2:6" x14ac:dyDescent="0.4">
      <c r="C230" s="11" t="s">
        <v>1</v>
      </c>
      <c r="D230"/>
      <c r="E230">
        <v>1</v>
      </c>
      <c r="F230" s="2">
        <v>250</v>
      </c>
    </row>
    <row r="231" spans="2:6" x14ac:dyDescent="0.4">
      <c r="C231" s="39" t="s">
        <v>456</v>
      </c>
      <c r="D231" s="10" t="s">
        <v>322</v>
      </c>
      <c r="E231">
        <v>1</v>
      </c>
      <c r="F231" s="2">
        <v>250</v>
      </c>
    </row>
    <row r="232" spans="2:6" x14ac:dyDescent="0.4">
      <c r="B232" s="10" t="s">
        <v>457</v>
      </c>
      <c r="C232" s="10" t="s">
        <v>316</v>
      </c>
      <c r="D232"/>
      <c r="E232">
        <v>1</v>
      </c>
      <c r="F232" s="2">
        <v>2730</v>
      </c>
    </row>
    <row r="233" spans="2:6" x14ac:dyDescent="0.4">
      <c r="C233" s="11" t="s">
        <v>1</v>
      </c>
      <c r="D233"/>
      <c r="E233">
        <v>1</v>
      </c>
      <c r="F233" s="2">
        <v>2730</v>
      </c>
    </row>
    <row r="234" spans="2:6" x14ac:dyDescent="0.4">
      <c r="C234" s="39" t="s">
        <v>378</v>
      </c>
      <c r="D234" s="10" t="s">
        <v>322</v>
      </c>
      <c r="E234">
        <v>1</v>
      </c>
      <c r="F234" s="2">
        <v>2730</v>
      </c>
    </row>
    <row r="235" spans="2:6" x14ac:dyDescent="0.4">
      <c r="B235" s="10" t="s">
        <v>458</v>
      </c>
      <c r="C235" s="10" t="s">
        <v>316</v>
      </c>
      <c r="D235"/>
      <c r="E235">
        <v>1</v>
      </c>
      <c r="F235" s="2">
        <v>1538.19</v>
      </c>
    </row>
    <row r="236" spans="2:6" x14ac:dyDescent="0.4">
      <c r="C236" s="11" t="s">
        <v>1</v>
      </c>
      <c r="D236"/>
      <c r="E236">
        <v>1</v>
      </c>
      <c r="F236" s="2">
        <v>1538.19</v>
      </c>
    </row>
    <row r="237" spans="2:6" x14ac:dyDescent="0.4">
      <c r="C237" s="39" t="s">
        <v>378</v>
      </c>
      <c r="D237" s="10" t="s">
        <v>322</v>
      </c>
      <c r="E237">
        <v>1</v>
      </c>
      <c r="F237" s="2">
        <v>1538.19</v>
      </c>
    </row>
    <row r="238" spans="2:6" x14ac:dyDescent="0.4">
      <c r="B238" s="10" t="s">
        <v>459</v>
      </c>
      <c r="C238" s="10" t="s">
        <v>316</v>
      </c>
      <c r="D238"/>
      <c r="E238">
        <v>1</v>
      </c>
      <c r="F238" s="2">
        <v>79.959999999999994</v>
      </c>
    </row>
    <row r="239" spans="2:6" x14ac:dyDescent="0.4">
      <c r="C239" s="11" t="s">
        <v>1</v>
      </c>
      <c r="D239"/>
      <c r="E239">
        <v>1</v>
      </c>
      <c r="F239" s="2">
        <v>79.959999999999994</v>
      </c>
    </row>
    <row r="240" spans="2:6" x14ac:dyDescent="0.4">
      <c r="C240" s="39" t="s">
        <v>460</v>
      </c>
      <c r="D240" s="10" t="s">
        <v>322</v>
      </c>
      <c r="E240">
        <v>1</v>
      </c>
      <c r="F240" s="2">
        <v>79.959999999999994</v>
      </c>
    </row>
    <row r="241" spans="2:6" x14ac:dyDescent="0.4">
      <c r="B241" s="10" t="s">
        <v>461</v>
      </c>
      <c r="C241" s="10" t="s">
        <v>316</v>
      </c>
      <c r="D241"/>
      <c r="E241">
        <v>1</v>
      </c>
      <c r="F241" s="2">
        <v>1047</v>
      </c>
    </row>
    <row r="242" spans="2:6" x14ac:dyDescent="0.4">
      <c r="C242" s="11" t="s">
        <v>1</v>
      </c>
      <c r="D242"/>
      <c r="E242">
        <v>1</v>
      </c>
      <c r="F242" s="2">
        <v>1047</v>
      </c>
    </row>
    <row r="243" spans="2:6" x14ac:dyDescent="0.4">
      <c r="C243" s="39" t="s">
        <v>460</v>
      </c>
      <c r="D243" s="10" t="s">
        <v>322</v>
      </c>
      <c r="E243">
        <v>1</v>
      </c>
      <c r="F243" s="2">
        <v>1047</v>
      </c>
    </row>
    <row r="244" spans="2:6" x14ac:dyDescent="0.4">
      <c r="B244" s="10" t="s">
        <v>430</v>
      </c>
      <c r="C244" s="10" t="s">
        <v>316</v>
      </c>
      <c r="D244"/>
      <c r="E244">
        <v>1</v>
      </c>
      <c r="F244" s="2">
        <v>170.7</v>
      </c>
    </row>
    <row r="245" spans="2:6" x14ac:dyDescent="0.4">
      <c r="C245" s="11" t="s">
        <v>1</v>
      </c>
      <c r="D245"/>
      <c r="E245">
        <v>1</v>
      </c>
      <c r="F245" s="2">
        <v>170.7</v>
      </c>
    </row>
    <row r="246" spans="2:6" x14ac:dyDescent="0.4">
      <c r="C246" s="39" t="s">
        <v>462</v>
      </c>
      <c r="D246" s="10" t="s">
        <v>322</v>
      </c>
      <c r="E246">
        <v>1</v>
      </c>
      <c r="F246" s="2">
        <v>170.7</v>
      </c>
    </row>
    <row r="247" spans="2:6" x14ac:dyDescent="0.4">
      <c r="B247" s="10" t="s">
        <v>463</v>
      </c>
      <c r="C247" s="10" t="s">
        <v>316</v>
      </c>
      <c r="D247"/>
      <c r="E247">
        <v>2</v>
      </c>
      <c r="F247" s="2">
        <v>571.14</v>
      </c>
    </row>
    <row r="248" spans="2:6" x14ac:dyDescent="0.4">
      <c r="C248" s="11" t="s">
        <v>1</v>
      </c>
      <c r="D248"/>
      <c r="E248">
        <v>1</v>
      </c>
      <c r="F248" s="2">
        <v>193.2</v>
      </c>
    </row>
    <row r="249" spans="2:6" x14ac:dyDescent="0.4">
      <c r="C249" s="39" t="s">
        <v>464</v>
      </c>
      <c r="D249" s="10" t="s">
        <v>322</v>
      </c>
      <c r="E249">
        <v>1</v>
      </c>
      <c r="F249" s="2">
        <v>193.2</v>
      </c>
    </row>
    <row r="250" spans="2:6" x14ac:dyDescent="0.4">
      <c r="C250" s="11" t="s">
        <v>2</v>
      </c>
      <c r="D250"/>
      <c r="E250">
        <v>1</v>
      </c>
      <c r="F250" s="2">
        <v>377.94</v>
      </c>
    </row>
    <row r="251" spans="2:6" x14ac:dyDescent="0.4">
      <c r="C251" s="39" t="s">
        <v>465</v>
      </c>
      <c r="D251" s="10" t="s">
        <v>322</v>
      </c>
      <c r="E251">
        <v>1</v>
      </c>
      <c r="F251" s="2">
        <v>377.94</v>
      </c>
    </row>
    <row r="252" spans="2:6" x14ac:dyDescent="0.4">
      <c r="B252" s="10" t="s">
        <v>466</v>
      </c>
      <c r="C252" s="10" t="s">
        <v>316</v>
      </c>
      <c r="D252"/>
      <c r="E252">
        <v>1</v>
      </c>
      <c r="F252" s="2">
        <v>7200</v>
      </c>
    </row>
    <row r="253" spans="2:6" x14ac:dyDescent="0.4">
      <c r="C253" s="11" t="s">
        <v>1</v>
      </c>
      <c r="D253"/>
      <c r="E253">
        <v>1</v>
      </c>
      <c r="F253" s="2">
        <v>7200</v>
      </c>
    </row>
    <row r="254" spans="2:6" x14ac:dyDescent="0.4">
      <c r="C254" s="39" t="s">
        <v>373</v>
      </c>
      <c r="D254" s="10" t="s">
        <v>322</v>
      </c>
      <c r="E254">
        <v>1</v>
      </c>
      <c r="F254" s="2">
        <v>7200</v>
      </c>
    </row>
    <row r="255" spans="2:6" x14ac:dyDescent="0.4">
      <c r="B255" s="10" t="s">
        <v>467</v>
      </c>
      <c r="C255" s="10" t="s">
        <v>316</v>
      </c>
      <c r="D255"/>
      <c r="E255">
        <v>1</v>
      </c>
      <c r="F255" s="2">
        <v>490</v>
      </c>
    </row>
    <row r="256" spans="2:6" x14ac:dyDescent="0.4">
      <c r="C256" s="11" t="s">
        <v>1</v>
      </c>
      <c r="D256"/>
      <c r="E256">
        <v>1</v>
      </c>
      <c r="F256" s="2">
        <v>490</v>
      </c>
    </row>
    <row r="257" spans="2:6" x14ac:dyDescent="0.4">
      <c r="C257" s="39" t="s">
        <v>468</v>
      </c>
      <c r="D257" s="10" t="s">
        <v>322</v>
      </c>
      <c r="E257">
        <v>1</v>
      </c>
      <c r="F257" s="2">
        <v>490</v>
      </c>
    </row>
    <row r="258" spans="2:6" x14ac:dyDescent="0.4">
      <c r="B258" s="10" t="s">
        <v>469</v>
      </c>
      <c r="C258" s="10" t="s">
        <v>316</v>
      </c>
      <c r="D258"/>
      <c r="E258">
        <v>1</v>
      </c>
      <c r="F258" s="2">
        <v>1583.56</v>
      </c>
    </row>
    <row r="259" spans="2:6" x14ac:dyDescent="0.4">
      <c r="C259" s="11" t="s">
        <v>1</v>
      </c>
      <c r="D259"/>
      <c r="E259">
        <v>1</v>
      </c>
      <c r="F259" s="2">
        <v>1583.56</v>
      </c>
    </row>
    <row r="260" spans="2:6" x14ac:dyDescent="0.4">
      <c r="C260" s="39" t="s">
        <v>468</v>
      </c>
      <c r="D260" s="10" t="s">
        <v>322</v>
      </c>
      <c r="E260">
        <v>1</v>
      </c>
      <c r="F260" s="2">
        <v>1583.56</v>
      </c>
    </row>
    <row r="261" spans="2:6" x14ac:dyDescent="0.4">
      <c r="B261" s="10" t="s">
        <v>470</v>
      </c>
      <c r="C261" s="10" t="s">
        <v>316</v>
      </c>
      <c r="D261"/>
      <c r="E261">
        <v>1</v>
      </c>
      <c r="F261" s="2">
        <v>770</v>
      </c>
    </row>
    <row r="262" spans="2:6" x14ac:dyDescent="0.4">
      <c r="C262" s="11" t="s">
        <v>1</v>
      </c>
      <c r="D262"/>
      <c r="E262">
        <v>1</v>
      </c>
      <c r="F262" s="2">
        <v>770</v>
      </c>
    </row>
    <row r="263" spans="2:6" x14ac:dyDescent="0.4">
      <c r="C263" s="39" t="s">
        <v>468</v>
      </c>
      <c r="D263" s="10" t="s">
        <v>322</v>
      </c>
      <c r="E263">
        <v>1</v>
      </c>
      <c r="F263" s="2">
        <v>770</v>
      </c>
    </row>
    <row r="264" spans="2:6" x14ac:dyDescent="0.4">
      <c r="B264" s="10" t="s">
        <v>471</v>
      </c>
      <c r="C264" s="10" t="s">
        <v>316</v>
      </c>
      <c r="D264"/>
      <c r="E264">
        <v>1</v>
      </c>
      <c r="F264" s="2">
        <v>3766.66</v>
      </c>
    </row>
    <row r="265" spans="2:6" x14ac:dyDescent="0.4">
      <c r="C265" s="11" t="s">
        <v>1</v>
      </c>
      <c r="D265"/>
      <c r="E265">
        <v>1</v>
      </c>
      <c r="F265" s="2">
        <v>3766.66</v>
      </c>
    </row>
    <row r="266" spans="2:6" x14ac:dyDescent="0.4">
      <c r="C266" s="39" t="s">
        <v>468</v>
      </c>
      <c r="D266" s="10" t="s">
        <v>322</v>
      </c>
      <c r="E266">
        <v>1</v>
      </c>
      <c r="F266" s="2">
        <v>3766.66</v>
      </c>
    </row>
    <row r="267" spans="2:6" x14ac:dyDescent="0.4">
      <c r="B267" s="10" t="s">
        <v>472</v>
      </c>
      <c r="C267" s="10" t="s">
        <v>316</v>
      </c>
      <c r="D267"/>
      <c r="E267">
        <v>1</v>
      </c>
      <c r="F267" s="2">
        <v>8520</v>
      </c>
    </row>
    <row r="268" spans="2:6" x14ac:dyDescent="0.4">
      <c r="C268" s="11" t="s">
        <v>4</v>
      </c>
      <c r="D268"/>
      <c r="E268">
        <v>1</v>
      </c>
      <c r="F268" s="2">
        <v>8520</v>
      </c>
    </row>
    <row r="269" spans="2:6" x14ac:dyDescent="0.4">
      <c r="C269" s="39" t="s">
        <v>386</v>
      </c>
      <c r="D269" s="10" t="s">
        <v>322</v>
      </c>
      <c r="E269">
        <v>1</v>
      </c>
      <c r="F269" s="2">
        <v>8520</v>
      </c>
    </row>
    <row r="270" spans="2:6" x14ac:dyDescent="0.4">
      <c r="B270" s="10" t="s">
        <v>473</v>
      </c>
      <c r="C270" s="10" t="s">
        <v>316</v>
      </c>
      <c r="D270"/>
      <c r="E270">
        <v>1</v>
      </c>
      <c r="F270" s="2">
        <v>500</v>
      </c>
    </row>
    <row r="271" spans="2:6" x14ac:dyDescent="0.4">
      <c r="C271" s="11" t="s">
        <v>1</v>
      </c>
      <c r="D271"/>
      <c r="E271">
        <v>1</v>
      </c>
      <c r="F271" s="2">
        <v>500</v>
      </c>
    </row>
    <row r="272" spans="2:6" x14ac:dyDescent="0.4">
      <c r="C272" s="39" t="s">
        <v>468</v>
      </c>
      <c r="D272" s="10" t="s">
        <v>322</v>
      </c>
      <c r="E272">
        <v>1</v>
      </c>
      <c r="F272" s="2">
        <v>500</v>
      </c>
    </row>
    <row r="273" spans="2:6" x14ac:dyDescent="0.4">
      <c r="B273" s="10" t="s">
        <v>474</v>
      </c>
      <c r="C273" s="10" t="s">
        <v>316</v>
      </c>
      <c r="D273"/>
      <c r="E273">
        <v>1</v>
      </c>
      <c r="F273" s="2">
        <v>2295.7800000000002</v>
      </c>
    </row>
    <row r="274" spans="2:6" x14ac:dyDescent="0.4">
      <c r="C274" s="11" t="s">
        <v>1</v>
      </c>
      <c r="D274"/>
      <c r="E274">
        <v>1</v>
      </c>
      <c r="F274" s="2">
        <v>2295.7800000000002</v>
      </c>
    </row>
    <row r="275" spans="2:6" x14ac:dyDescent="0.4">
      <c r="C275" s="39" t="s">
        <v>373</v>
      </c>
      <c r="D275" s="10" t="s">
        <v>322</v>
      </c>
      <c r="E275">
        <v>1</v>
      </c>
      <c r="F275" s="2">
        <v>2295.7800000000002</v>
      </c>
    </row>
    <row r="276" spans="2:6" x14ac:dyDescent="0.4">
      <c r="B276" s="10" t="s">
        <v>475</v>
      </c>
      <c r="C276" s="10" t="s">
        <v>316</v>
      </c>
      <c r="D276"/>
      <c r="E276">
        <v>1</v>
      </c>
      <c r="F276" s="2">
        <v>85.35</v>
      </c>
    </row>
    <row r="277" spans="2:6" x14ac:dyDescent="0.4">
      <c r="C277" s="11" t="s">
        <v>2</v>
      </c>
      <c r="D277"/>
      <c r="E277">
        <v>1</v>
      </c>
      <c r="F277" s="2">
        <v>85.35</v>
      </c>
    </row>
    <row r="278" spans="2:6" x14ac:dyDescent="0.4">
      <c r="C278" s="39" t="s">
        <v>465</v>
      </c>
      <c r="D278" s="10" t="s">
        <v>395</v>
      </c>
      <c r="E278">
        <v>1</v>
      </c>
      <c r="F278" s="2">
        <v>85.35</v>
      </c>
    </row>
    <row r="279" spans="2:6" x14ac:dyDescent="0.4">
      <c r="B279" s="10" t="s">
        <v>476</v>
      </c>
      <c r="C279" s="10" t="s">
        <v>316</v>
      </c>
      <c r="D279"/>
      <c r="E279">
        <v>1</v>
      </c>
      <c r="F279" s="2">
        <v>7008.98</v>
      </c>
    </row>
    <row r="280" spans="2:6" x14ac:dyDescent="0.4">
      <c r="C280" s="11" t="s">
        <v>2</v>
      </c>
      <c r="D280"/>
      <c r="E280">
        <v>1</v>
      </c>
      <c r="F280" s="2">
        <v>7008.98</v>
      </c>
    </row>
    <row r="281" spans="2:6" x14ac:dyDescent="0.4">
      <c r="C281" s="39" t="s">
        <v>477</v>
      </c>
      <c r="D281" s="10" t="s">
        <v>322</v>
      </c>
      <c r="E281">
        <v>1</v>
      </c>
      <c r="F281" s="2">
        <v>7008.98</v>
      </c>
    </row>
    <row r="282" spans="2:6" x14ac:dyDescent="0.4">
      <c r="B282" s="10" t="s">
        <v>478</v>
      </c>
      <c r="C282" s="10" t="s">
        <v>316</v>
      </c>
      <c r="D282"/>
      <c r="E282">
        <v>1</v>
      </c>
      <c r="F282" s="2">
        <v>460.49</v>
      </c>
    </row>
    <row r="283" spans="2:6" x14ac:dyDescent="0.4">
      <c r="C283" s="11" t="s">
        <v>2</v>
      </c>
      <c r="D283"/>
      <c r="E283">
        <v>1</v>
      </c>
      <c r="F283" s="2">
        <v>460.49</v>
      </c>
    </row>
    <row r="284" spans="2:6" x14ac:dyDescent="0.4">
      <c r="C284" s="39" t="s">
        <v>477</v>
      </c>
      <c r="D284" s="10" t="s">
        <v>322</v>
      </c>
      <c r="E284">
        <v>1</v>
      </c>
      <c r="F284" s="2">
        <v>460.49</v>
      </c>
    </row>
    <row r="285" spans="2:6" x14ac:dyDescent="0.4">
      <c r="B285" s="10" t="s">
        <v>479</v>
      </c>
      <c r="C285" s="10" t="s">
        <v>316</v>
      </c>
      <c r="D285"/>
      <c r="E285">
        <v>1</v>
      </c>
      <c r="F285" s="2">
        <v>105</v>
      </c>
    </row>
    <row r="286" spans="2:6" x14ac:dyDescent="0.4">
      <c r="C286" s="11" t="s">
        <v>2</v>
      </c>
      <c r="D286"/>
      <c r="E286">
        <v>1</v>
      </c>
      <c r="F286" s="2">
        <v>105</v>
      </c>
    </row>
    <row r="287" spans="2:6" x14ac:dyDescent="0.4">
      <c r="C287" s="39" t="s">
        <v>477</v>
      </c>
      <c r="D287" s="10" t="s">
        <v>322</v>
      </c>
      <c r="E287">
        <v>1</v>
      </c>
      <c r="F287" s="2">
        <v>105</v>
      </c>
    </row>
    <row r="288" spans="2:6" x14ac:dyDescent="0.4">
      <c r="B288" s="10" t="s">
        <v>480</v>
      </c>
      <c r="C288" s="10" t="s">
        <v>316</v>
      </c>
      <c r="D288"/>
      <c r="E288">
        <v>1</v>
      </c>
      <c r="F288" s="2">
        <v>845.81</v>
      </c>
    </row>
    <row r="289" spans="2:6" x14ac:dyDescent="0.4">
      <c r="C289" s="11" t="s">
        <v>2</v>
      </c>
      <c r="D289"/>
      <c r="E289">
        <v>1</v>
      </c>
      <c r="F289" s="2">
        <v>845.81</v>
      </c>
    </row>
    <row r="290" spans="2:6" x14ac:dyDescent="0.4">
      <c r="C290" s="39" t="s">
        <v>481</v>
      </c>
      <c r="D290" s="10" t="s">
        <v>322</v>
      </c>
      <c r="E290">
        <v>1</v>
      </c>
      <c r="F290" s="2">
        <v>845.81</v>
      </c>
    </row>
    <row r="291" spans="2:6" x14ac:dyDescent="0.4">
      <c r="B291" s="10" t="s">
        <v>482</v>
      </c>
      <c r="C291" s="10" t="s">
        <v>316</v>
      </c>
      <c r="D291"/>
      <c r="E291">
        <v>1</v>
      </c>
      <c r="F291" s="2">
        <v>419.96</v>
      </c>
    </row>
    <row r="292" spans="2:6" x14ac:dyDescent="0.4">
      <c r="C292" s="11" t="s">
        <v>5</v>
      </c>
      <c r="D292"/>
      <c r="E292">
        <v>1</v>
      </c>
      <c r="F292" s="2">
        <v>419.96</v>
      </c>
    </row>
    <row r="293" spans="2:6" x14ac:dyDescent="0.4">
      <c r="C293" s="39" t="s">
        <v>483</v>
      </c>
      <c r="D293" s="10" t="s">
        <v>329</v>
      </c>
      <c r="E293">
        <v>1</v>
      </c>
      <c r="F293" s="2">
        <v>419.96</v>
      </c>
    </row>
    <row r="294" spans="2:6" x14ac:dyDescent="0.4">
      <c r="B294" s="10" t="s">
        <v>484</v>
      </c>
      <c r="C294" s="10" t="s">
        <v>316</v>
      </c>
      <c r="D294"/>
      <c r="E294">
        <v>1</v>
      </c>
      <c r="F294" s="2">
        <v>2998.8</v>
      </c>
    </row>
    <row r="295" spans="2:6" x14ac:dyDescent="0.4">
      <c r="C295" s="11" t="s">
        <v>2</v>
      </c>
      <c r="D295"/>
      <c r="E295">
        <v>1</v>
      </c>
      <c r="F295" s="2">
        <v>2998.8</v>
      </c>
    </row>
    <row r="296" spans="2:6" x14ac:dyDescent="0.4">
      <c r="C296" s="39" t="s">
        <v>328</v>
      </c>
      <c r="D296" s="10" t="s">
        <v>395</v>
      </c>
      <c r="E296">
        <v>1</v>
      </c>
      <c r="F296" s="2">
        <v>2998.8</v>
      </c>
    </row>
    <row r="297" spans="2:6" x14ac:dyDescent="0.4">
      <c r="B297" s="10" t="s">
        <v>485</v>
      </c>
      <c r="C297" s="10" t="s">
        <v>316</v>
      </c>
      <c r="D297"/>
      <c r="E297">
        <v>1</v>
      </c>
      <c r="F297" s="2">
        <v>1214.25</v>
      </c>
    </row>
    <row r="298" spans="2:6" x14ac:dyDescent="0.4">
      <c r="C298" s="11" t="s">
        <v>2</v>
      </c>
      <c r="D298"/>
      <c r="E298">
        <v>1</v>
      </c>
      <c r="F298" s="2">
        <v>1214.25</v>
      </c>
    </row>
    <row r="299" spans="2:6" x14ac:dyDescent="0.4">
      <c r="C299" s="39" t="s">
        <v>486</v>
      </c>
      <c r="D299" s="10" t="s">
        <v>322</v>
      </c>
      <c r="E299">
        <v>1</v>
      </c>
      <c r="F299" s="2">
        <v>1214.25</v>
      </c>
    </row>
    <row r="300" spans="2:6" x14ac:dyDescent="0.4">
      <c r="B300" s="10" t="s">
        <v>487</v>
      </c>
      <c r="C300" s="10" t="s">
        <v>316</v>
      </c>
      <c r="D300"/>
      <c r="E300">
        <v>1</v>
      </c>
      <c r="F300" s="2">
        <v>161.88999999999999</v>
      </c>
    </row>
    <row r="301" spans="2:6" x14ac:dyDescent="0.4">
      <c r="C301" s="11" t="s">
        <v>2</v>
      </c>
      <c r="D301"/>
      <c r="E301">
        <v>1</v>
      </c>
      <c r="F301" s="2">
        <v>161.88999999999999</v>
      </c>
    </row>
    <row r="302" spans="2:6" x14ac:dyDescent="0.4">
      <c r="C302" s="39" t="s">
        <v>486</v>
      </c>
      <c r="D302" s="10" t="s">
        <v>322</v>
      </c>
      <c r="E302">
        <v>1</v>
      </c>
      <c r="F302" s="2">
        <v>161.88999999999999</v>
      </c>
    </row>
    <row r="303" spans="2:6" x14ac:dyDescent="0.4">
      <c r="B303" s="10" t="s">
        <v>488</v>
      </c>
      <c r="C303" s="10" t="s">
        <v>316</v>
      </c>
      <c r="D303"/>
      <c r="E303">
        <v>1</v>
      </c>
      <c r="F303" s="2">
        <v>316.8</v>
      </c>
    </row>
    <row r="304" spans="2:6" x14ac:dyDescent="0.4">
      <c r="C304" s="11" t="s">
        <v>2</v>
      </c>
      <c r="D304"/>
      <c r="E304">
        <v>1</v>
      </c>
      <c r="F304" s="2">
        <v>316.8</v>
      </c>
    </row>
    <row r="305" spans="2:6" x14ac:dyDescent="0.4">
      <c r="C305" s="39" t="s">
        <v>489</v>
      </c>
      <c r="D305" s="10" t="s">
        <v>322</v>
      </c>
      <c r="E305">
        <v>1</v>
      </c>
      <c r="F305" s="2">
        <v>316.8</v>
      </c>
    </row>
    <row r="306" spans="2:6" x14ac:dyDescent="0.4">
      <c r="B306" s="10" t="s">
        <v>490</v>
      </c>
      <c r="C306" s="10" t="s">
        <v>316</v>
      </c>
      <c r="D306"/>
      <c r="E306">
        <v>1</v>
      </c>
      <c r="F306" s="2">
        <v>64.39</v>
      </c>
    </row>
    <row r="307" spans="2:6" x14ac:dyDescent="0.4">
      <c r="C307" s="11" t="s">
        <v>2</v>
      </c>
      <c r="D307"/>
      <c r="E307">
        <v>1</v>
      </c>
      <c r="F307" s="2">
        <v>64.39</v>
      </c>
    </row>
    <row r="308" spans="2:6" x14ac:dyDescent="0.4">
      <c r="C308" s="39" t="s">
        <v>489</v>
      </c>
      <c r="D308" s="10" t="s">
        <v>322</v>
      </c>
      <c r="E308">
        <v>1</v>
      </c>
      <c r="F308" s="2">
        <v>64.39</v>
      </c>
    </row>
    <row r="309" spans="2:6" x14ac:dyDescent="0.4">
      <c r="B309" s="10" t="s">
        <v>491</v>
      </c>
      <c r="C309" s="10" t="s">
        <v>316</v>
      </c>
      <c r="D309"/>
      <c r="E309">
        <v>1</v>
      </c>
      <c r="F309" s="2">
        <v>878.61</v>
      </c>
    </row>
    <row r="310" spans="2:6" x14ac:dyDescent="0.4">
      <c r="C310" s="11" t="s">
        <v>2</v>
      </c>
      <c r="D310"/>
      <c r="E310">
        <v>1</v>
      </c>
      <c r="F310" s="2">
        <v>878.61</v>
      </c>
    </row>
    <row r="311" spans="2:6" x14ac:dyDescent="0.4">
      <c r="C311" s="39" t="s">
        <v>418</v>
      </c>
      <c r="D311" s="10" t="s">
        <v>322</v>
      </c>
      <c r="E311">
        <v>1</v>
      </c>
      <c r="F311" s="2">
        <v>878.61</v>
      </c>
    </row>
    <row r="312" spans="2:6" x14ac:dyDescent="0.4">
      <c r="B312" s="10" t="s">
        <v>492</v>
      </c>
      <c r="C312" s="10" t="s">
        <v>316</v>
      </c>
      <c r="D312"/>
      <c r="E312">
        <v>1</v>
      </c>
      <c r="F312" s="2">
        <v>249.99</v>
      </c>
    </row>
    <row r="313" spans="2:6" x14ac:dyDescent="0.4">
      <c r="C313" s="11" t="s">
        <v>2</v>
      </c>
      <c r="D313"/>
      <c r="E313">
        <v>1</v>
      </c>
      <c r="F313" s="2">
        <v>249.99</v>
      </c>
    </row>
    <row r="314" spans="2:6" x14ac:dyDescent="0.4">
      <c r="C314" s="39" t="s">
        <v>418</v>
      </c>
      <c r="D314" s="10" t="s">
        <v>395</v>
      </c>
      <c r="E314">
        <v>1</v>
      </c>
      <c r="F314" s="2">
        <v>249.99</v>
      </c>
    </row>
    <row r="315" spans="2:6" x14ac:dyDescent="0.4">
      <c r="B315" s="10" t="s">
        <v>493</v>
      </c>
      <c r="C315" s="10" t="s">
        <v>316</v>
      </c>
      <c r="D315"/>
      <c r="E315">
        <v>1</v>
      </c>
      <c r="F315" s="2">
        <v>108.78</v>
      </c>
    </row>
    <row r="316" spans="2:6" x14ac:dyDescent="0.4">
      <c r="C316" s="11" t="s">
        <v>2</v>
      </c>
      <c r="D316"/>
      <c r="E316">
        <v>1</v>
      </c>
      <c r="F316" s="2">
        <v>108.78</v>
      </c>
    </row>
    <row r="317" spans="2:6" x14ac:dyDescent="0.4">
      <c r="C317" s="39" t="s">
        <v>418</v>
      </c>
      <c r="D317" s="10" t="s">
        <v>322</v>
      </c>
      <c r="E317">
        <v>1</v>
      </c>
      <c r="F317" s="2">
        <v>108.78</v>
      </c>
    </row>
    <row r="318" spans="2:6" x14ac:dyDescent="0.4">
      <c r="B318" s="10" t="s">
        <v>494</v>
      </c>
      <c r="C318" s="10" t="s">
        <v>316</v>
      </c>
      <c r="D318"/>
      <c r="E318">
        <v>1</v>
      </c>
      <c r="F318" s="2">
        <v>7750</v>
      </c>
    </row>
    <row r="319" spans="2:6" x14ac:dyDescent="0.4">
      <c r="C319" s="11" t="s">
        <v>6</v>
      </c>
      <c r="D319"/>
      <c r="E319">
        <v>1</v>
      </c>
      <c r="F319" s="2">
        <v>7750</v>
      </c>
    </row>
    <row r="320" spans="2:6" x14ac:dyDescent="0.4">
      <c r="C320" s="39" t="s">
        <v>415</v>
      </c>
      <c r="D320" s="10" t="s">
        <v>414</v>
      </c>
      <c r="E320">
        <v>1</v>
      </c>
      <c r="F320" s="2">
        <v>7750</v>
      </c>
    </row>
    <row r="321" spans="2:6" x14ac:dyDescent="0.4">
      <c r="B321" s="10" t="s">
        <v>495</v>
      </c>
      <c r="C321" s="10" t="s">
        <v>316</v>
      </c>
      <c r="D321"/>
      <c r="E321">
        <v>1</v>
      </c>
      <c r="F321" s="2">
        <v>7900</v>
      </c>
    </row>
    <row r="322" spans="2:6" x14ac:dyDescent="0.4">
      <c r="C322" s="11" t="s">
        <v>2</v>
      </c>
      <c r="D322"/>
      <c r="E322">
        <v>1</v>
      </c>
      <c r="F322" s="2">
        <v>7900</v>
      </c>
    </row>
    <row r="323" spans="2:6" x14ac:dyDescent="0.4">
      <c r="C323" s="39" t="s">
        <v>328</v>
      </c>
      <c r="D323" s="10" t="s">
        <v>322</v>
      </c>
      <c r="E323">
        <v>1</v>
      </c>
      <c r="F323" s="2">
        <v>7900</v>
      </c>
    </row>
    <row r="324" spans="2:6" x14ac:dyDescent="0.4">
      <c r="B324" s="10" t="s">
        <v>496</v>
      </c>
      <c r="C324" s="10" t="s">
        <v>316</v>
      </c>
      <c r="D324"/>
      <c r="E324">
        <v>1</v>
      </c>
      <c r="F324" s="2">
        <v>0</v>
      </c>
    </row>
    <row r="325" spans="2:6" x14ac:dyDescent="0.4">
      <c r="C325" s="11" t="s">
        <v>2</v>
      </c>
      <c r="D325"/>
      <c r="E325">
        <v>1</v>
      </c>
      <c r="F325" s="2">
        <v>0</v>
      </c>
    </row>
    <row r="326" spans="2:6" x14ac:dyDescent="0.4">
      <c r="C326" s="39" t="s">
        <v>328</v>
      </c>
      <c r="D326" s="10" t="s">
        <v>329</v>
      </c>
      <c r="E326">
        <v>1</v>
      </c>
      <c r="F326" s="2">
        <v>0</v>
      </c>
    </row>
    <row r="327" spans="2:6" x14ac:dyDescent="0.4">
      <c r="B327" s="10" t="s">
        <v>497</v>
      </c>
      <c r="C327" s="10" t="s">
        <v>316</v>
      </c>
      <c r="D327"/>
      <c r="E327">
        <v>1</v>
      </c>
      <c r="F327" s="2">
        <v>0</v>
      </c>
    </row>
    <row r="328" spans="2:6" x14ac:dyDescent="0.4">
      <c r="C328" s="11" t="s">
        <v>5</v>
      </c>
      <c r="D328"/>
      <c r="E328">
        <v>1</v>
      </c>
      <c r="F328" s="2">
        <v>0</v>
      </c>
    </row>
    <row r="329" spans="2:6" x14ac:dyDescent="0.4">
      <c r="C329" s="39" t="s">
        <v>498</v>
      </c>
      <c r="D329" s="10" t="s">
        <v>329</v>
      </c>
      <c r="E329">
        <v>1</v>
      </c>
      <c r="F329" s="2">
        <v>0</v>
      </c>
    </row>
    <row r="330" spans="2:6" x14ac:dyDescent="0.4">
      <c r="B330" s="10" t="s">
        <v>499</v>
      </c>
      <c r="C330" s="10" t="s">
        <v>316</v>
      </c>
      <c r="D330"/>
      <c r="E330">
        <v>1</v>
      </c>
      <c r="F330" s="2">
        <v>860.84</v>
      </c>
    </row>
    <row r="331" spans="2:6" x14ac:dyDescent="0.4">
      <c r="C331" s="11" t="s">
        <v>2</v>
      </c>
      <c r="D331"/>
      <c r="E331">
        <v>1</v>
      </c>
      <c r="F331" s="2">
        <v>860.84</v>
      </c>
    </row>
    <row r="332" spans="2:6" x14ac:dyDescent="0.4">
      <c r="C332" s="39" t="s">
        <v>500</v>
      </c>
      <c r="D332" s="10" t="s">
        <v>322</v>
      </c>
      <c r="E332">
        <v>1</v>
      </c>
      <c r="F332" s="2">
        <v>860.84</v>
      </c>
    </row>
    <row r="333" spans="2:6" x14ac:dyDescent="0.4">
      <c r="B333" s="10" t="s">
        <v>501</v>
      </c>
      <c r="C333" s="10" t="s">
        <v>316</v>
      </c>
      <c r="D333"/>
      <c r="E333">
        <v>1</v>
      </c>
      <c r="F333" s="2">
        <v>10140</v>
      </c>
    </row>
    <row r="334" spans="2:6" x14ac:dyDescent="0.4">
      <c r="C334" s="11" t="s">
        <v>5</v>
      </c>
      <c r="D334"/>
      <c r="E334">
        <v>1</v>
      </c>
      <c r="F334" s="2">
        <v>10140</v>
      </c>
    </row>
    <row r="335" spans="2:6" x14ac:dyDescent="0.4">
      <c r="C335" s="39" t="s">
        <v>359</v>
      </c>
      <c r="D335" s="10" t="s">
        <v>318</v>
      </c>
      <c r="E335">
        <v>1</v>
      </c>
      <c r="F335" s="2">
        <v>10140</v>
      </c>
    </row>
    <row r="336" spans="2:6" x14ac:dyDescent="0.4">
      <c r="B336" s="10" t="s">
        <v>502</v>
      </c>
      <c r="C336" s="10" t="s">
        <v>316</v>
      </c>
      <c r="D336"/>
      <c r="E336">
        <v>1</v>
      </c>
      <c r="F336" s="2">
        <v>119</v>
      </c>
    </row>
    <row r="337" spans="2:6" x14ac:dyDescent="0.4">
      <c r="C337" s="11" t="s">
        <v>2</v>
      </c>
      <c r="D337"/>
      <c r="E337">
        <v>1</v>
      </c>
      <c r="F337" s="2">
        <v>119</v>
      </c>
    </row>
    <row r="338" spans="2:6" x14ac:dyDescent="0.4">
      <c r="C338" s="39" t="s">
        <v>321</v>
      </c>
      <c r="D338" s="10" t="s">
        <v>322</v>
      </c>
      <c r="E338">
        <v>1</v>
      </c>
      <c r="F338" s="2">
        <v>119</v>
      </c>
    </row>
    <row r="339" spans="2:6" x14ac:dyDescent="0.4">
      <c r="B339" s="10" t="s">
        <v>503</v>
      </c>
      <c r="C339" s="10" t="s">
        <v>316</v>
      </c>
      <c r="D339"/>
      <c r="E339">
        <v>1</v>
      </c>
      <c r="F339" s="2">
        <v>430.42</v>
      </c>
    </row>
    <row r="340" spans="2:6" x14ac:dyDescent="0.4">
      <c r="C340" s="11" t="s">
        <v>2</v>
      </c>
      <c r="D340"/>
      <c r="E340">
        <v>1</v>
      </c>
      <c r="F340" s="2">
        <v>430.42</v>
      </c>
    </row>
    <row r="341" spans="2:6" x14ac:dyDescent="0.4">
      <c r="C341" s="39" t="s">
        <v>321</v>
      </c>
      <c r="D341" s="10" t="s">
        <v>322</v>
      </c>
      <c r="E341">
        <v>1</v>
      </c>
      <c r="F341" s="2">
        <v>430.42</v>
      </c>
    </row>
    <row r="342" spans="2:6" x14ac:dyDescent="0.4">
      <c r="B342" s="10" t="s">
        <v>504</v>
      </c>
      <c r="C342" s="10" t="s">
        <v>316</v>
      </c>
      <c r="D342"/>
      <c r="E342">
        <v>1</v>
      </c>
      <c r="F342" s="2">
        <v>1666.95</v>
      </c>
    </row>
    <row r="343" spans="2:6" x14ac:dyDescent="0.4">
      <c r="C343" s="11" t="s">
        <v>2</v>
      </c>
      <c r="D343"/>
      <c r="E343">
        <v>1</v>
      </c>
      <c r="F343" s="2">
        <v>1666.95</v>
      </c>
    </row>
    <row r="344" spans="2:6" x14ac:dyDescent="0.4">
      <c r="C344" s="39" t="s">
        <v>321</v>
      </c>
      <c r="D344" s="10" t="s">
        <v>322</v>
      </c>
      <c r="E344">
        <v>1</v>
      </c>
      <c r="F344" s="2">
        <v>1666.95</v>
      </c>
    </row>
    <row r="345" spans="2:6" x14ac:dyDescent="0.4">
      <c r="B345" s="10" t="s">
        <v>505</v>
      </c>
      <c r="C345" s="10" t="s">
        <v>316</v>
      </c>
      <c r="D345"/>
      <c r="E345">
        <v>1</v>
      </c>
      <c r="F345" s="2">
        <v>2500</v>
      </c>
    </row>
    <row r="346" spans="2:6" x14ac:dyDescent="0.4">
      <c r="C346" s="11" t="s">
        <v>2</v>
      </c>
      <c r="D346"/>
      <c r="E346">
        <v>1</v>
      </c>
      <c r="F346" s="2">
        <v>2500</v>
      </c>
    </row>
    <row r="347" spans="2:6" x14ac:dyDescent="0.4">
      <c r="C347" s="39" t="s">
        <v>328</v>
      </c>
      <c r="D347" s="10" t="s">
        <v>322</v>
      </c>
      <c r="E347">
        <v>1</v>
      </c>
      <c r="F347" s="2">
        <v>2500</v>
      </c>
    </row>
    <row r="348" spans="2:6" x14ac:dyDescent="0.4">
      <c r="B348" s="10" t="s">
        <v>506</v>
      </c>
      <c r="C348" s="10" t="s">
        <v>316</v>
      </c>
      <c r="D348"/>
      <c r="E348">
        <v>1</v>
      </c>
      <c r="F348" s="2">
        <v>7818</v>
      </c>
    </row>
    <row r="349" spans="2:6" x14ac:dyDescent="0.4">
      <c r="C349" s="11" t="s">
        <v>2</v>
      </c>
      <c r="D349"/>
      <c r="E349">
        <v>1</v>
      </c>
      <c r="F349" s="2">
        <v>7818</v>
      </c>
    </row>
    <row r="350" spans="2:6" x14ac:dyDescent="0.4">
      <c r="C350" s="39" t="s">
        <v>507</v>
      </c>
      <c r="D350" s="10" t="s">
        <v>322</v>
      </c>
      <c r="E350">
        <v>1</v>
      </c>
      <c r="F350" s="2">
        <v>7818</v>
      </c>
    </row>
    <row r="351" spans="2:6" x14ac:dyDescent="0.4">
      <c r="B351" s="10" t="s">
        <v>508</v>
      </c>
      <c r="C351" s="10" t="s">
        <v>316</v>
      </c>
      <c r="D351"/>
      <c r="E351">
        <v>1</v>
      </c>
      <c r="F351" s="2">
        <v>96</v>
      </c>
    </row>
    <row r="352" spans="2:6" x14ac:dyDescent="0.4">
      <c r="C352" s="11" t="s">
        <v>3</v>
      </c>
      <c r="D352"/>
      <c r="E352">
        <v>1</v>
      </c>
      <c r="F352" s="2">
        <v>96</v>
      </c>
    </row>
    <row r="353" spans="2:6" x14ac:dyDescent="0.4">
      <c r="C353" s="39" t="s">
        <v>509</v>
      </c>
      <c r="D353" s="10" t="s">
        <v>361</v>
      </c>
      <c r="E353">
        <v>1</v>
      </c>
      <c r="F353" s="2">
        <v>96</v>
      </c>
    </row>
    <row r="354" spans="2:6" x14ac:dyDescent="0.4">
      <c r="B354" s="10" t="s">
        <v>510</v>
      </c>
      <c r="C354" s="10" t="s">
        <v>316</v>
      </c>
      <c r="D354"/>
      <c r="E354">
        <v>1</v>
      </c>
      <c r="F354" s="2">
        <v>319.83999999999997</v>
      </c>
    </row>
    <row r="355" spans="2:6" x14ac:dyDescent="0.4">
      <c r="C355" s="11" t="s">
        <v>2</v>
      </c>
      <c r="D355"/>
      <c r="E355">
        <v>1</v>
      </c>
      <c r="F355" s="2">
        <v>319.83999999999997</v>
      </c>
    </row>
    <row r="356" spans="2:6" x14ac:dyDescent="0.4">
      <c r="C356" s="39" t="s">
        <v>328</v>
      </c>
      <c r="D356" s="10" t="s">
        <v>395</v>
      </c>
      <c r="E356">
        <v>1</v>
      </c>
      <c r="F356" s="2">
        <v>319.83999999999997</v>
      </c>
    </row>
    <row r="357" spans="2:6" x14ac:dyDescent="0.4">
      <c r="B357" s="10" t="s">
        <v>511</v>
      </c>
      <c r="C357" s="10" t="s">
        <v>316</v>
      </c>
      <c r="D357"/>
      <c r="E357">
        <v>1</v>
      </c>
      <c r="F357" s="2">
        <v>35.99</v>
      </c>
    </row>
    <row r="358" spans="2:6" x14ac:dyDescent="0.4">
      <c r="C358" s="11" t="s">
        <v>2</v>
      </c>
      <c r="D358"/>
      <c r="E358">
        <v>1</v>
      </c>
      <c r="F358" s="2">
        <v>35.99</v>
      </c>
    </row>
    <row r="359" spans="2:6" x14ac:dyDescent="0.4">
      <c r="C359" s="39" t="s">
        <v>512</v>
      </c>
      <c r="D359" s="10" t="s">
        <v>322</v>
      </c>
      <c r="E359">
        <v>1</v>
      </c>
      <c r="F359" s="2">
        <v>35.99</v>
      </c>
    </row>
    <row r="360" spans="2:6" x14ac:dyDescent="0.4">
      <c r="B360" s="10" t="s">
        <v>513</v>
      </c>
      <c r="C360" s="10" t="s">
        <v>316</v>
      </c>
      <c r="D360"/>
      <c r="E360">
        <v>1</v>
      </c>
      <c r="F360" s="2">
        <v>310.44</v>
      </c>
    </row>
    <row r="361" spans="2:6" x14ac:dyDescent="0.4">
      <c r="C361" s="11" t="s">
        <v>3</v>
      </c>
      <c r="D361"/>
      <c r="E361">
        <v>1</v>
      </c>
      <c r="F361" s="2">
        <v>310.44</v>
      </c>
    </row>
    <row r="362" spans="2:6" x14ac:dyDescent="0.4">
      <c r="C362" s="39" t="s">
        <v>514</v>
      </c>
      <c r="D362" s="10" t="s">
        <v>322</v>
      </c>
      <c r="E362">
        <v>1</v>
      </c>
      <c r="F362" s="2">
        <v>310.44</v>
      </c>
    </row>
    <row r="363" spans="2:6" x14ac:dyDescent="0.4">
      <c r="B363" s="10" t="s">
        <v>515</v>
      </c>
      <c r="C363" s="10" t="s">
        <v>316</v>
      </c>
      <c r="D363"/>
      <c r="E363">
        <v>1</v>
      </c>
      <c r="F363" s="2">
        <v>95</v>
      </c>
    </row>
    <row r="364" spans="2:6" x14ac:dyDescent="0.4">
      <c r="C364" s="11" t="s">
        <v>3</v>
      </c>
      <c r="D364"/>
      <c r="E364">
        <v>1</v>
      </c>
      <c r="F364" s="2">
        <v>95</v>
      </c>
    </row>
    <row r="365" spans="2:6" x14ac:dyDescent="0.4">
      <c r="C365" s="39" t="s">
        <v>516</v>
      </c>
      <c r="D365" s="10" t="s">
        <v>322</v>
      </c>
      <c r="E365">
        <v>1</v>
      </c>
      <c r="F365" s="2">
        <v>95</v>
      </c>
    </row>
    <row r="366" spans="2:6" x14ac:dyDescent="0.4">
      <c r="B366" s="10" t="s">
        <v>517</v>
      </c>
      <c r="C366" s="10" t="s">
        <v>316</v>
      </c>
      <c r="D366"/>
      <c r="E366">
        <v>1</v>
      </c>
      <c r="F366" s="2">
        <v>310</v>
      </c>
    </row>
    <row r="367" spans="2:6" x14ac:dyDescent="0.4">
      <c r="C367" s="11" t="s">
        <v>5</v>
      </c>
      <c r="D367"/>
      <c r="E367">
        <v>1</v>
      </c>
      <c r="F367" s="2">
        <v>310</v>
      </c>
    </row>
    <row r="368" spans="2:6" x14ac:dyDescent="0.4">
      <c r="C368" s="39" t="s">
        <v>359</v>
      </c>
      <c r="D368" s="10" t="s">
        <v>318</v>
      </c>
      <c r="E368">
        <v>1</v>
      </c>
      <c r="F368" s="2">
        <v>310</v>
      </c>
    </row>
    <row r="369" spans="2:6" x14ac:dyDescent="0.4">
      <c r="B369" s="10" t="s">
        <v>518</v>
      </c>
      <c r="C369" s="10" t="s">
        <v>316</v>
      </c>
      <c r="D369"/>
      <c r="E369">
        <v>1</v>
      </c>
      <c r="F369" s="2">
        <v>10154.530000000001</v>
      </c>
    </row>
    <row r="370" spans="2:6" x14ac:dyDescent="0.4">
      <c r="C370" s="11" t="s">
        <v>5</v>
      </c>
      <c r="D370"/>
      <c r="E370">
        <v>1</v>
      </c>
      <c r="F370" s="2">
        <v>10154.530000000001</v>
      </c>
    </row>
    <row r="371" spans="2:6" x14ac:dyDescent="0.4">
      <c r="C371" s="39" t="s">
        <v>359</v>
      </c>
      <c r="D371" s="10" t="s">
        <v>322</v>
      </c>
      <c r="E371">
        <v>1</v>
      </c>
      <c r="F371" s="2">
        <v>10154.530000000001</v>
      </c>
    </row>
    <row r="372" spans="2:6" x14ac:dyDescent="0.4">
      <c r="B372" s="10" t="s">
        <v>519</v>
      </c>
      <c r="C372" s="10" t="s">
        <v>316</v>
      </c>
      <c r="D372"/>
      <c r="E372">
        <v>1</v>
      </c>
      <c r="F372" s="2">
        <v>420</v>
      </c>
    </row>
    <row r="373" spans="2:6" x14ac:dyDescent="0.4">
      <c r="C373" s="11" t="s">
        <v>3</v>
      </c>
      <c r="D373"/>
      <c r="E373">
        <v>1</v>
      </c>
      <c r="F373" s="2">
        <v>420</v>
      </c>
    </row>
    <row r="374" spans="2:6" x14ac:dyDescent="0.4">
      <c r="C374" s="39" t="s">
        <v>520</v>
      </c>
      <c r="D374" s="10" t="s">
        <v>322</v>
      </c>
      <c r="E374">
        <v>1</v>
      </c>
      <c r="F374" s="2">
        <v>420</v>
      </c>
    </row>
    <row r="375" spans="2:6" x14ac:dyDescent="0.4">
      <c r="B375" s="10" t="s">
        <v>521</v>
      </c>
      <c r="C375" s="10" t="s">
        <v>316</v>
      </c>
      <c r="D375"/>
      <c r="E375">
        <v>2</v>
      </c>
      <c r="F375" s="2">
        <v>479.98</v>
      </c>
    </row>
    <row r="376" spans="2:6" x14ac:dyDescent="0.4">
      <c r="C376" s="11" t="s">
        <v>3</v>
      </c>
      <c r="D376"/>
      <c r="E376">
        <v>1</v>
      </c>
      <c r="F376" s="2">
        <v>239.99</v>
      </c>
    </row>
    <row r="377" spans="2:6" x14ac:dyDescent="0.4">
      <c r="C377" s="39" t="s">
        <v>343</v>
      </c>
      <c r="D377" s="10" t="s">
        <v>322</v>
      </c>
      <c r="E377">
        <v>1</v>
      </c>
      <c r="F377" s="2">
        <v>239.99</v>
      </c>
    </row>
    <row r="378" spans="2:6" x14ac:dyDescent="0.4">
      <c r="C378" s="11" t="s">
        <v>4</v>
      </c>
      <c r="D378"/>
      <c r="E378">
        <v>1</v>
      </c>
      <c r="F378" s="2">
        <v>239.99</v>
      </c>
    </row>
    <row r="379" spans="2:6" x14ac:dyDescent="0.4">
      <c r="C379" s="39" t="s">
        <v>423</v>
      </c>
      <c r="D379" s="10" t="s">
        <v>322</v>
      </c>
      <c r="E379">
        <v>1</v>
      </c>
      <c r="F379" s="2">
        <v>239.99</v>
      </c>
    </row>
    <row r="380" spans="2:6" x14ac:dyDescent="0.4">
      <c r="B380" s="10" t="s">
        <v>522</v>
      </c>
      <c r="C380" s="10" t="s">
        <v>316</v>
      </c>
      <c r="D380"/>
      <c r="E380">
        <v>1</v>
      </c>
      <c r="F380" s="2">
        <v>297</v>
      </c>
    </row>
    <row r="381" spans="2:6" x14ac:dyDescent="0.4">
      <c r="C381" s="11" t="s">
        <v>3</v>
      </c>
      <c r="D381"/>
      <c r="E381">
        <v>1</v>
      </c>
      <c r="F381" s="2">
        <v>297</v>
      </c>
    </row>
    <row r="382" spans="2:6" x14ac:dyDescent="0.4">
      <c r="C382" s="39" t="s">
        <v>343</v>
      </c>
      <c r="D382" s="10" t="s">
        <v>322</v>
      </c>
      <c r="E382">
        <v>1</v>
      </c>
      <c r="F382" s="2">
        <v>297</v>
      </c>
    </row>
    <row r="383" spans="2:6" x14ac:dyDescent="0.4">
      <c r="B383" s="10" t="s">
        <v>523</v>
      </c>
      <c r="C383" s="10" t="s">
        <v>316</v>
      </c>
      <c r="D383"/>
      <c r="E383">
        <v>1</v>
      </c>
      <c r="F383" s="2">
        <v>735</v>
      </c>
    </row>
    <row r="384" spans="2:6" x14ac:dyDescent="0.4">
      <c r="C384" s="11" t="s">
        <v>4</v>
      </c>
      <c r="D384"/>
      <c r="E384">
        <v>1</v>
      </c>
      <c r="F384" s="2">
        <v>735</v>
      </c>
    </row>
    <row r="385" spans="2:6" x14ac:dyDescent="0.4">
      <c r="C385" s="39" t="s">
        <v>386</v>
      </c>
      <c r="D385" s="10" t="s">
        <v>322</v>
      </c>
      <c r="E385">
        <v>1</v>
      </c>
      <c r="F385" s="2">
        <v>735</v>
      </c>
    </row>
    <row r="386" spans="2:6" x14ac:dyDescent="0.4">
      <c r="B386" s="10" t="s">
        <v>524</v>
      </c>
      <c r="C386" s="10" t="s">
        <v>316</v>
      </c>
      <c r="D386"/>
      <c r="E386">
        <v>1</v>
      </c>
      <c r="F386" s="2">
        <v>2579.4</v>
      </c>
    </row>
    <row r="387" spans="2:6" x14ac:dyDescent="0.4">
      <c r="C387" s="11" t="s">
        <v>3</v>
      </c>
      <c r="D387"/>
      <c r="E387">
        <v>1</v>
      </c>
      <c r="F387" s="2">
        <v>2579.4</v>
      </c>
    </row>
    <row r="388" spans="2:6" x14ac:dyDescent="0.4">
      <c r="C388" s="39" t="s">
        <v>343</v>
      </c>
      <c r="D388" s="10" t="s">
        <v>395</v>
      </c>
      <c r="E388">
        <v>1</v>
      </c>
      <c r="F388" s="2">
        <v>2579.4</v>
      </c>
    </row>
    <row r="389" spans="2:6" x14ac:dyDescent="0.4">
      <c r="B389" s="10" t="s">
        <v>525</v>
      </c>
      <c r="C389" s="10" t="s">
        <v>316</v>
      </c>
      <c r="D389"/>
      <c r="E389">
        <v>1</v>
      </c>
      <c r="F389" s="2">
        <v>179</v>
      </c>
    </row>
    <row r="390" spans="2:6" x14ac:dyDescent="0.4">
      <c r="C390" s="11" t="s">
        <v>3</v>
      </c>
      <c r="D390"/>
      <c r="E390">
        <v>1</v>
      </c>
      <c r="F390" s="2">
        <v>179</v>
      </c>
    </row>
    <row r="391" spans="2:6" x14ac:dyDescent="0.4">
      <c r="C391" s="39" t="s">
        <v>343</v>
      </c>
      <c r="D391" s="10" t="s">
        <v>322</v>
      </c>
      <c r="E391">
        <v>1</v>
      </c>
      <c r="F391" s="2">
        <v>179</v>
      </c>
    </row>
    <row r="392" spans="2:6" x14ac:dyDescent="0.4">
      <c r="B392" s="10" t="s">
        <v>526</v>
      </c>
      <c r="C392" s="10" t="s">
        <v>316</v>
      </c>
      <c r="D392"/>
      <c r="E392">
        <v>1</v>
      </c>
      <c r="F392" s="2">
        <v>1830</v>
      </c>
    </row>
    <row r="393" spans="2:6" x14ac:dyDescent="0.4">
      <c r="C393" s="11" t="s">
        <v>5</v>
      </c>
      <c r="D393"/>
      <c r="E393">
        <v>1</v>
      </c>
      <c r="F393" s="2">
        <v>1830</v>
      </c>
    </row>
    <row r="394" spans="2:6" x14ac:dyDescent="0.4">
      <c r="C394" s="39" t="s">
        <v>359</v>
      </c>
      <c r="D394" s="10" t="s">
        <v>361</v>
      </c>
      <c r="E394">
        <v>1</v>
      </c>
      <c r="F394" s="2">
        <v>1830</v>
      </c>
    </row>
    <row r="395" spans="2:6" x14ac:dyDescent="0.4">
      <c r="B395" s="10" t="s">
        <v>527</v>
      </c>
      <c r="C395" s="10" t="s">
        <v>316</v>
      </c>
      <c r="D395"/>
      <c r="E395">
        <v>1</v>
      </c>
      <c r="F395" s="2">
        <v>107.99</v>
      </c>
    </row>
    <row r="396" spans="2:6" x14ac:dyDescent="0.4">
      <c r="C396" s="11" t="s">
        <v>3</v>
      </c>
      <c r="D396"/>
      <c r="E396">
        <v>1</v>
      </c>
      <c r="F396" s="2">
        <v>107.99</v>
      </c>
    </row>
    <row r="397" spans="2:6" x14ac:dyDescent="0.4">
      <c r="C397" s="39" t="s">
        <v>429</v>
      </c>
      <c r="D397" s="10" t="s">
        <v>322</v>
      </c>
      <c r="E397">
        <v>1</v>
      </c>
      <c r="F397" s="2">
        <v>107.99</v>
      </c>
    </row>
    <row r="398" spans="2:6" x14ac:dyDescent="0.4">
      <c r="B398" s="10" t="s">
        <v>528</v>
      </c>
      <c r="C398" s="10" t="s">
        <v>316</v>
      </c>
      <c r="D398"/>
      <c r="E398">
        <v>1</v>
      </c>
      <c r="F398" s="2">
        <v>3075.3</v>
      </c>
    </row>
    <row r="399" spans="2:6" x14ac:dyDescent="0.4">
      <c r="C399" s="11" t="s">
        <v>3</v>
      </c>
      <c r="D399"/>
      <c r="E399">
        <v>1</v>
      </c>
      <c r="F399" s="2">
        <v>3075.3</v>
      </c>
    </row>
    <row r="400" spans="2:6" x14ac:dyDescent="0.4">
      <c r="C400" s="39" t="s">
        <v>529</v>
      </c>
      <c r="D400" s="10" t="s">
        <v>395</v>
      </c>
      <c r="E400">
        <v>1</v>
      </c>
      <c r="F400" s="2">
        <v>3075.3</v>
      </c>
    </row>
    <row r="401" spans="2:6" x14ac:dyDescent="0.4">
      <c r="B401" s="10" t="s">
        <v>530</v>
      </c>
      <c r="C401" s="10" t="s">
        <v>316</v>
      </c>
      <c r="D401"/>
      <c r="E401">
        <v>1</v>
      </c>
      <c r="F401" s="2">
        <v>165.06</v>
      </c>
    </row>
    <row r="402" spans="2:6" x14ac:dyDescent="0.4">
      <c r="C402" s="11" t="s">
        <v>3</v>
      </c>
      <c r="D402"/>
      <c r="E402">
        <v>1</v>
      </c>
      <c r="F402" s="2">
        <v>165.06</v>
      </c>
    </row>
    <row r="403" spans="2:6" x14ac:dyDescent="0.4">
      <c r="C403" s="39" t="s">
        <v>529</v>
      </c>
      <c r="D403" s="10" t="s">
        <v>322</v>
      </c>
      <c r="E403">
        <v>1</v>
      </c>
      <c r="F403" s="2">
        <v>165.06</v>
      </c>
    </row>
    <row r="404" spans="2:6" x14ac:dyDescent="0.4">
      <c r="B404" s="10" t="s">
        <v>531</v>
      </c>
      <c r="C404" s="10" t="s">
        <v>316</v>
      </c>
      <c r="D404"/>
      <c r="E404">
        <v>1</v>
      </c>
      <c r="F404" s="2">
        <v>3241.9</v>
      </c>
    </row>
    <row r="405" spans="2:6" x14ac:dyDescent="0.4">
      <c r="C405" s="11" t="s">
        <v>3</v>
      </c>
      <c r="D405"/>
      <c r="E405">
        <v>1</v>
      </c>
      <c r="F405" s="2">
        <v>3241.9</v>
      </c>
    </row>
    <row r="406" spans="2:6" x14ac:dyDescent="0.4">
      <c r="C406" s="39" t="s">
        <v>529</v>
      </c>
      <c r="D406" s="10" t="s">
        <v>322</v>
      </c>
      <c r="E406">
        <v>1</v>
      </c>
      <c r="F406" s="2">
        <v>3241.9</v>
      </c>
    </row>
    <row r="407" spans="2:6" x14ac:dyDescent="0.4">
      <c r="B407" s="10" t="s">
        <v>532</v>
      </c>
      <c r="C407" s="10" t="s">
        <v>316</v>
      </c>
      <c r="D407"/>
      <c r="E407">
        <v>1</v>
      </c>
      <c r="F407" s="2">
        <v>576</v>
      </c>
    </row>
    <row r="408" spans="2:6" x14ac:dyDescent="0.4">
      <c r="C408" s="11" t="s">
        <v>4</v>
      </c>
      <c r="D408"/>
      <c r="E408">
        <v>1</v>
      </c>
      <c r="F408" s="2">
        <v>576</v>
      </c>
    </row>
    <row r="409" spans="2:6" x14ac:dyDescent="0.4">
      <c r="C409" s="39" t="s">
        <v>533</v>
      </c>
      <c r="D409" s="10" t="s">
        <v>322</v>
      </c>
      <c r="E409">
        <v>1</v>
      </c>
      <c r="F409" s="2">
        <v>576</v>
      </c>
    </row>
    <row r="410" spans="2:6" x14ac:dyDescent="0.4">
      <c r="B410" s="10" t="s">
        <v>534</v>
      </c>
      <c r="C410" s="10" t="s">
        <v>316</v>
      </c>
      <c r="D410"/>
      <c r="E410">
        <v>1</v>
      </c>
      <c r="F410" s="2">
        <v>1537.65</v>
      </c>
    </row>
    <row r="411" spans="2:6" x14ac:dyDescent="0.4">
      <c r="C411" s="11" t="s">
        <v>4</v>
      </c>
      <c r="D411"/>
      <c r="E411">
        <v>1</v>
      </c>
      <c r="F411" s="2">
        <v>1537.65</v>
      </c>
    </row>
    <row r="412" spans="2:6" x14ac:dyDescent="0.4">
      <c r="C412" s="39" t="s">
        <v>535</v>
      </c>
      <c r="D412" s="10" t="s">
        <v>322</v>
      </c>
      <c r="E412">
        <v>1</v>
      </c>
      <c r="F412" s="2">
        <v>1537.65</v>
      </c>
    </row>
    <row r="413" spans="2:6" x14ac:dyDescent="0.4">
      <c r="B413" s="10" t="s">
        <v>536</v>
      </c>
      <c r="C413" s="10" t="s">
        <v>316</v>
      </c>
      <c r="D413"/>
      <c r="E413">
        <v>1</v>
      </c>
      <c r="F413" s="2">
        <v>1225</v>
      </c>
    </row>
    <row r="414" spans="2:6" x14ac:dyDescent="0.4">
      <c r="C414" s="11" t="s">
        <v>4</v>
      </c>
      <c r="D414"/>
      <c r="E414">
        <v>1</v>
      </c>
      <c r="F414" s="2">
        <v>1225</v>
      </c>
    </row>
    <row r="415" spans="2:6" x14ac:dyDescent="0.4">
      <c r="C415" s="39" t="s">
        <v>537</v>
      </c>
      <c r="D415" s="10" t="s">
        <v>322</v>
      </c>
      <c r="E415">
        <v>1</v>
      </c>
      <c r="F415" s="2">
        <v>1225</v>
      </c>
    </row>
    <row r="416" spans="2:6" x14ac:dyDescent="0.4">
      <c r="B416" s="10" t="s">
        <v>538</v>
      </c>
      <c r="C416" s="10" t="s">
        <v>316</v>
      </c>
      <c r="D416"/>
      <c r="E416">
        <v>1</v>
      </c>
      <c r="F416" s="2">
        <v>636</v>
      </c>
    </row>
    <row r="417" spans="2:6" x14ac:dyDescent="0.4">
      <c r="C417" s="11" t="s">
        <v>5</v>
      </c>
      <c r="D417"/>
      <c r="E417">
        <v>1</v>
      </c>
      <c r="F417" s="2">
        <v>636</v>
      </c>
    </row>
    <row r="418" spans="2:6" x14ac:dyDescent="0.4">
      <c r="C418" s="39" t="s">
        <v>359</v>
      </c>
      <c r="D418" s="10" t="s">
        <v>539</v>
      </c>
      <c r="E418">
        <v>1</v>
      </c>
      <c r="F418" s="2">
        <v>636</v>
      </c>
    </row>
    <row r="419" spans="2:6" x14ac:dyDescent="0.4">
      <c r="B419" s="10" t="s">
        <v>540</v>
      </c>
      <c r="C419" s="10" t="s">
        <v>316</v>
      </c>
      <c r="D419"/>
      <c r="E419">
        <v>1</v>
      </c>
      <c r="F419" s="2">
        <v>0</v>
      </c>
    </row>
    <row r="420" spans="2:6" x14ac:dyDescent="0.4">
      <c r="C420" s="11" t="s">
        <v>4</v>
      </c>
      <c r="D420"/>
      <c r="E420">
        <v>1</v>
      </c>
      <c r="F420" s="2">
        <v>0</v>
      </c>
    </row>
    <row r="421" spans="2:6" x14ac:dyDescent="0.4">
      <c r="C421" s="39" t="s">
        <v>386</v>
      </c>
      <c r="D421" s="10" t="s">
        <v>361</v>
      </c>
      <c r="E421">
        <v>1</v>
      </c>
      <c r="F421" s="2">
        <v>0</v>
      </c>
    </row>
    <row r="422" spans="2:6" x14ac:dyDescent="0.4">
      <c r="B422" s="10" t="s">
        <v>541</v>
      </c>
      <c r="C422" s="10" t="s">
        <v>316</v>
      </c>
      <c r="D422"/>
      <c r="E422">
        <v>1</v>
      </c>
      <c r="F422" s="2">
        <v>465</v>
      </c>
    </row>
    <row r="423" spans="2:6" x14ac:dyDescent="0.4">
      <c r="C423" s="11" t="s">
        <v>4</v>
      </c>
      <c r="D423"/>
      <c r="E423">
        <v>1</v>
      </c>
      <c r="F423" s="2">
        <v>465</v>
      </c>
    </row>
    <row r="424" spans="2:6" x14ac:dyDescent="0.4">
      <c r="C424" s="39" t="s">
        <v>542</v>
      </c>
      <c r="D424" s="10" t="s">
        <v>322</v>
      </c>
      <c r="E424">
        <v>1</v>
      </c>
      <c r="F424" s="2">
        <v>465</v>
      </c>
    </row>
    <row r="425" spans="2:6" x14ac:dyDescent="0.4">
      <c r="B425" s="10" t="s">
        <v>543</v>
      </c>
      <c r="C425" s="10" t="s">
        <v>316</v>
      </c>
      <c r="D425"/>
      <c r="E425">
        <v>1</v>
      </c>
      <c r="F425" s="2">
        <v>0</v>
      </c>
    </row>
    <row r="426" spans="2:6" x14ac:dyDescent="0.4">
      <c r="C426" s="11" t="s">
        <v>5</v>
      </c>
      <c r="D426"/>
      <c r="E426">
        <v>1</v>
      </c>
      <c r="F426" s="2">
        <v>0</v>
      </c>
    </row>
    <row r="427" spans="2:6" x14ac:dyDescent="0.4">
      <c r="C427" s="39" t="s">
        <v>359</v>
      </c>
      <c r="D427" s="10" t="s">
        <v>539</v>
      </c>
      <c r="E427">
        <v>1</v>
      </c>
      <c r="F427" s="2">
        <v>0</v>
      </c>
    </row>
    <row r="428" spans="2:6" x14ac:dyDescent="0.4">
      <c r="B428" s="10" t="s">
        <v>544</v>
      </c>
      <c r="C428" s="10" t="s">
        <v>316</v>
      </c>
      <c r="D428"/>
      <c r="E428">
        <v>1</v>
      </c>
      <c r="F428" s="2">
        <v>500</v>
      </c>
    </row>
    <row r="429" spans="2:6" x14ac:dyDescent="0.4">
      <c r="C429" s="11" t="s">
        <v>5</v>
      </c>
      <c r="D429"/>
      <c r="E429">
        <v>1</v>
      </c>
      <c r="F429" s="2">
        <v>500</v>
      </c>
    </row>
    <row r="430" spans="2:6" x14ac:dyDescent="0.4">
      <c r="C430" s="39" t="s">
        <v>359</v>
      </c>
      <c r="D430" s="10" t="s">
        <v>318</v>
      </c>
      <c r="E430">
        <v>1</v>
      </c>
      <c r="F430" s="2">
        <v>500</v>
      </c>
    </row>
    <row r="431" spans="2:6" x14ac:dyDescent="0.4">
      <c r="B431" s="10" t="s">
        <v>545</v>
      </c>
      <c r="C431" s="10" t="s">
        <v>316</v>
      </c>
      <c r="D431"/>
      <c r="E431">
        <v>1</v>
      </c>
      <c r="F431" s="2">
        <v>177.62</v>
      </c>
    </row>
    <row r="432" spans="2:6" x14ac:dyDescent="0.4">
      <c r="C432" s="11" t="s">
        <v>4</v>
      </c>
      <c r="D432"/>
      <c r="E432">
        <v>1</v>
      </c>
      <c r="F432" s="2">
        <v>177.62</v>
      </c>
    </row>
    <row r="433" spans="2:6" x14ac:dyDescent="0.4">
      <c r="C433" s="39" t="s">
        <v>542</v>
      </c>
      <c r="D433" s="10" t="s">
        <v>322</v>
      </c>
      <c r="E433">
        <v>1</v>
      </c>
      <c r="F433" s="2">
        <v>177.62</v>
      </c>
    </row>
    <row r="434" spans="2:6" x14ac:dyDescent="0.4">
      <c r="B434" s="10" t="s">
        <v>546</v>
      </c>
      <c r="C434" s="10" t="s">
        <v>316</v>
      </c>
      <c r="D434"/>
      <c r="E434">
        <v>1</v>
      </c>
      <c r="F434" s="2">
        <v>179.97</v>
      </c>
    </row>
    <row r="435" spans="2:6" x14ac:dyDescent="0.4">
      <c r="C435" s="11" t="s">
        <v>4</v>
      </c>
      <c r="D435"/>
      <c r="E435">
        <v>1</v>
      </c>
      <c r="F435" s="2">
        <v>179.97</v>
      </c>
    </row>
    <row r="436" spans="2:6" x14ac:dyDescent="0.4">
      <c r="C436" s="39" t="s">
        <v>423</v>
      </c>
      <c r="D436" s="10" t="s">
        <v>322</v>
      </c>
      <c r="E436">
        <v>1</v>
      </c>
      <c r="F436" s="2">
        <v>179.97</v>
      </c>
    </row>
    <row r="437" spans="2:6" x14ac:dyDescent="0.4">
      <c r="B437" s="10" t="s">
        <v>547</v>
      </c>
      <c r="C437" s="10" t="s">
        <v>316</v>
      </c>
      <c r="D437"/>
      <c r="E437">
        <v>1</v>
      </c>
      <c r="F437" s="2">
        <v>1469.74</v>
      </c>
    </row>
    <row r="438" spans="2:6" x14ac:dyDescent="0.4">
      <c r="C438" s="11" t="s">
        <v>4</v>
      </c>
      <c r="D438"/>
      <c r="E438">
        <v>1</v>
      </c>
      <c r="F438" s="2">
        <v>1469.74</v>
      </c>
    </row>
    <row r="439" spans="2:6" x14ac:dyDescent="0.4">
      <c r="C439" s="39" t="s">
        <v>542</v>
      </c>
      <c r="D439" s="10" t="s">
        <v>322</v>
      </c>
      <c r="E439">
        <v>1</v>
      </c>
      <c r="F439" s="2">
        <v>1469.74</v>
      </c>
    </row>
    <row r="440" spans="2:6" x14ac:dyDescent="0.4">
      <c r="B440" s="10" t="s">
        <v>548</v>
      </c>
      <c r="C440" s="10" t="s">
        <v>316</v>
      </c>
      <c r="D440"/>
      <c r="E440">
        <v>1</v>
      </c>
      <c r="F440" s="2">
        <v>1280.49</v>
      </c>
    </row>
    <row r="441" spans="2:6" x14ac:dyDescent="0.4">
      <c r="C441" s="11" t="s">
        <v>4</v>
      </c>
      <c r="D441"/>
      <c r="E441">
        <v>1</v>
      </c>
      <c r="F441" s="2">
        <v>1280.49</v>
      </c>
    </row>
    <row r="442" spans="2:6" x14ac:dyDescent="0.4">
      <c r="C442" s="39" t="s">
        <v>549</v>
      </c>
      <c r="D442" s="10" t="s">
        <v>322</v>
      </c>
      <c r="E442">
        <v>1</v>
      </c>
      <c r="F442" s="2">
        <v>1280.49</v>
      </c>
    </row>
    <row r="443" spans="2:6" x14ac:dyDescent="0.4">
      <c r="B443" s="10" t="s">
        <v>550</v>
      </c>
      <c r="C443" s="10" t="s">
        <v>316</v>
      </c>
      <c r="D443"/>
      <c r="E443">
        <v>1</v>
      </c>
      <c r="F443" s="2">
        <v>2289.5</v>
      </c>
    </row>
    <row r="444" spans="2:6" x14ac:dyDescent="0.4">
      <c r="C444" s="11" t="s">
        <v>5</v>
      </c>
      <c r="D444"/>
      <c r="E444">
        <v>1</v>
      </c>
      <c r="F444" s="2">
        <v>2289.5</v>
      </c>
    </row>
    <row r="445" spans="2:6" x14ac:dyDescent="0.4">
      <c r="C445" s="39" t="s">
        <v>359</v>
      </c>
      <c r="D445" s="10" t="s">
        <v>361</v>
      </c>
      <c r="E445">
        <v>1</v>
      </c>
      <c r="F445" s="2">
        <v>2289.5</v>
      </c>
    </row>
    <row r="446" spans="2:6" x14ac:dyDescent="0.4">
      <c r="B446" s="10" t="s">
        <v>551</v>
      </c>
      <c r="C446" s="10" t="s">
        <v>316</v>
      </c>
      <c r="D446"/>
      <c r="E446">
        <v>1</v>
      </c>
      <c r="F446" s="2">
        <v>559.57000000000005</v>
      </c>
    </row>
    <row r="447" spans="2:6" x14ac:dyDescent="0.4">
      <c r="C447" s="11" t="s">
        <v>4</v>
      </c>
      <c r="D447"/>
      <c r="E447">
        <v>1</v>
      </c>
      <c r="F447" s="2">
        <v>559.57000000000005</v>
      </c>
    </row>
    <row r="448" spans="2:6" x14ac:dyDescent="0.4">
      <c r="C448" s="39" t="s">
        <v>552</v>
      </c>
      <c r="D448" s="10" t="s">
        <v>322</v>
      </c>
      <c r="E448">
        <v>1</v>
      </c>
      <c r="F448" s="2">
        <v>559.57000000000005</v>
      </c>
    </row>
    <row r="449" spans="1:6" x14ac:dyDescent="0.4">
      <c r="B449" s="10" t="s">
        <v>553</v>
      </c>
      <c r="C449" s="10" t="s">
        <v>316</v>
      </c>
      <c r="D449"/>
      <c r="E449">
        <v>1</v>
      </c>
      <c r="F449" s="2">
        <v>0</v>
      </c>
    </row>
    <row r="450" spans="1:6" x14ac:dyDescent="0.4">
      <c r="C450" s="11" t="s">
        <v>5</v>
      </c>
      <c r="D450"/>
      <c r="E450">
        <v>1</v>
      </c>
      <c r="F450" s="2">
        <v>0</v>
      </c>
    </row>
    <row r="451" spans="1:6" x14ac:dyDescent="0.4">
      <c r="C451" s="39" t="s">
        <v>359</v>
      </c>
      <c r="D451" s="10" t="s">
        <v>361</v>
      </c>
      <c r="E451">
        <v>1</v>
      </c>
      <c r="F451" s="2">
        <v>0</v>
      </c>
    </row>
    <row r="452" spans="1:6" x14ac:dyDescent="0.4">
      <c r="B452" s="10" t="s">
        <v>554</v>
      </c>
      <c r="C452" s="10" t="s">
        <v>316</v>
      </c>
      <c r="D452"/>
      <c r="E452">
        <v>1</v>
      </c>
      <c r="F452" s="2">
        <v>2869.58</v>
      </c>
    </row>
    <row r="453" spans="1:6" x14ac:dyDescent="0.4">
      <c r="C453" s="11" t="s">
        <v>4</v>
      </c>
      <c r="D453"/>
      <c r="E453">
        <v>1</v>
      </c>
      <c r="F453" s="2">
        <v>2869.58</v>
      </c>
    </row>
    <row r="454" spans="1:6" x14ac:dyDescent="0.4">
      <c r="C454" s="39" t="s">
        <v>555</v>
      </c>
      <c r="D454" s="10" t="s">
        <v>322</v>
      </c>
      <c r="E454">
        <v>1</v>
      </c>
      <c r="F454" s="2">
        <v>2869.58</v>
      </c>
    </row>
    <row r="455" spans="1:6" x14ac:dyDescent="0.4">
      <c r="B455" s="10" t="s">
        <v>556</v>
      </c>
      <c r="C455" s="10" t="s">
        <v>316</v>
      </c>
      <c r="D455"/>
      <c r="E455">
        <v>1</v>
      </c>
      <c r="F455" s="2">
        <v>4307.7</v>
      </c>
    </row>
    <row r="456" spans="1:6" x14ac:dyDescent="0.4">
      <c r="C456" s="11" t="s">
        <v>4</v>
      </c>
      <c r="D456"/>
      <c r="E456">
        <v>1</v>
      </c>
      <c r="F456" s="2">
        <v>4307.7</v>
      </c>
    </row>
    <row r="457" spans="1:6" x14ac:dyDescent="0.4">
      <c r="C457" s="39" t="s">
        <v>557</v>
      </c>
      <c r="D457" s="10" t="s">
        <v>329</v>
      </c>
      <c r="E457">
        <v>1</v>
      </c>
      <c r="F457" s="2">
        <v>4307.7</v>
      </c>
    </row>
    <row r="458" spans="1:6" x14ac:dyDescent="0.4">
      <c r="B458" s="10" t="s">
        <v>558</v>
      </c>
      <c r="C458" s="10" t="s">
        <v>316</v>
      </c>
      <c r="D458"/>
      <c r="E458">
        <v>1</v>
      </c>
      <c r="F458" s="2">
        <v>0</v>
      </c>
    </row>
    <row r="459" spans="1:6" x14ac:dyDescent="0.4">
      <c r="C459" s="11" t="s">
        <v>5</v>
      </c>
      <c r="D459"/>
      <c r="E459">
        <v>1</v>
      </c>
      <c r="F459" s="2">
        <v>0</v>
      </c>
    </row>
    <row r="460" spans="1:6" x14ac:dyDescent="0.4">
      <c r="C460" s="39" t="s">
        <v>359</v>
      </c>
      <c r="D460" s="10" t="s">
        <v>322</v>
      </c>
      <c r="E460">
        <v>1</v>
      </c>
      <c r="F460" s="2">
        <v>0</v>
      </c>
    </row>
    <row r="461" spans="1:6" x14ac:dyDescent="0.4">
      <c r="B461" s="10" t="s">
        <v>559</v>
      </c>
      <c r="C461" s="10" t="s">
        <v>316</v>
      </c>
      <c r="D461"/>
      <c r="E461">
        <v>1</v>
      </c>
      <c r="F461" s="2">
        <v>9037.56</v>
      </c>
    </row>
    <row r="462" spans="1:6" x14ac:dyDescent="0.4">
      <c r="C462" s="11" t="s">
        <v>5</v>
      </c>
      <c r="D462"/>
      <c r="E462">
        <v>1</v>
      </c>
      <c r="F462" s="2">
        <v>9037.56</v>
      </c>
    </row>
    <row r="463" spans="1:6" x14ac:dyDescent="0.4">
      <c r="C463" s="39" t="s">
        <v>359</v>
      </c>
      <c r="D463" s="10" t="s">
        <v>395</v>
      </c>
      <c r="E463">
        <v>1</v>
      </c>
      <c r="F463" s="2">
        <v>9037.56</v>
      </c>
    </row>
    <row r="464" spans="1:6" x14ac:dyDescent="0.4">
      <c r="A464" s="10" t="s">
        <v>560</v>
      </c>
      <c r="B464" s="10" t="s">
        <v>368</v>
      </c>
      <c r="C464" s="10" t="s">
        <v>316</v>
      </c>
      <c r="D464"/>
      <c r="E464">
        <v>1</v>
      </c>
      <c r="F464" s="2">
        <v>5000</v>
      </c>
    </row>
    <row r="465" spans="1:6" x14ac:dyDescent="0.4">
      <c r="C465" s="11" t="s">
        <v>10</v>
      </c>
      <c r="D465"/>
      <c r="E465">
        <v>1</v>
      </c>
      <c r="F465" s="2">
        <v>5000</v>
      </c>
    </row>
    <row r="466" spans="1:6" x14ac:dyDescent="0.4">
      <c r="C466" s="39" t="s">
        <v>561</v>
      </c>
      <c r="D466" s="10" t="s">
        <v>539</v>
      </c>
      <c r="E466">
        <v>1</v>
      </c>
      <c r="F466" s="2">
        <v>5000</v>
      </c>
    </row>
    <row r="467" spans="1:6" x14ac:dyDescent="0.4">
      <c r="B467" s="10" t="s">
        <v>562</v>
      </c>
      <c r="C467" s="10" t="s">
        <v>316</v>
      </c>
      <c r="D467"/>
      <c r="E467">
        <v>1</v>
      </c>
      <c r="F467" s="2">
        <v>7000</v>
      </c>
    </row>
    <row r="468" spans="1:6" x14ac:dyDescent="0.4">
      <c r="C468" s="11" t="s">
        <v>5</v>
      </c>
      <c r="D468"/>
      <c r="E468">
        <v>1</v>
      </c>
      <c r="F468" s="2">
        <v>7000</v>
      </c>
    </row>
    <row r="469" spans="1:6" x14ac:dyDescent="0.4">
      <c r="C469" s="39" t="s">
        <v>483</v>
      </c>
      <c r="D469" s="10" t="s">
        <v>361</v>
      </c>
      <c r="E469">
        <v>1</v>
      </c>
      <c r="F469" s="2">
        <v>7000</v>
      </c>
    </row>
    <row r="470" spans="1:6" x14ac:dyDescent="0.4">
      <c r="B470" s="10" t="s">
        <v>434</v>
      </c>
      <c r="C470" s="10" t="s">
        <v>316</v>
      </c>
      <c r="D470"/>
      <c r="E470">
        <v>1</v>
      </c>
      <c r="F470" s="2">
        <v>250</v>
      </c>
    </row>
    <row r="471" spans="1:6" x14ac:dyDescent="0.4">
      <c r="C471" s="11" t="s">
        <v>6</v>
      </c>
      <c r="D471"/>
      <c r="E471">
        <v>1</v>
      </c>
      <c r="F471" s="2">
        <v>250</v>
      </c>
    </row>
    <row r="472" spans="1:6" x14ac:dyDescent="0.4">
      <c r="C472" s="39" t="s">
        <v>415</v>
      </c>
      <c r="D472" s="10" t="s">
        <v>361</v>
      </c>
      <c r="E472">
        <v>1</v>
      </c>
      <c r="F472" s="2">
        <v>250</v>
      </c>
    </row>
    <row r="473" spans="1:6" x14ac:dyDescent="0.4">
      <c r="B473" s="10" t="s">
        <v>475</v>
      </c>
      <c r="C473" s="10" t="s">
        <v>316</v>
      </c>
      <c r="D473"/>
      <c r="E473">
        <v>1</v>
      </c>
      <c r="F473" s="2">
        <v>76.510000000000005</v>
      </c>
    </row>
    <row r="474" spans="1:6" x14ac:dyDescent="0.4">
      <c r="C474" s="11" t="s">
        <v>2</v>
      </c>
      <c r="D474"/>
      <c r="E474">
        <v>1</v>
      </c>
      <c r="F474" s="2">
        <v>76.510000000000005</v>
      </c>
    </row>
    <row r="475" spans="1:6" x14ac:dyDescent="0.4">
      <c r="C475" s="39" t="s">
        <v>500</v>
      </c>
      <c r="D475" s="10" t="s">
        <v>329</v>
      </c>
      <c r="E475">
        <v>1</v>
      </c>
      <c r="F475" s="2">
        <v>76.510000000000005</v>
      </c>
    </row>
    <row r="476" spans="1:6" x14ac:dyDescent="0.4">
      <c r="A476" s="10" t="s">
        <v>563</v>
      </c>
      <c r="B476" s="10" t="s">
        <v>564</v>
      </c>
      <c r="C476" s="10" t="s">
        <v>316</v>
      </c>
      <c r="D476"/>
      <c r="E476">
        <v>1</v>
      </c>
      <c r="F476" s="2">
        <v>1365.51</v>
      </c>
    </row>
    <row r="477" spans="1:6" x14ac:dyDescent="0.4">
      <c r="C477" s="11" t="s">
        <v>1</v>
      </c>
      <c r="D477"/>
      <c r="E477">
        <v>1</v>
      </c>
      <c r="F477" s="2">
        <v>1365.51</v>
      </c>
    </row>
    <row r="478" spans="1:6" x14ac:dyDescent="0.4">
      <c r="C478" s="39" t="s">
        <v>373</v>
      </c>
      <c r="D478" s="10" t="s">
        <v>322</v>
      </c>
      <c r="E478">
        <v>1</v>
      </c>
      <c r="F478" s="2">
        <v>1365.51</v>
      </c>
    </row>
    <row r="479" spans="1:6" x14ac:dyDescent="0.4">
      <c r="A479" s="10" t="s">
        <v>565</v>
      </c>
      <c r="B479" s="10" t="s">
        <v>320</v>
      </c>
      <c r="C479" s="10" t="s">
        <v>316</v>
      </c>
      <c r="D479"/>
      <c r="E479">
        <v>1</v>
      </c>
      <c r="F479" s="2">
        <v>400</v>
      </c>
    </row>
    <row r="480" spans="1:6" x14ac:dyDescent="0.4">
      <c r="C480" s="11" t="s">
        <v>1</v>
      </c>
      <c r="D480"/>
      <c r="E480">
        <v>1</v>
      </c>
      <c r="F480" s="2">
        <v>400</v>
      </c>
    </row>
    <row r="481" spans="1:6" x14ac:dyDescent="0.4">
      <c r="C481" s="39" t="s">
        <v>392</v>
      </c>
      <c r="D481" s="10" t="s">
        <v>322</v>
      </c>
      <c r="E481">
        <v>1</v>
      </c>
      <c r="F481" s="2">
        <v>400</v>
      </c>
    </row>
    <row r="482" spans="1:6" x14ac:dyDescent="0.4">
      <c r="B482" s="10" t="s">
        <v>566</v>
      </c>
      <c r="C482" s="10" t="s">
        <v>316</v>
      </c>
      <c r="D482"/>
      <c r="E482">
        <v>1</v>
      </c>
      <c r="F482" s="2">
        <v>12164.15</v>
      </c>
    </row>
    <row r="483" spans="1:6" x14ac:dyDescent="0.4">
      <c r="C483" s="11" t="s">
        <v>5</v>
      </c>
      <c r="D483"/>
      <c r="E483">
        <v>1</v>
      </c>
      <c r="F483" s="2">
        <v>12164.15</v>
      </c>
    </row>
    <row r="484" spans="1:6" x14ac:dyDescent="0.4">
      <c r="C484" s="39" t="s">
        <v>359</v>
      </c>
      <c r="D484" s="10" t="s">
        <v>395</v>
      </c>
      <c r="E484">
        <v>1</v>
      </c>
      <c r="F484" s="2">
        <v>12164.15</v>
      </c>
    </row>
    <row r="485" spans="1:6" x14ac:dyDescent="0.4">
      <c r="B485" s="10" t="s">
        <v>567</v>
      </c>
      <c r="C485" s="10" t="s">
        <v>316</v>
      </c>
      <c r="D485"/>
      <c r="E485">
        <v>1</v>
      </c>
      <c r="F485" s="2">
        <v>0</v>
      </c>
    </row>
    <row r="486" spans="1:6" x14ac:dyDescent="0.4">
      <c r="C486" s="11" t="s">
        <v>1</v>
      </c>
      <c r="D486"/>
      <c r="E486">
        <v>1</v>
      </c>
      <c r="F486" s="2">
        <v>0</v>
      </c>
    </row>
    <row r="487" spans="1:6" x14ac:dyDescent="0.4">
      <c r="C487" s="39" t="s">
        <v>373</v>
      </c>
      <c r="D487" s="10" t="s">
        <v>395</v>
      </c>
      <c r="E487">
        <v>1</v>
      </c>
      <c r="F487" s="2">
        <v>0</v>
      </c>
    </row>
    <row r="488" spans="1:6" x14ac:dyDescent="0.4">
      <c r="A488" s="10" t="s">
        <v>568</v>
      </c>
      <c r="B488" s="10" t="s">
        <v>368</v>
      </c>
      <c r="C488" s="10" t="s">
        <v>316</v>
      </c>
      <c r="D488"/>
      <c r="E488">
        <v>1</v>
      </c>
      <c r="F488" s="2">
        <v>3000</v>
      </c>
    </row>
    <row r="489" spans="1:6" x14ac:dyDescent="0.4">
      <c r="C489" s="11" t="s">
        <v>6</v>
      </c>
      <c r="D489"/>
      <c r="E489">
        <v>1</v>
      </c>
      <c r="F489" s="2">
        <v>3000</v>
      </c>
    </row>
    <row r="490" spans="1:6" x14ac:dyDescent="0.4">
      <c r="C490" s="39" t="s">
        <v>569</v>
      </c>
      <c r="D490" s="10" t="s">
        <v>318</v>
      </c>
      <c r="E490">
        <v>1</v>
      </c>
      <c r="F490" s="2">
        <v>3000</v>
      </c>
    </row>
    <row r="491" spans="1:6" x14ac:dyDescent="0.4">
      <c r="B491" s="10" t="s">
        <v>390</v>
      </c>
      <c r="C491" s="10" t="s">
        <v>316</v>
      </c>
      <c r="D491"/>
      <c r="E491">
        <v>1</v>
      </c>
      <c r="F491" s="2">
        <v>695</v>
      </c>
    </row>
    <row r="492" spans="1:6" x14ac:dyDescent="0.4">
      <c r="C492" s="11" t="s">
        <v>3</v>
      </c>
      <c r="D492"/>
      <c r="E492">
        <v>1</v>
      </c>
      <c r="F492" s="2">
        <v>695</v>
      </c>
    </row>
    <row r="493" spans="1:6" x14ac:dyDescent="0.4">
      <c r="C493" s="39" t="s">
        <v>343</v>
      </c>
      <c r="D493" s="10" t="s">
        <v>329</v>
      </c>
      <c r="E493">
        <v>1</v>
      </c>
      <c r="F493" s="2">
        <v>695</v>
      </c>
    </row>
    <row r="494" spans="1:6" x14ac:dyDescent="0.4">
      <c r="B494" s="10" t="s">
        <v>570</v>
      </c>
      <c r="C494" s="10" t="s">
        <v>316</v>
      </c>
      <c r="D494"/>
      <c r="E494">
        <v>1</v>
      </c>
      <c r="F494" s="2">
        <v>825</v>
      </c>
    </row>
    <row r="495" spans="1:6" x14ac:dyDescent="0.4">
      <c r="C495" s="11" t="s">
        <v>2</v>
      </c>
      <c r="D495"/>
      <c r="E495">
        <v>1</v>
      </c>
      <c r="F495" s="2">
        <v>825</v>
      </c>
    </row>
    <row r="496" spans="1:6" x14ac:dyDescent="0.4">
      <c r="C496" s="39" t="s">
        <v>489</v>
      </c>
      <c r="D496" s="10" t="s">
        <v>322</v>
      </c>
      <c r="E496">
        <v>1</v>
      </c>
      <c r="F496" s="2">
        <v>825</v>
      </c>
    </row>
    <row r="497" spans="1:6" x14ac:dyDescent="0.4">
      <c r="B497" s="10" t="s">
        <v>571</v>
      </c>
      <c r="C497" s="10" t="s">
        <v>316</v>
      </c>
      <c r="D497"/>
      <c r="E497">
        <v>1</v>
      </c>
      <c r="F497" s="2">
        <v>1775.37</v>
      </c>
    </row>
    <row r="498" spans="1:6" x14ac:dyDescent="0.4">
      <c r="C498" s="11" t="s">
        <v>4</v>
      </c>
      <c r="D498"/>
      <c r="E498">
        <v>1</v>
      </c>
      <c r="F498" s="2">
        <v>1775.37</v>
      </c>
    </row>
    <row r="499" spans="1:6" x14ac:dyDescent="0.4">
      <c r="C499" s="39" t="s">
        <v>386</v>
      </c>
      <c r="D499" s="10" t="s">
        <v>329</v>
      </c>
      <c r="E499">
        <v>1</v>
      </c>
      <c r="F499" s="2">
        <v>1775.37</v>
      </c>
    </row>
    <row r="500" spans="1:6" x14ac:dyDescent="0.4">
      <c r="A500" s="10" t="s">
        <v>197</v>
      </c>
      <c r="B500" s="10" t="s">
        <v>572</v>
      </c>
      <c r="C500" s="10" t="s">
        <v>316</v>
      </c>
      <c r="D500"/>
      <c r="E500">
        <v>1</v>
      </c>
      <c r="F500" s="2">
        <v>5000</v>
      </c>
    </row>
    <row r="501" spans="1:6" x14ac:dyDescent="0.4">
      <c r="C501" s="11" t="s">
        <v>12</v>
      </c>
      <c r="D501"/>
      <c r="E501">
        <v>1</v>
      </c>
      <c r="F501" s="2">
        <v>5000</v>
      </c>
    </row>
    <row r="502" spans="1:6" x14ac:dyDescent="0.4">
      <c r="C502" s="39" t="s">
        <v>398</v>
      </c>
      <c r="D502" s="10" t="s">
        <v>573</v>
      </c>
      <c r="E502">
        <v>1</v>
      </c>
      <c r="F502" s="2">
        <v>5000</v>
      </c>
    </row>
    <row r="503" spans="1:6" x14ac:dyDescent="0.4">
      <c r="B503" s="10" t="s">
        <v>574</v>
      </c>
      <c r="C503" s="10" t="s">
        <v>316</v>
      </c>
      <c r="D503"/>
      <c r="E503">
        <v>1</v>
      </c>
      <c r="F503" s="2">
        <v>10000</v>
      </c>
    </row>
    <row r="504" spans="1:6" x14ac:dyDescent="0.4">
      <c r="C504" s="11" t="s">
        <v>12</v>
      </c>
      <c r="D504"/>
      <c r="E504">
        <v>1</v>
      </c>
      <c r="F504" s="2">
        <v>10000</v>
      </c>
    </row>
    <row r="505" spans="1:6" x14ac:dyDescent="0.4">
      <c r="C505" s="39" t="s">
        <v>398</v>
      </c>
      <c r="D505" s="10" t="s">
        <v>573</v>
      </c>
      <c r="E505">
        <v>1</v>
      </c>
      <c r="F505" s="2">
        <v>10000</v>
      </c>
    </row>
    <row r="506" spans="1:6" x14ac:dyDescent="0.4">
      <c r="B506" s="10" t="s">
        <v>575</v>
      </c>
      <c r="C506" s="10" t="s">
        <v>316</v>
      </c>
      <c r="D506"/>
      <c r="E506">
        <v>1</v>
      </c>
      <c r="F506" s="2">
        <v>770.99</v>
      </c>
    </row>
    <row r="507" spans="1:6" x14ac:dyDescent="0.4">
      <c r="C507" s="11" t="s">
        <v>2</v>
      </c>
      <c r="D507"/>
      <c r="E507">
        <v>1</v>
      </c>
      <c r="F507" s="2">
        <v>770.99</v>
      </c>
    </row>
    <row r="508" spans="1:6" x14ac:dyDescent="0.4">
      <c r="C508" s="39" t="s">
        <v>418</v>
      </c>
      <c r="D508" s="10" t="s">
        <v>322</v>
      </c>
      <c r="E508">
        <v>1</v>
      </c>
      <c r="F508" s="2">
        <v>770.99</v>
      </c>
    </row>
    <row r="509" spans="1:6" x14ac:dyDescent="0.4">
      <c r="B509" s="10" t="s">
        <v>576</v>
      </c>
      <c r="C509" s="10" t="s">
        <v>316</v>
      </c>
      <c r="D509"/>
      <c r="E509">
        <v>1</v>
      </c>
      <c r="F509" s="2">
        <v>186.99</v>
      </c>
    </row>
    <row r="510" spans="1:6" x14ac:dyDescent="0.4">
      <c r="C510" s="11" t="s">
        <v>1</v>
      </c>
      <c r="D510"/>
      <c r="E510">
        <v>1</v>
      </c>
      <c r="F510" s="2">
        <v>186.99</v>
      </c>
    </row>
    <row r="511" spans="1:6" x14ac:dyDescent="0.4">
      <c r="C511" s="39" t="s">
        <v>468</v>
      </c>
      <c r="D511" s="10" t="s">
        <v>322</v>
      </c>
      <c r="E511">
        <v>1</v>
      </c>
      <c r="F511" s="2">
        <v>186.99</v>
      </c>
    </row>
    <row r="512" spans="1:6" x14ac:dyDescent="0.4">
      <c r="B512" s="10" t="s">
        <v>577</v>
      </c>
      <c r="C512" s="10" t="s">
        <v>316</v>
      </c>
      <c r="D512"/>
      <c r="E512">
        <v>1</v>
      </c>
      <c r="F512" s="2">
        <v>4650</v>
      </c>
    </row>
    <row r="513" spans="2:6" x14ac:dyDescent="0.4">
      <c r="C513" s="11" t="s">
        <v>12</v>
      </c>
      <c r="D513"/>
      <c r="E513">
        <v>1</v>
      </c>
      <c r="F513" s="2">
        <v>4650</v>
      </c>
    </row>
    <row r="514" spans="2:6" x14ac:dyDescent="0.4">
      <c r="C514" s="39" t="s">
        <v>398</v>
      </c>
      <c r="D514" s="10" t="s">
        <v>322</v>
      </c>
      <c r="E514">
        <v>1</v>
      </c>
      <c r="F514" s="2">
        <v>4650</v>
      </c>
    </row>
    <row r="515" spans="2:6" x14ac:dyDescent="0.4">
      <c r="B515" s="10" t="s">
        <v>578</v>
      </c>
      <c r="C515" s="10" t="s">
        <v>316</v>
      </c>
      <c r="D515"/>
      <c r="E515">
        <v>1</v>
      </c>
      <c r="F515" s="2">
        <v>200</v>
      </c>
    </row>
    <row r="516" spans="2:6" x14ac:dyDescent="0.4">
      <c r="C516" s="11" t="s">
        <v>12</v>
      </c>
      <c r="D516"/>
      <c r="E516">
        <v>1</v>
      </c>
      <c r="F516" s="2">
        <v>200</v>
      </c>
    </row>
    <row r="517" spans="2:6" x14ac:dyDescent="0.4">
      <c r="C517" s="39" t="s">
        <v>398</v>
      </c>
      <c r="D517" s="10" t="s">
        <v>361</v>
      </c>
      <c r="E517">
        <v>1</v>
      </c>
      <c r="F517" s="2">
        <v>200</v>
      </c>
    </row>
    <row r="518" spans="2:6" x14ac:dyDescent="0.4">
      <c r="B518" s="10" t="s">
        <v>579</v>
      </c>
      <c r="C518" s="10" t="s">
        <v>316</v>
      </c>
      <c r="D518"/>
      <c r="E518">
        <v>1</v>
      </c>
      <c r="F518" s="2">
        <v>399.98</v>
      </c>
    </row>
    <row r="519" spans="2:6" x14ac:dyDescent="0.4">
      <c r="C519" s="11" t="s">
        <v>3</v>
      </c>
      <c r="D519"/>
      <c r="E519">
        <v>1</v>
      </c>
      <c r="F519" s="2">
        <v>399.98</v>
      </c>
    </row>
    <row r="520" spans="2:6" x14ac:dyDescent="0.4">
      <c r="C520" s="39" t="s">
        <v>520</v>
      </c>
      <c r="D520" s="10" t="s">
        <v>322</v>
      </c>
      <c r="E520">
        <v>1</v>
      </c>
      <c r="F520" s="2">
        <v>399.98</v>
      </c>
    </row>
    <row r="521" spans="2:6" x14ac:dyDescent="0.4">
      <c r="B521" s="10" t="s">
        <v>580</v>
      </c>
      <c r="C521" s="10" t="s">
        <v>316</v>
      </c>
      <c r="D521"/>
      <c r="E521">
        <v>1</v>
      </c>
      <c r="F521" s="2">
        <v>2345.91</v>
      </c>
    </row>
    <row r="522" spans="2:6" x14ac:dyDescent="0.4">
      <c r="C522" s="11" t="s">
        <v>1</v>
      </c>
      <c r="D522"/>
      <c r="E522">
        <v>1</v>
      </c>
      <c r="F522" s="2">
        <v>2345.91</v>
      </c>
    </row>
    <row r="523" spans="2:6" x14ac:dyDescent="0.4">
      <c r="C523" s="39" t="s">
        <v>454</v>
      </c>
      <c r="D523" s="10" t="s">
        <v>322</v>
      </c>
      <c r="E523">
        <v>1</v>
      </c>
      <c r="F523" s="2">
        <v>2345.91</v>
      </c>
    </row>
    <row r="524" spans="2:6" x14ac:dyDescent="0.4">
      <c r="B524" s="10" t="s">
        <v>581</v>
      </c>
      <c r="C524" s="10" t="s">
        <v>316</v>
      </c>
      <c r="D524"/>
      <c r="E524">
        <v>1</v>
      </c>
      <c r="F524" s="2">
        <v>549.95000000000005</v>
      </c>
    </row>
    <row r="525" spans="2:6" x14ac:dyDescent="0.4">
      <c r="C525" s="11" t="s">
        <v>1</v>
      </c>
      <c r="D525"/>
      <c r="E525">
        <v>1</v>
      </c>
      <c r="F525" s="2">
        <v>549.95000000000005</v>
      </c>
    </row>
    <row r="526" spans="2:6" x14ac:dyDescent="0.4">
      <c r="C526" s="39" t="s">
        <v>582</v>
      </c>
      <c r="D526" s="10" t="s">
        <v>322</v>
      </c>
      <c r="E526">
        <v>1</v>
      </c>
      <c r="F526" s="2">
        <v>549.95000000000005</v>
      </c>
    </row>
    <row r="527" spans="2:6" x14ac:dyDescent="0.4">
      <c r="B527" s="10" t="s">
        <v>583</v>
      </c>
      <c r="C527" s="10" t="s">
        <v>316</v>
      </c>
      <c r="D527"/>
      <c r="E527">
        <v>1</v>
      </c>
      <c r="F527" s="2">
        <v>1735.91</v>
      </c>
    </row>
    <row r="528" spans="2:6" x14ac:dyDescent="0.4">
      <c r="C528" s="11" t="s">
        <v>2</v>
      </c>
      <c r="D528"/>
      <c r="E528">
        <v>1</v>
      </c>
      <c r="F528" s="2">
        <v>1735.91</v>
      </c>
    </row>
    <row r="529" spans="2:6" x14ac:dyDescent="0.4">
      <c r="C529" s="39" t="s">
        <v>328</v>
      </c>
      <c r="D529" s="10" t="s">
        <v>322</v>
      </c>
      <c r="E529">
        <v>1</v>
      </c>
      <c r="F529" s="2">
        <v>1735.91</v>
      </c>
    </row>
    <row r="530" spans="2:6" x14ac:dyDescent="0.4">
      <c r="B530" s="10" t="s">
        <v>584</v>
      </c>
      <c r="C530" s="10" t="s">
        <v>316</v>
      </c>
      <c r="D530"/>
      <c r="E530">
        <v>1</v>
      </c>
      <c r="F530" s="2">
        <v>359.99</v>
      </c>
    </row>
    <row r="531" spans="2:6" x14ac:dyDescent="0.4">
      <c r="C531" s="11" t="s">
        <v>2</v>
      </c>
      <c r="D531"/>
      <c r="E531">
        <v>1</v>
      </c>
      <c r="F531" s="2">
        <v>359.99</v>
      </c>
    </row>
    <row r="532" spans="2:6" x14ac:dyDescent="0.4">
      <c r="C532" s="39" t="s">
        <v>585</v>
      </c>
      <c r="D532" s="10" t="s">
        <v>322</v>
      </c>
      <c r="E532">
        <v>1</v>
      </c>
      <c r="F532" s="2">
        <v>359.99</v>
      </c>
    </row>
    <row r="533" spans="2:6" x14ac:dyDescent="0.4">
      <c r="B533" s="10" t="s">
        <v>586</v>
      </c>
      <c r="C533" s="10" t="s">
        <v>316</v>
      </c>
      <c r="D533"/>
      <c r="E533">
        <v>1</v>
      </c>
      <c r="F533" s="2">
        <v>41.95</v>
      </c>
    </row>
    <row r="534" spans="2:6" x14ac:dyDescent="0.4">
      <c r="C534" s="11" t="s">
        <v>2</v>
      </c>
      <c r="D534"/>
      <c r="E534">
        <v>1</v>
      </c>
      <c r="F534" s="2">
        <v>41.95</v>
      </c>
    </row>
    <row r="535" spans="2:6" x14ac:dyDescent="0.4">
      <c r="C535" s="39" t="s">
        <v>418</v>
      </c>
      <c r="D535" s="10" t="s">
        <v>322</v>
      </c>
      <c r="E535">
        <v>1</v>
      </c>
      <c r="F535" s="2">
        <v>41.95</v>
      </c>
    </row>
    <row r="536" spans="2:6" x14ac:dyDescent="0.4">
      <c r="B536" s="10" t="s">
        <v>587</v>
      </c>
      <c r="C536" s="10" t="s">
        <v>316</v>
      </c>
      <c r="D536"/>
      <c r="E536">
        <v>1</v>
      </c>
      <c r="F536" s="2">
        <v>97.35</v>
      </c>
    </row>
    <row r="537" spans="2:6" x14ac:dyDescent="0.4">
      <c r="C537" s="11" t="s">
        <v>2</v>
      </c>
      <c r="D537"/>
      <c r="E537">
        <v>1</v>
      </c>
      <c r="F537" s="2">
        <v>97.35</v>
      </c>
    </row>
    <row r="538" spans="2:6" x14ac:dyDescent="0.4">
      <c r="C538" s="39" t="s">
        <v>328</v>
      </c>
      <c r="D538" s="10" t="s">
        <v>322</v>
      </c>
      <c r="E538">
        <v>1</v>
      </c>
      <c r="F538" s="2">
        <v>97.35</v>
      </c>
    </row>
    <row r="539" spans="2:6" x14ac:dyDescent="0.4">
      <c r="B539" s="10" t="s">
        <v>588</v>
      </c>
      <c r="C539" s="10" t="s">
        <v>316</v>
      </c>
      <c r="D539"/>
      <c r="E539">
        <v>1</v>
      </c>
      <c r="F539" s="2">
        <v>2345.91</v>
      </c>
    </row>
    <row r="540" spans="2:6" x14ac:dyDescent="0.4">
      <c r="C540" s="11" t="s">
        <v>3</v>
      </c>
      <c r="D540"/>
      <c r="E540">
        <v>1</v>
      </c>
      <c r="F540" s="2">
        <v>2345.91</v>
      </c>
    </row>
    <row r="541" spans="2:6" x14ac:dyDescent="0.4">
      <c r="C541" s="39" t="s">
        <v>429</v>
      </c>
      <c r="D541" s="10" t="s">
        <v>322</v>
      </c>
      <c r="E541">
        <v>1</v>
      </c>
      <c r="F541" s="2">
        <v>2345.91</v>
      </c>
    </row>
    <row r="542" spans="2:6" x14ac:dyDescent="0.4">
      <c r="B542" s="10" t="s">
        <v>589</v>
      </c>
      <c r="C542" s="10" t="s">
        <v>316</v>
      </c>
      <c r="D542"/>
      <c r="E542">
        <v>1</v>
      </c>
      <c r="F542" s="2">
        <v>2400.91</v>
      </c>
    </row>
    <row r="543" spans="2:6" x14ac:dyDescent="0.4">
      <c r="C543" s="11" t="s">
        <v>4</v>
      </c>
      <c r="D543"/>
      <c r="E543">
        <v>1</v>
      </c>
      <c r="F543" s="2">
        <v>2400.91</v>
      </c>
    </row>
    <row r="544" spans="2:6" x14ac:dyDescent="0.4">
      <c r="C544" s="39" t="s">
        <v>533</v>
      </c>
      <c r="D544" s="10" t="s">
        <v>395</v>
      </c>
      <c r="E544">
        <v>1</v>
      </c>
      <c r="F544" s="2">
        <v>2400.91</v>
      </c>
    </row>
    <row r="545" spans="1:6" x14ac:dyDescent="0.4">
      <c r="B545" s="10" t="s">
        <v>590</v>
      </c>
      <c r="C545" s="10" t="s">
        <v>316</v>
      </c>
      <c r="D545"/>
      <c r="E545">
        <v>1</v>
      </c>
      <c r="F545" s="2">
        <v>1557.99</v>
      </c>
    </row>
    <row r="546" spans="1:6" x14ac:dyDescent="0.4">
      <c r="C546" s="11" t="s">
        <v>4</v>
      </c>
      <c r="D546"/>
      <c r="E546">
        <v>1</v>
      </c>
      <c r="F546" s="2">
        <v>1557.99</v>
      </c>
    </row>
    <row r="547" spans="1:6" x14ac:dyDescent="0.4">
      <c r="C547" s="39" t="s">
        <v>537</v>
      </c>
      <c r="D547" s="10" t="s">
        <v>322</v>
      </c>
      <c r="E547">
        <v>1</v>
      </c>
      <c r="F547" s="2">
        <v>1557.99</v>
      </c>
    </row>
    <row r="548" spans="1:6" x14ac:dyDescent="0.4">
      <c r="B548" s="10" t="s">
        <v>591</v>
      </c>
      <c r="C548" s="10" t="s">
        <v>316</v>
      </c>
      <c r="D548"/>
      <c r="E548">
        <v>1</v>
      </c>
      <c r="F548" s="2">
        <v>15.99</v>
      </c>
    </row>
    <row r="549" spans="1:6" x14ac:dyDescent="0.4">
      <c r="C549" s="11" t="s">
        <v>4</v>
      </c>
      <c r="D549"/>
      <c r="E549">
        <v>1</v>
      </c>
      <c r="F549" s="2">
        <v>15.99</v>
      </c>
    </row>
    <row r="550" spans="1:6" x14ac:dyDescent="0.4">
      <c r="C550" s="39" t="s">
        <v>592</v>
      </c>
      <c r="D550" s="10" t="s">
        <v>322</v>
      </c>
      <c r="E550">
        <v>1</v>
      </c>
      <c r="F550" s="2">
        <v>15.99</v>
      </c>
    </row>
    <row r="551" spans="1:6" x14ac:dyDescent="0.4">
      <c r="B551" s="10" t="s">
        <v>593</v>
      </c>
      <c r="C551" s="10" t="s">
        <v>316</v>
      </c>
      <c r="D551"/>
      <c r="E551">
        <v>1</v>
      </c>
      <c r="F551" s="2">
        <v>61.66</v>
      </c>
    </row>
    <row r="552" spans="1:6" x14ac:dyDescent="0.4">
      <c r="C552" s="11" t="s">
        <v>4</v>
      </c>
      <c r="D552"/>
      <c r="E552">
        <v>1</v>
      </c>
      <c r="F552" s="2">
        <v>61.66</v>
      </c>
    </row>
    <row r="553" spans="1:6" x14ac:dyDescent="0.4">
      <c r="C553" s="39" t="s">
        <v>371</v>
      </c>
      <c r="D553" s="10" t="s">
        <v>322</v>
      </c>
      <c r="E553">
        <v>1</v>
      </c>
      <c r="F553" s="2">
        <v>61.66</v>
      </c>
    </row>
    <row r="554" spans="1:6" x14ac:dyDescent="0.4">
      <c r="A554" s="10" t="s">
        <v>594</v>
      </c>
      <c r="B554" s="10" t="s">
        <v>368</v>
      </c>
      <c r="C554" s="10" t="s">
        <v>316</v>
      </c>
      <c r="D554"/>
      <c r="E554">
        <v>1</v>
      </c>
      <c r="F554" s="2">
        <v>1209</v>
      </c>
    </row>
    <row r="555" spans="1:6" x14ac:dyDescent="0.4">
      <c r="C555" s="11" t="s">
        <v>3</v>
      </c>
      <c r="D555"/>
      <c r="E555">
        <v>1</v>
      </c>
      <c r="F555" s="2">
        <v>1209</v>
      </c>
    </row>
    <row r="556" spans="1:6" x14ac:dyDescent="0.4">
      <c r="C556" s="39" t="s">
        <v>529</v>
      </c>
      <c r="D556" s="10" t="s">
        <v>395</v>
      </c>
      <c r="E556">
        <v>1</v>
      </c>
      <c r="F556" s="2">
        <v>1209</v>
      </c>
    </row>
    <row r="557" spans="1:6" x14ac:dyDescent="0.4">
      <c r="B557" s="10" t="s">
        <v>320</v>
      </c>
      <c r="C557" s="10" t="s">
        <v>316</v>
      </c>
      <c r="D557"/>
      <c r="E557">
        <v>1</v>
      </c>
      <c r="F557" s="2">
        <v>1078</v>
      </c>
    </row>
    <row r="558" spans="1:6" x14ac:dyDescent="0.4">
      <c r="C558" s="11" t="s">
        <v>2</v>
      </c>
      <c r="D558"/>
      <c r="E558">
        <v>1</v>
      </c>
      <c r="F558" s="2">
        <v>1078</v>
      </c>
    </row>
    <row r="559" spans="1:6" x14ac:dyDescent="0.4">
      <c r="C559" s="39" t="s">
        <v>585</v>
      </c>
      <c r="D559" s="10" t="s">
        <v>322</v>
      </c>
      <c r="E559">
        <v>1</v>
      </c>
      <c r="F559" s="2">
        <v>1078</v>
      </c>
    </row>
    <row r="560" spans="1:6" x14ac:dyDescent="0.4">
      <c r="B560" s="10" t="s">
        <v>595</v>
      </c>
      <c r="C560" s="10" t="s">
        <v>316</v>
      </c>
      <c r="D560"/>
      <c r="E560">
        <v>1</v>
      </c>
      <c r="F560" s="2">
        <v>475.99</v>
      </c>
    </row>
    <row r="561" spans="1:6" x14ac:dyDescent="0.4">
      <c r="C561" s="11" t="s">
        <v>3</v>
      </c>
      <c r="D561"/>
      <c r="E561">
        <v>1</v>
      </c>
      <c r="F561" s="2">
        <v>475.99</v>
      </c>
    </row>
    <row r="562" spans="1:6" x14ac:dyDescent="0.4">
      <c r="C562" s="39" t="s">
        <v>428</v>
      </c>
      <c r="D562" s="10" t="s">
        <v>322</v>
      </c>
      <c r="E562">
        <v>1</v>
      </c>
      <c r="F562" s="2">
        <v>475.99</v>
      </c>
    </row>
    <row r="563" spans="1:6" x14ac:dyDescent="0.4">
      <c r="A563" s="10" t="s">
        <v>596</v>
      </c>
      <c r="B563" s="10" t="s">
        <v>368</v>
      </c>
      <c r="C563" s="10" t="s">
        <v>316</v>
      </c>
      <c r="D563"/>
      <c r="E563">
        <v>1</v>
      </c>
      <c r="F563" s="2">
        <v>3000</v>
      </c>
    </row>
    <row r="564" spans="1:6" x14ac:dyDescent="0.4">
      <c r="C564" s="11" t="s">
        <v>369</v>
      </c>
      <c r="D564"/>
      <c r="E564">
        <v>1</v>
      </c>
      <c r="F564" s="2">
        <v>3000</v>
      </c>
    </row>
    <row r="565" spans="1:6" x14ac:dyDescent="0.4">
      <c r="C565" s="39" t="s">
        <v>597</v>
      </c>
      <c r="D565" s="10" t="s">
        <v>414</v>
      </c>
      <c r="E565">
        <v>1</v>
      </c>
      <c r="F565" s="2">
        <v>3000</v>
      </c>
    </row>
    <row r="566" spans="1:6" x14ac:dyDescent="0.4">
      <c r="B566" s="10" t="s">
        <v>598</v>
      </c>
      <c r="C566" s="10" t="s">
        <v>316</v>
      </c>
      <c r="D566"/>
      <c r="E566">
        <v>1</v>
      </c>
      <c r="F566" s="2">
        <v>465</v>
      </c>
    </row>
    <row r="567" spans="1:6" x14ac:dyDescent="0.4">
      <c r="C567" s="11" t="s">
        <v>5</v>
      </c>
      <c r="D567"/>
      <c r="E567">
        <v>1</v>
      </c>
      <c r="F567" s="2">
        <v>465</v>
      </c>
    </row>
    <row r="568" spans="1:6" x14ac:dyDescent="0.4">
      <c r="C568" s="39" t="s">
        <v>359</v>
      </c>
      <c r="D568" s="10" t="s">
        <v>395</v>
      </c>
      <c r="E568">
        <v>1</v>
      </c>
      <c r="F568" s="2">
        <v>465</v>
      </c>
    </row>
    <row r="569" spans="1:6" x14ac:dyDescent="0.4">
      <c r="A569" s="10" t="s">
        <v>599</v>
      </c>
      <c r="B569" s="10" t="s">
        <v>368</v>
      </c>
      <c r="C569" s="10" t="s">
        <v>316</v>
      </c>
      <c r="D569"/>
      <c r="E569">
        <v>1</v>
      </c>
      <c r="F569" s="2">
        <v>9000</v>
      </c>
    </row>
    <row r="570" spans="1:6" x14ac:dyDescent="0.4">
      <c r="C570" s="11" t="s">
        <v>3</v>
      </c>
      <c r="D570"/>
      <c r="E570">
        <v>1</v>
      </c>
      <c r="F570" s="2">
        <v>9000</v>
      </c>
    </row>
    <row r="571" spans="1:6" x14ac:dyDescent="0.4">
      <c r="C571" s="39" t="s">
        <v>600</v>
      </c>
      <c r="D571" s="10" t="s">
        <v>601</v>
      </c>
      <c r="E571">
        <v>1</v>
      </c>
      <c r="F571" s="2">
        <v>9000</v>
      </c>
    </row>
    <row r="572" spans="1:6" x14ac:dyDescent="0.4">
      <c r="B572" s="10" t="s">
        <v>602</v>
      </c>
      <c r="C572" s="10" t="s">
        <v>316</v>
      </c>
      <c r="D572"/>
      <c r="E572">
        <v>1</v>
      </c>
      <c r="F572" s="2">
        <v>1248</v>
      </c>
    </row>
    <row r="573" spans="1:6" x14ac:dyDescent="0.4">
      <c r="C573" s="11" t="s">
        <v>5</v>
      </c>
      <c r="D573"/>
      <c r="E573">
        <v>1</v>
      </c>
      <c r="F573" s="2">
        <v>1248</v>
      </c>
    </row>
    <row r="574" spans="1:6" x14ac:dyDescent="0.4">
      <c r="C574" s="39" t="s">
        <v>364</v>
      </c>
      <c r="D574" s="10" t="s">
        <v>395</v>
      </c>
      <c r="E574">
        <v>1</v>
      </c>
      <c r="F574" s="2">
        <v>1248</v>
      </c>
    </row>
    <row r="575" spans="1:6" x14ac:dyDescent="0.4">
      <c r="B575" s="10" t="s">
        <v>437</v>
      </c>
      <c r="C575" s="10" t="s">
        <v>316</v>
      </c>
      <c r="D575"/>
      <c r="E575">
        <v>1</v>
      </c>
      <c r="F575" s="2">
        <v>360</v>
      </c>
    </row>
    <row r="576" spans="1:6" x14ac:dyDescent="0.4">
      <c r="C576" s="11" t="s">
        <v>4</v>
      </c>
      <c r="D576"/>
      <c r="E576">
        <v>1</v>
      </c>
      <c r="F576" s="2">
        <v>360</v>
      </c>
    </row>
    <row r="577" spans="1:6" x14ac:dyDescent="0.4">
      <c r="C577" s="39" t="s">
        <v>603</v>
      </c>
      <c r="D577" s="10" t="s">
        <v>322</v>
      </c>
      <c r="E577">
        <v>1</v>
      </c>
      <c r="F577" s="2">
        <v>360</v>
      </c>
    </row>
    <row r="578" spans="1:6" x14ac:dyDescent="0.4">
      <c r="B578" s="10" t="s">
        <v>579</v>
      </c>
      <c r="C578" s="10" t="s">
        <v>316</v>
      </c>
      <c r="D578"/>
      <c r="E578">
        <v>1</v>
      </c>
      <c r="F578" s="2">
        <v>230.35</v>
      </c>
    </row>
    <row r="579" spans="1:6" x14ac:dyDescent="0.4">
      <c r="C579" s="11" t="s">
        <v>4</v>
      </c>
      <c r="D579"/>
      <c r="E579">
        <v>1</v>
      </c>
      <c r="F579" s="2">
        <v>230.35</v>
      </c>
    </row>
    <row r="580" spans="1:6" x14ac:dyDescent="0.4">
      <c r="C580" s="39" t="s">
        <v>371</v>
      </c>
      <c r="D580" s="10" t="s">
        <v>322</v>
      </c>
      <c r="E580">
        <v>1</v>
      </c>
      <c r="F580" s="2">
        <v>230.35</v>
      </c>
    </row>
    <row r="581" spans="1:6" x14ac:dyDescent="0.4">
      <c r="B581" s="10" t="s">
        <v>604</v>
      </c>
      <c r="C581" s="10" t="s">
        <v>316</v>
      </c>
      <c r="D581"/>
      <c r="E581">
        <v>1</v>
      </c>
      <c r="F581" s="2">
        <v>172.12</v>
      </c>
    </row>
    <row r="582" spans="1:6" x14ac:dyDescent="0.4">
      <c r="C582" s="11" t="s">
        <v>2</v>
      </c>
      <c r="D582"/>
      <c r="E582">
        <v>1</v>
      </c>
      <c r="F582" s="2">
        <v>172.12</v>
      </c>
    </row>
    <row r="583" spans="1:6" x14ac:dyDescent="0.4">
      <c r="C583" s="39" t="s">
        <v>465</v>
      </c>
      <c r="D583" s="10" t="s">
        <v>322</v>
      </c>
      <c r="E583">
        <v>1</v>
      </c>
      <c r="F583" s="2">
        <v>172.12</v>
      </c>
    </row>
    <row r="584" spans="1:6" x14ac:dyDescent="0.4">
      <c r="B584" s="10" t="s">
        <v>605</v>
      </c>
      <c r="C584" s="10" t="s">
        <v>316</v>
      </c>
      <c r="D584"/>
      <c r="E584">
        <v>1</v>
      </c>
      <c r="F584" s="2">
        <v>1452.98</v>
      </c>
    </row>
    <row r="585" spans="1:6" x14ac:dyDescent="0.4">
      <c r="C585" s="11" t="s">
        <v>2</v>
      </c>
      <c r="D585"/>
      <c r="E585">
        <v>1</v>
      </c>
      <c r="F585" s="2">
        <v>1452.98</v>
      </c>
    </row>
    <row r="586" spans="1:6" x14ac:dyDescent="0.4">
      <c r="C586" s="39" t="s">
        <v>328</v>
      </c>
      <c r="D586" s="10" t="s">
        <v>395</v>
      </c>
      <c r="E586">
        <v>1</v>
      </c>
      <c r="F586" s="2">
        <v>1452.98</v>
      </c>
    </row>
    <row r="587" spans="1:6" x14ac:dyDescent="0.4">
      <c r="B587" s="10" t="s">
        <v>606</v>
      </c>
      <c r="C587" s="10" t="s">
        <v>316</v>
      </c>
      <c r="D587"/>
      <c r="E587">
        <v>1</v>
      </c>
      <c r="F587" s="2">
        <v>14.95</v>
      </c>
    </row>
    <row r="588" spans="1:6" x14ac:dyDescent="0.4">
      <c r="C588" s="11" t="s">
        <v>5</v>
      </c>
      <c r="D588"/>
      <c r="E588">
        <v>1</v>
      </c>
      <c r="F588" s="2">
        <v>14.95</v>
      </c>
    </row>
    <row r="589" spans="1:6" x14ac:dyDescent="0.4">
      <c r="C589" s="39" t="s">
        <v>364</v>
      </c>
      <c r="D589" s="10" t="s">
        <v>361</v>
      </c>
      <c r="E589">
        <v>1</v>
      </c>
      <c r="F589" s="2">
        <v>14.95</v>
      </c>
    </row>
    <row r="590" spans="1:6" x14ac:dyDescent="0.4">
      <c r="A590" s="10" t="s">
        <v>607</v>
      </c>
      <c r="B590" s="10" t="s">
        <v>388</v>
      </c>
      <c r="C590" s="10" t="s">
        <v>316</v>
      </c>
      <c r="D590"/>
      <c r="E590">
        <v>1</v>
      </c>
      <c r="F590" s="2">
        <v>181.48</v>
      </c>
    </row>
    <row r="591" spans="1:6" x14ac:dyDescent="0.4">
      <c r="C591" s="11" t="s">
        <v>4</v>
      </c>
      <c r="D591"/>
      <c r="E591">
        <v>1</v>
      </c>
      <c r="F591" s="2">
        <v>181.48</v>
      </c>
    </row>
    <row r="592" spans="1:6" x14ac:dyDescent="0.4">
      <c r="C592" s="39" t="s">
        <v>603</v>
      </c>
      <c r="D592" s="10" t="s">
        <v>322</v>
      </c>
      <c r="E592">
        <v>1</v>
      </c>
      <c r="F592" s="2">
        <v>181.48</v>
      </c>
    </row>
    <row r="593" spans="1:6" x14ac:dyDescent="0.4">
      <c r="A593" s="10" t="s">
        <v>608</v>
      </c>
      <c r="B593" s="10" t="s">
        <v>368</v>
      </c>
      <c r="C593" s="10" t="s">
        <v>316</v>
      </c>
      <c r="D593"/>
      <c r="E593">
        <v>1</v>
      </c>
      <c r="F593" s="2">
        <v>2000</v>
      </c>
    </row>
    <row r="594" spans="1:6" x14ac:dyDescent="0.4">
      <c r="C594" s="11" t="s">
        <v>8</v>
      </c>
      <c r="D594"/>
      <c r="E594">
        <v>1</v>
      </c>
      <c r="F594" s="2">
        <v>2000</v>
      </c>
    </row>
    <row r="595" spans="1:6" x14ac:dyDescent="0.4">
      <c r="C595" s="39" t="s">
        <v>400</v>
      </c>
      <c r="D595" s="10" t="s">
        <v>414</v>
      </c>
      <c r="E595">
        <v>1</v>
      </c>
      <c r="F595" s="2">
        <v>2000</v>
      </c>
    </row>
    <row r="596" spans="1:6" x14ac:dyDescent="0.4">
      <c r="B596" s="10" t="s">
        <v>609</v>
      </c>
      <c r="C596" s="10" t="s">
        <v>316</v>
      </c>
      <c r="D596"/>
      <c r="E596">
        <v>1</v>
      </c>
      <c r="F596" s="2">
        <v>8000</v>
      </c>
    </row>
    <row r="597" spans="1:6" x14ac:dyDescent="0.4">
      <c r="C597" s="11" t="s">
        <v>3</v>
      </c>
      <c r="D597"/>
      <c r="E597">
        <v>1</v>
      </c>
      <c r="F597" s="2">
        <v>8000</v>
      </c>
    </row>
    <row r="598" spans="1:6" x14ac:dyDescent="0.4">
      <c r="C598" s="39" t="s">
        <v>343</v>
      </c>
      <c r="D598" s="10" t="s">
        <v>322</v>
      </c>
      <c r="E598">
        <v>1</v>
      </c>
      <c r="F598" s="2">
        <v>8000</v>
      </c>
    </row>
    <row r="599" spans="1:6" x14ac:dyDescent="0.4">
      <c r="B599" s="10" t="s">
        <v>610</v>
      </c>
      <c r="C599" s="10" t="s">
        <v>316</v>
      </c>
      <c r="D599"/>
      <c r="E599">
        <v>1</v>
      </c>
      <c r="F599" s="2">
        <v>500</v>
      </c>
    </row>
    <row r="600" spans="1:6" x14ac:dyDescent="0.4">
      <c r="C600" s="11" t="s">
        <v>5</v>
      </c>
      <c r="D600"/>
      <c r="E600">
        <v>1</v>
      </c>
      <c r="F600" s="2">
        <v>500</v>
      </c>
    </row>
    <row r="601" spans="1:6" x14ac:dyDescent="0.4">
      <c r="C601" s="39" t="s">
        <v>359</v>
      </c>
      <c r="D601" s="10" t="s">
        <v>401</v>
      </c>
      <c r="E601">
        <v>1</v>
      </c>
      <c r="F601" s="2">
        <v>500</v>
      </c>
    </row>
    <row r="602" spans="1:6" x14ac:dyDescent="0.4">
      <c r="B602" s="10" t="s">
        <v>611</v>
      </c>
      <c r="C602" s="10" t="s">
        <v>316</v>
      </c>
      <c r="D602"/>
      <c r="E602">
        <v>1</v>
      </c>
      <c r="F602" s="2">
        <v>89.45</v>
      </c>
    </row>
    <row r="603" spans="1:6" x14ac:dyDescent="0.4">
      <c r="C603" s="11" t="s">
        <v>1</v>
      </c>
      <c r="D603"/>
      <c r="E603">
        <v>1</v>
      </c>
      <c r="F603" s="2">
        <v>89.45</v>
      </c>
    </row>
    <row r="604" spans="1:6" x14ac:dyDescent="0.4">
      <c r="C604" s="39" t="s">
        <v>376</v>
      </c>
      <c r="D604" s="10" t="s">
        <v>322</v>
      </c>
      <c r="E604">
        <v>1</v>
      </c>
      <c r="F604" s="2">
        <v>89.45</v>
      </c>
    </row>
    <row r="605" spans="1:6" x14ac:dyDescent="0.4">
      <c r="B605" s="10" t="s">
        <v>612</v>
      </c>
      <c r="C605" s="10" t="s">
        <v>316</v>
      </c>
      <c r="D605"/>
      <c r="E605">
        <v>1</v>
      </c>
      <c r="F605" s="2">
        <v>7279.46</v>
      </c>
    </row>
    <row r="606" spans="1:6" x14ac:dyDescent="0.4">
      <c r="C606" s="11" t="s">
        <v>3</v>
      </c>
      <c r="D606"/>
      <c r="E606">
        <v>1</v>
      </c>
      <c r="F606" s="2">
        <v>7279.46</v>
      </c>
    </row>
    <row r="607" spans="1:6" x14ac:dyDescent="0.4">
      <c r="C607" s="39" t="s">
        <v>516</v>
      </c>
      <c r="D607" s="10" t="s">
        <v>322</v>
      </c>
      <c r="E607">
        <v>1</v>
      </c>
      <c r="F607" s="2">
        <v>7279.46</v>
      </c>
    </row>
    <row r="608" spans="1:6" x14ac:dyDescent="0.4">
      <c r="B608" s="10" t="s">
        <v>613</v>
      </c>
      <c r="C608" s="10" t="s">
        <v>316</v>
      </c>
      <c r="D608"/>
      <c r="E608">
        <v>1</v>
      </c>
      <c r="F608" s="2">
        <v>262.99</v>
      </c>
    </row>
    <row r="609" spans="2:6" x14ac:dyDescent="0.4">
      <c r="C609" s="11" t="s">
        <v>3</v>
      </c>
      <c r="D609"/>
      <c r="E609">
        <v>1</v>
      </c>
      <c r="F609" s="2">
        <v>262.99</v>
      </c>
    </row>
    <row r="610" spans="2:6" x14ac:dyDescent="0.4">
      <c r="C610" s="39" t="s">
        <v>343</v>
      </c>
      <c r="D610" s="10" t="s">
        <v>322</v>
      </c>
      <c r="E610">
        <v>1</v>
      </c>
      <c r="F610" s="2">
        <v>262.99</v>
      </c>
    </row>
    <row r="611" spans="2:6" x14ac:dyDescent="0.4">
      <c r="B611" s="10" t="s">
        <v>614</v>
      </c>
      <c r="C611" s="10" t="s">
        <v>316</v>
      </c>
      <c r="D611"/>
      <c r="E611">
        <v>1</v>
      </c>
      <c r="F611" s="2">
        <v>1625</v>
      </c>
    </row>
    <row r="612" spans="2:6" x14ac:dyDescent="0.4">
      <c r="C612" s="11" t="s">
        <v>4</v>
      </c>
      <c r="D612"/>
      <c r="E612">
        <v>1</v>
      </c>
      <c r="F612" s="2">
        <v>1625</v>
      </c>
    </row>
    <row r="613" spans="2:6" x14ac:dyDescent="0.4">
      <c r="C613" s="39" t="s">
        <v>386</v>
      </c>
      <c r="D613" s="10" t="s">
        <v>395</v>
      </c>
      <c r="E613">
        <v>1</v>
      </c>
      <c r="F613" s="2">
        <v>1625</v>
      </c>
    </row>
    <row r="614" spans="2:6" x14ac:dyDescent="0.4">
      <c r="B614" s="10" t="s">
        <v>615</v>
      </c>
      <c r="C614" s="10" t="s">
        <v>316</v>
      </c>
      <c r="D614"/>
      <c r="E614">
        <v>1</v>
      </c>
      <c r="F614" s="2">
        <v>321.29000000000002</v>
      </c>
    </row>
    <row r="615" spans="2:6" x14ac:dyDescent="0.4">
      <c r="C615" s="11" t="s">
        <v>3</v>
      </c>
      <c r="D615"/>
      <c r="E615">
        <v>1</v>
      </c>
      <c r="F615" s="2">
        <v>321.29000000000002</v>
      </c>
    </row>
    <row r="616" spans="2:6" x14ac:dyDescent="0.4">
      <c r="C616" s="39" t="s">
        <v>616</v>
      </c>
      <c r="D616" s="10" t="s">
        <v>322</v>
      </c>
      <c r="E616">
        <v>1</v>
      </c>
      <c r="F616" s="2">
        <v>321.29000000000002</v>
      </c>
    </row>
    <row r="617" spans="2:6" x14ac:dyDescent="0.4">
      <c r="B617" s="10" t="s">
        <v>617</v>
      </c>
      <c r="C617" s="10" t="s">
        <v>316</v>
      </c>
      <c r="D617"/>
      <c r="E617">
        <v>1</v>
      </c>
      <c r="F617" s="2">
        <v>349.25</v>
      </c>
    </row>
    <row r="618" spans="2:6" x14ac:dyDescent="0.4">
      <c r="C618" s="11" t="s">
        <v>3</v>
      </c>
      <c r="D618"/>
      <c r="E618">
        <v>1</v>
      </c>
      <c r="F618" s="2">
        <v>349.25</v>
      </c>
    </row>
    <row r="619" spans="2:6" x14ac:dyDescent="0.4">
      <c r="C619" s="39" t="s">
        <v>429</v>
      </c>
      <c r="D619" s="10" t="s">
        <v>401</v>
      </c>
      <c r="E619">
        <v>1</v>
      </c>
      <c r="F619" s="2">
        <v>349.25</v>
      </c>
    </row>
    <row r="620" spans="2:6" x14ac:dyDescent="0.4">
      <c r="B620" s="10" t="s">
        <v>618</v>
      </c>
      <c r="C620" s="10" t="s">
        <v>316</v>
      </c>
      <c r="D620"/>
      <c r="E620">
        <v>1</v>
      </c>
      <c r="F620" s="2">
        <v>0</v>
      </c>
    </row>
    <row r="621" spans="2:6" x14ac:dyDescent="0.4">
      <c r="C621" s="11" t="s">
        <v>11</v>
      </c>
      <c r="D621"/>
      <c r="E621">
        <v>1</v>
      </c>
      <c r="F621" s="2">
        <v>0</v>
      </c>
    </row>
    <row r="622" spans="2:6" x14ac:dyDescent="0.4">
      <c r="C622" s="39" t="s">
        <v>619</v>
      </c>
      <c r="D622" s="10" t="s">
        <v>361</v>
      </c>
      <c r="E622">
        <v>1</v>
      </c>
      <c r="F622" s="2">
        <v>0</v>
      </c>
    </row>
    <row r="623" spans="2:6" x14ac:dyDescent="0.4">
      <c r="B623" s="10" t="s">
        <v>620</v>
      </c>
      <c r="C623" s="10" t="s">
        <v>316</v>
      </c>
      <c r="D623"/>
      <c r="E623">
        <v>1</v>
      </c>
      <c r="F623" s="2">
        <v>707.19</v>
      </c>
    </row>
    <row r="624" spans="2:6" x14ac:dyDescent="0.4">
      <c r="C624" s="11" t="s">
        <v>4</v>
      </c>
      <c r="D624"/>
      <c r="E624">
        <v>1</v>
      </c>
      <c r="F624" s="2">
        <v>707.19</v>
      </c>
    </row>
    <row r="625" spans="1:6" x14ac:dyDescent="0.4">
      <c r="C625" s="39" t="s">
        <v>621</v>
      </c>
      <c r="D625" s="10" t="s">
        <v>322</v>
      </c>
      <c r="E625">
        <v>1</v>
      </c>
      <c r="F625" s="2">
        <v>707.19</v>
      </c>
    </row>
    <row r="626" spans="1:6" x14ac:dyDescent="0.4">
      <c r="A626" s="10" t="s">
        <v>622</v>
      </c>
      <c r="B626" s="10" t="s">
        <v>623</v>
      </c>
      <c r="C626" s="10" t="s">
        <v>316</v>
      </c>
      <c r="D626"/>
      <c r="E626">
        <v>1</v>
      </c>
      <c r="F626" s="2">
        <v>0</v>
      </c>
    </row>
    <row r="627" spans="1:6" x14ac:dyDescent="0.4">
      <c r="C627" s="11" t="s">
        <v>5</v>
      </c>
      <c r="D627"/>
      <c r="E627">
        <v>1</v>
      </c>
      <c r="F627" s="2">
        <v>0</v>
      </c>
    </row>
    <row r="628" spans="1:6" x14ac:dyDescent="0.4">
      <c r="C628" s="39" t="s">
        <v>359</v>
      </c>
      <c r="D628" s="10" t="s">
        <v>318</v>
      </c>
      <c r="E628">
        <v>1</v>
      </c>
      <c r="F628" s="2">
        <v>0</v>
      </c>
    </row>
    <row r="629" spans="1:6" x14ac:dyDescent="0.4">
      <c r="B629" s="10" t="s">
        <v>624</v>
      </c>
      <c r="C629" s="10" t="s">
        <v>316</v>
      </c>
      <c r="D629"/>
      <c r="E629">
        <v>1</v>
      </c>
      <c r="F629" s="2">
        <v>1792.39</v>
      </c>
    </row>
    <row r="630" spans="1:6" x14ac:dyDescent="0.4">
      <c r="C630" s="11" t="s">
        <v>3</v>
      </c>
      <c r="D630"/>
      <c r="E630">
        <v>1</v>
      </c>
      <c r="F630" s="2">
        <v>1792.39</v>
      </c>
    </row>
    <row r="631" spans="1:6" x14ac:dyDescent="0.4">
      <c r="C631" s="39" t="s">
        <v>343</v>
      </c>
      <c r="D631" s="10" t="s">
        <v>573</v>
      </c>
      <c r="E631">
        <v>1</v>
      </c>
      <c r="F631" s="2">
        <v>1792.39</v>
      </c>
    </row>
    <row r="632" spans="1:6" x14ac:dyDescent="0.4">
      <c r="B632" s="10" t="s">
        <v>625</v>
      </c>
      <c r="C632" s="10" t="s">
        <v>316</v>
      </c>
      <c r="D632"/>
      <c r="E632">
        <v>1</v>
      </c>
      <c r="F632" s="2">
        <v>0</v>
      </c>
    </row>
    <row r="633" spans="1:6" x14ac:dyDescent="0.4">
      <c r="C633" s="11" t="s">
        <v>2</v>
      </c>
      <c r="D633"/>
      <c r="E633">
        <v>1</v>
      </c>
      <c r="F633" s="2">
        <v>0</v>
      </c>
    </row>
    <row r="634" spans="1:6" x14ac:dyDescent="0.4">
      <c r="C634" s="39" t="s">
        <v>328</v>
      </c>
      <c r="D634" s="10" t="s">
        <v>329</v>
      </c>
      <c r="E634">
        <v>1</v>
      </c>
      <c r="F634" s="2">
        <v>0</v>
      </c>
    </row>
    <row r="635" spans="1:6" x14ac:dyDescent="0.4">
      <c r="B635" s="10" t="s">
        <v>626</v>
      </c>
      <c r="C635" s="10" t="s">
        <v>316</v>
      </c>
      <c r="D635"/>
      <c r="E635">
        <v>1</v>
      </c>
      <c r="F635" s="2">
        <v>4406</v>
      </c>
    </row>
    <row r="636" spans="1:6" x14ac:dyDescent="0.4">
      <c r="C636" s="11" t="s">
        <v>3</v>
      </c>
      <c r="D636"/>
      <c r="E636">
        <v>1</v>
      </c>
      <c r="F636" s="2">
        <v>4406</v>
      </c>
    </row>
    <row r="637" spans="1:6" x14ac:dyDescent="0.4">
      <c r="C637" s="39" t="s">
        <v>343</v>
      </c>
      <c r="D637" s="10" t="s">
        <v>395</v>
      </c>
      <c r="E637">
        <v>1</v>
      </c>
      <c r="F637" s="2">
        <v>4406</v>
      </c>
    </row>
    <row r="638" spans="1:6" x14ac:dyDescent="0.4">
      <c r="B638" s="10" t="s">
        <v>627</v>
      </c>
      <c r="C638" s="10" t="s">
        <v>316</v>
      </c>
      <c r="D638"/>
      <c r="E638">
        <v>1</v>
      </c>
      <c r="F638" s="2">
        <v>0</v>
      </c>
    </row>
    <row r="639" spans="1:6" x14ac:dyDescent="0.4">
      <c r="C639" s="11" t="s">
        <v>5</v>
      </c>
      <c r="D639"/>
      <c r="E639">
        <v>1</v>
      </c>
      <c r="F639" s="2">
        <v>0</v>
      </c>
    </row>
    <row r="640" spans="1:6" x14ac:dyDescent="0.4">
      <c r="C640" s="39" t="s">
        <v>359</v>
      </c>
      <c r="D640" s="10" t="s">
        <v>361</v>
      </c>
      <c r="E640">
        <v>1</v>
      </c>
      <c r="F640" s="2">
        <v>0</v>
      </c>
    </row>
    <row r="641" spans="1:6" x14ac:dyDescent="0.4">
      <c r="A641" s="10" t="s">
        <v>628</v>
      </c>
      <c r="B641" s="10" t="s">
        <v>629</v>
      </c>
      <c r="C641" s="10" t="s">
        <v>316</v>
      </c>
      <c r="D641"/>
      <c r="E641">
        <v>1</v>
      </c>
      <c r="F641" s="2">
        <v>892.84</v>
      </c>
    </row>
    <row r="642" spans="1:6" x14ac:dyDescent="0.4">
      <c r="C642" s="11" t="s">
        <v>6</v>
      </c>
      <c r="D642"/>
      <c r="E642">
        <v>1</v>
      </c>
      <c r="F642" s="2">
        <v>892.84</v>
      </c>
    </row>
    <row r="643" spans="1:6" x14ac:dyDescent="0.4">
      <c r="C643" s="39" t="s">
        <v>451</v>
      </c>
      <c r="D643" s="10" t="s">
        <v>630</v>
      </c>
      <c r="E643">
        <v>1</v>
      </c>
      <c r="F643" s="2">
        <v>892.84</v>
      </c>
    </row>
    <row r="644" spans="1:6" x14ac:dyDescent="0.4">
      <c r="B644" s="10" t="s">
        <v>631</v>
      </c>
      <c r="C644" s="10" t="s">
        <v>316</v>
      </c>
      <c r="D644"/>
      <c r="E644">
        <v>1</v>
      </c>
      <c r="F644" s="2">
        <v>10000</v>
      </c>
    </row>
    <row r="645" spans="1:6" x14ac:dyDescent="0.4">
      <c r="C645" s="11" t="s">
        <v>12</v>
      </c>
      <c r="D645"/>
      <c r="E645">
        <v>1</v>
      </c>
      <c r="F645" s="2">
        <v>10000</v>
      </c>
    </row>
    <row r="646" spans="1:6" x14ac:dyDescent="0.4">
      <c r="C646" s="39" t="s">
        <v>398</v>
      </c>
      <c r="D646" s="10" t="s">
        <v>361</v>
      </c>
      <c r="E646">
        <v>1</v>
      </c>
      <c r="F646" s="2">
        <v>10000</v>
      </c>
    </row>
    <row r="647" spans="1:6" x14ac:dyDescent="0.4">
      <c r="B647" s="10" t="s">
        <v>632</v>
      </c>
      <c r="C647" s="10" t="s">
        <v>316</v>
      </c>
      <c r="D647"/>
      <c r="E647">
        <v>1</v>
      </c>
      <c r="F647" s="2">
        <v>1482</v>
      </c>
    </row>
    <row r="648" spans="1:6" x14ac:dyDescent="0.4">
      <c r="C648" s="11" t="s">
        <v>1</v>
      </c>
      <c r="D648"/>
      <c r="E648">
        <v>1</v>
      </c>
      <c r="F648" s="2">
        <v>1482</v>
      </c>
    </row>
    <row r="649" spans="1:6" x14ac:dyDescent="0.4">
      <c r="C649" s="39" t="s">
        <v>454</v>
      </c>
      <c r="D649" s="10" t="s">
        <v>322</v>
      </c>
      <c r="E649">
        <v>1</v>
      </c>
      <c r="F649" s="2">
        <v>1482</v>
      </c>
    </row>
    <row r="650" spans="1:6" x14ac:dyDescent="0.4">
      <c r="B650" s="10" t="s">
        <v>633</v>
      </c>
      <c r="C650" s="10" t="s">
        <v>316</v>
      </c>
      <c r="D650"/>
      <c r="E650">
        <v>1</v>
      </c>
      <c r="F650" s="2">
        <v>310</v>
      </c>
    </row>
    <row r="651" spans="1:6" x14ac:dyDescent="0.4">
      <c r="C651" s="11" t="s">
        <v>1</v>
      </c>
      <c r="D651"/>
      <c r="E651">
        <v>1</v>
      </c>
      <c r="F651" s="2">
        <v>310</v>
      </c>
    </row>
    <row r="652" spans="1:6" x14ac:dyDescent="0.4">
      <c r="C652" s="39" t="s">
        <v>468</v>
      </c>
      <c r="D652" s="10" t="s">
        <v>322</v>
      </c>
      <c r="E652">
        <v>1</v>
      </c>
      <c r="F652" s="2">
        <v>310</v>
      </c>
    </row>
    <row r="653" spans="1:6" x14ac:dyDescent="0.4">
      <c r="B653" s="10" t="s">
        <v>634</v>
      </c>
      <c r="C653" s="10" t="s">
        <v>316</v>
      </c>
      <c r="D653"/>
      <c r="E653">
        <v>1</v>
      </c>
      <c r="F653" s="2">
        <v>486</v>
      </c>
    </row>
    <row r="654" spans="1:6" x14ac:dyDescent="0.4">
      <c r="C654" s="11" t="s">
        <v>3</v>
      </c>
      <c r="D654"/>
      <c r="E654">
        <v>1</v>
      </c>
      <c r="F654" s="2">
        <v>486</v>
      </c>
    </row>
    <row r="655" spans="1:6" x14ac:dyDescent="0.4">
      <c r="C655" s="39" t="s">
        <v>428</v>
      </c>
      <c r="D655" s="10" t="s">
        <v>322</v>
      </c>
      <c r="E655">
        <v>1</v>
      </c>
      <c r="F655" s="2">
        <v>486</v>
      </c>
    </row>
    <row r="656" spans="1:6" x14ac:dyDescent="0.4">
      <c r="A656" s="10" t="s">
        <v>635</v>
      </c>
      <c r="B656" s="10" t="s">
        <v>320</v>
      </c>
      <c r="C656" s="10" t="s">
        <v>316</v>
      </c>
      <c r="D656"/>
      <c r="E656">
        <v>1</v>
      </c>
      <c r="F656" s="2">
        <v>539</v>
      </c>
    </row>
    <row r="657" spans="2:6" x14ac:dyDescent="0.4">
      <c r="C657" s="11" t="s">
        <v>5</v>
      </c>
      <c r="D657"/>
      <c r="E657">
        <v>1</v>
      </c>
      <c r="F657" s="2">
        <v>539</v>
      </c>
    </row>
    <row r="658" spans="2:6" x14ac:dyDescent="0.4">
      <c r="C658" s="39" t="s">
        <v>359</v>
      </c>
      <c r="D658" s="10" t="s">
        <v>322</v>
      </c>
      <c r="E658">
        <v>1</v>
      </c>
      <c r="F658" s="2">
        <v>539</v>
      </c>
    </row>
    <row r="659" spans="2:6" x14ac:dyDescent="0.4">
      <c r="B659" s="10" t="s">
        <v>382</v>
      </c>
      <c r="C659" s="10" t="s">
        <v>316</v>
      </c>
      <c r="D659"/>
      <c r="E659">
        <v>1</v>
      </c>
      <c r="F659" s="2">
        <v>705</v>
      </c>
    </row>
    <row r="660" spans="2:6" x14ac:dyDescent="0.4">
      <c r="C660" s="11" t="s">
        <v>4</v>
      </c>
      <c r="D660"/>
      <c r="E660">
        <v>1</v>
      </c>
      <c r="F660" s="2">
        <v>705</v>
      </c>
    </row>
    <row r="661" spans="2:6" x14ac:dyDescent="0.4">
      <c r="C661" s="39" t="s">
        <v>533</v>
      </c>
      <c r="D661" s="10" t="s">
        <v>322</v>
      </c>
      <c r="E661">
        <v>1</v>
      </c>
      <c r="F661" s="2">
        <v>705</v>
      </c>
    </row>
    <row r="662" spans="2:6" x14ac:dyDescent="0.4">
      <c r="B662" s="10" t="s">
        <v>636</v>
      </c>
      <c r="C662" s="10" t="s">
        <v>316</v>
      </c>
      <c r="D662"/>
      <c r="E662">
        <v>1</v>
      </c>
      <c r="F662" s="2">
        <v>558</v>
      </c>
    </row>
    <row r="663" spans="2:6" x14ac:dyDescent="0.4">
      <c r="C663" s="11" t="s">
        <v>3</v>
      </c>
      <c r="D663"/>
      <c r="E663">
        <v>1</v>
      </c>
      <c r="F663" s="2">
        <v>558</v>
      </c>
    </row>
    <row r="664" spans="2:6" x14ac:dyDescent="0.4">
      <c r="C664" s="39" t="s">
        <v>324</v>
      </c>
      <c r="D664" s="10" t="s">
        <v>322</v>
      </c>
      <c r="E664">
        <v>1</v>
      </c>
      <c r="F664" s="2">
        <v>558</v>
      </c>
    </row>
    <row r="665" spans="2:6" x14ac:dyDescent="0.4">
      <c r="B665" s="10" t="s">
        <v>637</v>
      </c>
      <c r="C665" s="10" t="s">
        <v>316</v>
      </c>
      <c r="D665"/>
      <c r="E665">
        <v>1</v>
      </c>
      <c r="F665" s="2">
        <v>64.150000000000006</v>
      </c>
    </row>
    <row r="666" spans="2:6" x14ac:dyDescent="0.4">
      <c r="C666" s="11" t="s">
        <v>1</v>
      </c>
      <c r="D666"/>
      <c r="E666">
        <v>1</v>
      </c>
      <c r="F666" s="2">
        <v>64.150000000000006</v>
      </c>
    </row>
    <row r="667" spans="2:6" x14ac:dyDescent="0.4">
      <c r="C667" s="39" t="s">
        <v>392</v>
      </c>
      <c r="D667" s="10" t="s">
        <v>322</v>
      </c>
      <c r="E667">
        <v>1</v>
      </c>
      <c r="F667" s="2">
        <v>64.150000000000006</v>
      </c>
    </row>
    <row r="668" spans="2:6" x14ac:dyDescent="0.4">
      <c r="B668" s="10" t="s">
        <v>638</v>
      </c>
      <c r="C668" s="10" t="s">
        <v>316</v>
      </c>
      <c r="D668"/>
      <c r="E668">
        <v>1</v>
      </c>
      <c r="F668" s="2">
        <v>200</v>
      </c>
    </row>
    <row r="669" spans="2:6" x14ac:dyDescent="0.4">
      <c r="C669" s="11" t="s">
        <v>3</v>
      </c>
      <c r="D669"/>
      <c r="E669">
        <v>1</v>
      </c>
      <c r="F669" s="2">
        <v>200</v>
      </c>
    </row>
    <row r="670" spans="2:6" x14ac:dyDescent="0.4">
      <c r="C670" s="39" t="s">
        <v>343</v>
      </c>
      <c r="D670" s="10" t="s">
        <v>329</v>
      </c>
      <c r="E670">
        <v>1</v>
      </c>
      <c r="F670" s="2">
        <v>200</v>
      </c>
    </row>
    <row r="671" spans="2:6" x14ac:dyDescent="0.4">
      <c r="B671" s="10" t="s">
        <v>639</v>
      </c>
      <c r="C671" s="10" t="s">
        <v>316</v>
      </c>
      <c r="D671"/>
      <c r="E671">
        <v>1</v>
      </c>
      <c r="F671" s="2">
        <v>0</v>
      </c>
    </row>
    <row r="672" spans="2:6" x14ac:dyDescent="0.4">
      <c r="C672" s="11" t="s">
        <v>3</v>
      </c>
      <c r="D672"/>
      <c r="E672">
        <v>1</v>
      </c>
      <c r="F672" s="2">
        <v>0</v>
      </c>
    </row>
    <row r="673" spans="1:6" x14ac:dyDescent="0.4">
      <c r="C673" s="39" t="s">
        <v>343</v>
      </c>
      <c r="D673" s="10" t="s">
        <v>329</v>
      </c>
      <c r="E673">
        <v>1</v>
      </c>
      <c r="F673" s="2">
        <v>0</v>
      </c>
    </row>
    <row r="674" spans="1:6" x14ac:dyDescent="0.4">
      <c r="B674" s="10" t="s">
        <v>640</v>
      </c>
      <c r="C674" s="10" t="s">
        <v>316</v>
      </c>
      <c r="D674"/>
      <c r="E674">
        <v>2</v>
      </c>
      <c r="F674" s="2">
        <v>2914</v>
      </c>
    </row>
    <row r="675" spans="1:6" x14ac:dyDescent="0.4">
      <c r="C675" s="11" t="s">
        <v>3</v>
      </c>
      <c r="D675"/>
      <c r="E675">
        <v>1</v>
      </c>
      <c r="F675" s="2">
        <v>1468</v>
      </c>
    </row>
    <row r="676" spans="1:6" x14ac:dyDescent="0.4">
      <c r="C676" s="39" t="s">
        <v>641</v>
      </c>
      <c r="D676" s="10" t="s">
        <v>322</v>
      </c>
      <c r="E676">
        <v>1</v>
      </c>
      <c r="F676" s="2">
        <v>1468</v>
      </c>
    </row>
    <row r="677" spans="1:6" x14ac:dyDescent="0.4">
      <c r="C677" s="11" t="s">
        <v>5</v>
      </c>
      <c r="D677"/>
      <c r="E677">
        <v>1</v>
      </c>
      <c r="F677" s="2">
        <v>1446</v>
      </c>
    </row>
    <row r="678" spans="1:6" x14ac:dyDescent="0.4">
      <c r="C678" s="39" t="s">
        <v>359</v>
      </c>
      <c r="D678" s="10" t="s">
        <v>414</v>
      </c>
      <c r="E678">
        <v>1</v>
      </c>
      <c r="F678" s="2">
        <v>1446</v>
      </c>
    </row>
    <row r="679" spans="1:6" x14ac:dyDescent="0.4">
      <c r="B679" s="10" t="s">
        <v>642</v>
      </c>
      <c r="C679" s="10" t="s">
        <v>316</v>
      </c>
      <c r="D679"/>
      <c r="E679">
        <v>1</v>
      </c>
      <c r="F679" s="2">
        <v>0</v>
      </c>
    </row>
    <row r="680" spans="1:6" x14ac:dyDescent="0.4">
      <c r="C680" s="11" t="s">
        <v>6</v>
      </c>
      <c r="D680"/>
      <c r="E680">
        <v>1</v>
      </c>
      <c r="F680" s="2">
        <v>0</v>
      </c>
    </row>
    <row r="681" spans="1:6" x14ac:dyDescent="0.4">
      <c r="C681" s="39" t="s">
        <v>415</v>
      </c>
      <c r="D681" s="10" t="s">
        <v>361</v>
      </c>
      <c r="E681">
        <v>1</v>
      </c>
      <c r="F681" s="2">
        <v>0</v>
      </c>
    </row>
    <row r="682" spans="1:6" x14ac:dyDescent="0.4">
      <c r="A682" s="10" t="s">
        <v>643</v>
      </c>
      <c r="B682" s="10" t="s">
        <v>368</v>
      </c>
      <c r="C682" s="10" t="s">
        <v>316</v>
      </c>
      <c r="D682"/>
      <c r="E682">
        <v>1</v>
      </c>
      <c r="F682" s="2">
        <v>1048.56</v>
      </c>
    </row>
    <row r="683" spans="1:6" x14ac:dyDescent="0.4">
      <c r="C683" s="11" t="s">
        <v>1</v>
      </c>
      <c r="D683"/>
      <c r="E683">
        <v>1</v>
      </c>
      <c r="F683" s="2">
        <v>1048.56</v>
      </c>
    </row>
    <row r="684" spans="1:6" x14ac:dyDescent="0.4">
      <c r="C684" s="39" t="s">
        <v>582</v>
      </c>
      <c r="D684" s="10" t="s">
        <v>322</v>
      </c>
      <c r="E684">
        <v>1</v>
      </c>
      <c r="F684" s="2">
        <v>1048.56</v>
      </c>
    </row>
    <row r="685" spans="1:6" x14ac:dyDescent="0.4">
      <c r="B685" s="10" t="s">
        <v>644</v>
      </c>
      <c r="C685" s="10" t="s">
        <v>316</v>
      </c>
      <c r="D685"/>
      <c r="E685">
        <v>1</v>
      </c>
      <c r="F685" s="2">
        <v>0</v>
      </c>
    </row>
    <row r="686" spans="1:6" x14ac:dyDescent="0.4">
      <c r="C686" s="11" t="s">
        <v>12</v>
      </c>
      <c r="D686"/>
      <c r="E686">
        <v>1</v>
      </c>
      <c r="F686" s="2">
        <v>0</v>
      </c>
    </row>
    <row r="687" spans="1:6" x14ac:dyDescent="0.4">
      <c r="C687" s="39" t="s">
        <v>398</v>
      </c>
      <c r="D687" s="10" t="s">
        <v>361</v>
      </c>
      <c r="E687">
        <v>1</v>
      </c>
      <c r="F687" s="2">
        <v>0</v>
      </c>
    </row>
    <row r="688" spans="1:6" x14ac:dyDescent="0.4">
      <c r="B688" s="10" t="s">
        <v>577</v>
      </c>
      <c r="C688" s="10" t="s">
        <v>316</v>
      </c>
      <c r="D688"/>
      <c r="E688">
        <v>1</v>
      </c>
      <c r="F688" s="2">
        <v>0</v>
      </c>
    </row>
    <row r="689" spans="1:6" x14ac:dyDescent="0.4">
      <c r="C689" s="11" t="s">
        <v>3</v>
      </c>
      <c r="D689"/>
      <c r="E689">
        <v>1</v>
      </c>
      <c r="F689" s="2">
        <v>0</v>
      </c>
    </row>
    <row r="690" spans="1:6" x14ac:dyDescent="0.4">
      <c r="C690" s="39" t="s">
        <v>343</v>
      </c>
      <c r="D690" s="10" t="s">
        <v>395</v>
      </c>
      <c r="E690">
        <v>1</v>
      </c>
      <c r="F690" s="2">
        <v>0</v>
      </c>
    </row>
    <row r="691" spans="1:6" x14ac:dyDescent="0.4">
      <c r="A691" s="10" t="s">
        <v>645</v>
      </c>
      <c r="B691" s="10" t="s">
        <v>646</v>
      </c>
      <c r="C691" s="10" t="s">
        <v>316</v>
      </c>
      <c r="D691"/>
      <c r="E691">
        <v>1</v>
      </c>
      <c r="F691" s="2">
        <v>1282.4000000000001</v>
      </c>
    </row>
    <row r="692" spans="1:6" x14ac:dyDescent="0.4">
      <c r="C692" s="11" t="s">
        <v>6</v>
      </c>
      <c r="D692"/>
      <c r="E692">
        <v>1</v>
      </c>
      <c r="F692" s="2">
        <v>1282.4000000000001</v>
      </c>
    </row>
    <row r="693" spans="1:6" x14ac:dyDescent="0.4">
      <c r="C693" s="39" t="s">
        <v>647</v>
      </c>
      <c r="D693" s="10" t="s">
        <v>539</v>
      </c>
      <c r="E693">
        <v>1</v>
      </c>
      <c r="F693" s="2">
        <v>1282.4000000000001</v>
      </c>
    </row>
    <row r="694" spans="1:6" x14ac:dyDescent="0.4">
      <c r="B694" s="10" t="s">
        <v>648</v>
      </c>
      <c r="C694" s="10" t="s">
        <v>316</v>
      </c>
      <c r="D694"/>
      <c r="E694">
        <v>1</v>
      </c>
      <c r="F694" s="2">
        <v>1268.3599999999999</v>
      </c>
    </row>
    <row r="695" spans="1:6" x14ac:dyDescent="0.4">
      <c r="C695" s="11" t="s">
        <v>8</v>
      </c>
      <c r="D695"/>
      <c r="E695">
        <v>1</v>
      </c>
      <c r="F695" s="2">
        <v>1268.3599999999999</v>
      </c>
    </row>
    <row r="696" spans="1:6" x14ac:dyDescent="0.4">
      <c r="C696" s="39" t="s">
        <v>649</v>
      </c>
      <c r="D696" s="10" t="s">
        <v>539</v>
      </c>
      <c r="E696">
        <v>1</v>
      </c>
      <c r="F696" s="2">
        <v>1268.3599999999999</v>
      </c>
    </row>
    <row r="697" spans="1:6" x14ac:dyDescent="0.4">
      <c r="B697" s="10" t="s">
        <v>441</v>
      </c>
      <c r="C697" s="10" t="s">
        <v>316</v>
      </c>
      <c r="D697"/>
      <c r="E697">
        <v>1</v>
      </c>
      <c r="F697" s="2">
        <v>5892</v>
      </c>
    </row>
    <row r="698" spans="1:6" x14ac:dyDescent="0.4">
      <c r="C698" s="11" t="s">
        <v>4</v>
      </c>
      <c r="D698"/>
      <c r="E698">
        <v>1</v>
      </c>
      <c r="F698" s="2">
        <v>5892</v>
      </c>
    </row>
    <row r="699" spans="1:6" x14ac:dyDescent="0.4">
      <c r="C699" s="39" t="s">
        <v>386</v>
      </c>
      <c r="D699" s="10" t="s">
        <v>322</v>
      </c>
      <c r="E699">
        <v>1</v>
      </c>
      <c r="F699" s="2">
        <v>5892</v>
      </c>
    </row>
    <row r="700" spans="1:6" x14ac:dyDescent="0.4">
      <c r="B700" s="10" t="s">
        <v>650</v>
      </c>
      <c r="C700" s="10" t="s">
        <v>316</v>
      </c>
      <c r="D700"/>
      <c r="E700">
        <v>1</v>
      </c>
      <c r="F700" s="2">
        <v>1500</v>
      </c>
    </row>
    <row r="701" spans="1:6" x14ac:dyDescent="0.4">
      <c r="C701" s="11" t="s">
        <v>4</v>
      </c>
      <c r="D701"/>
      <c r="E701">
        <v>1</v>
      </c>
      <c r="F701" s="2">
        <v>1500</v>
      </c>
    </row>
    <row r="702" spans="1:6" x14ac:dyDescent="0.4">
      <c r="C702" s="39" t="s">
        <v>386</v>
      </c>
      <c r="D702" s="10" t="s">
        <v>322</v>
      </c>
      <c r="E702">
        <v>1</v>
      </c>
      <c r="F702" s="2">
        <v>1500</v>
      </c>
    </row>
    <row r="703" spans="1:6" x14ac:dyDescent="0.4">
      <c r="B703" s="10" t="s">
        <v>651</v>
      </c>
      <c r="C703" s="10" t="s">
        <v>316</v>
      </c>
      <c r="D703"/>
      <c r="E703">
        <v>1</v>
      </c>
      <c r="F703" s="2">
        <v>500</v>
      </c>
    </row>
    <row r="704" spans="1:6" x14ac:dyDescent="0.4">
      <c r="C704" s="11" t="s">
        <v>4</v>
      </c>
      <c r="D704"/>
      <c r="E704">
        <v>1</v>
      </c>
      <c r="F704" s="2">
        <v>500</v>
      </c>
    </row>
    <row r="705" spans="1:6" x14ac:dyDescent="0.4">
      <c r="C705" s="39" t="s">
        <v>371</v>
      </c>
      <c r="D705" s="10" t="s">
        <v>322</v>
      </c>
      <c r="E705">
        <v>1</v>
      </c>
      <c r="F705" s="2">
        <v>500</v>
      </c>
    </row>
    <row r="706" spans="1:6" x14ac:dyDescent="0.4">
      <c r="A706" s="10" t="s">
        <v>652</v>
      </c>
      <c r="B706" s="10" t="s">
        <v>652</v>
      </c>
      <c r="C706" s="10" t="s">
        <v>653</v>
      </c>
      <c r="D706"/>
      <c r="F706" s="2"/>
    </row>
    <row r="707" spans="1:6" x14ac:dyDescent="0.4">
      <c r="C707" s="11" t="s">
        <v>653</v>
      </c>
      <c r="D707"/>
      <c r="F707" s="2"/>
    </row>
    <row r="708" spans="1:6" x14ac:dyDescent="0.4">
      <c r="C708" s="39" t="s">
        <v>652</v>
      </c>
      <c r="D708" s="10" t="s">
        <v>652</v>
      </c>
      <c r="F708" s="2"/>
    </row>
    <row r="709" spans="1:6" x14ac:dyDescent="0.4">
      <c r="A709" s="10" t="s">
        <v>654</v>
      </c>
      <c r="B709" s="10" t="s">
        <v>655</v>
      </c>
      <c r="C709" s="10" t="s">
        <v>316</v>
      </c>
      <c r="D709"/>
      <c r="E709">
        <v>1</v>
      </c>
      <c r="F709" s="2">
        <v>2436.98</v>
      </c>
    </row>
    <row r="710" spans="1:6" x14ac:dyDescent="0.4">
      <c r="C710" s="11" t="s">
        <v>3</v>
      </c>
      <c r="D710"/>
      <c r="E710">
        <v>1</v>
      </c>
      <c r="F710" s="2">
        <v>2436.98</v>
      </c>
    </row>
    <row r="711" spans="1:6" x14ac:dyDescent="0.4">
      <c r="C711" s="39" t="s">
        <v>656</v>
      </c>
      <c r="D711" s="10" t="s">
        <v>395</v>
      </c>
      <c r="E711">
        <v>1</v>
      </c>
      <c r="F711" s="2">
        <v>2436.98</v>
      </c>
    </row>
    <row r="712" spans="1:6" x14ac:dyDescent="0.4">
      <c r="B712" s="10" t="s">
        <v>657</v>
      </c>
      <c r="C712" s="10" t="s">
        <v>316</v>
      </c>
      <c r="D712"/>
      <c r="E712">
        <v>1</v>
      </c>
      <c r="F712" s="2">
        <v>0</v>
      </c>
    </row>
    <row r="713" spans="1:6" x14ac:dyDescent="0.4">
      <c r="C713" s="11" t="s">
        <v>5</v>
      </c>
      <c r="D713"/>
      <c r="E713">
        <v>1</v>
      </c>
      <c r="F713" s="2">
        <v>0</v>
      </c>
    </row>
    <row r="714" spans="1:6" x14ac:dyDescent="0.4">
      <c r="C714" s="39" t="s">
        <v>409</v>
      </c>
      <c r="D714" s="10" t="s">
        <v>361</v>
      </c>
      <c r="E714">
        <v>1</v>
      </c>
      <c r="F714" s="2">
        <v>0</v>
      </c>
    </row>
    <row r="715" spans="1:6" x14ac:dyDescent="0.4">
      <c r="B715" s="10" t="s">
        <v>658</v>
      </c>
      <c r="C715" s="10" t="s">
        <v>316</v>
      </c>
      <c r="D715"/>
      <c r="E715">
        <v>1</v>
      </c>
      <c r="F715" s="2">
        <v>0</v>
      </c>
    </row>
    <row r="716" spans="1:6" x14ac:dyDescent="0.4">
      <c r="C716" s="11" t="s">
        <v>5</v>
      </c>
      <c r="D716"/>
      <c r="E716">
        <v>1</v>
      </c>
      <c r="F716" s="2">
        <v>0</v>
      </c>
    </row>
    <row r="717" spans="1:6" x14ac:dyDescent="0.4">
      <c r="C717" s="39" t="s">
        <v>359</v>
      </c>
      <c r="D717" s="10" t="s">
        <v>361</v>
      </c>
      <c r="E717">
        <v>1</v>
      </c>
      <c r="F717" s="2">
        <v>0</v>
      </c>
    </row>
    <row r="718" spans="1:6" x14ac:dyDescent="0.4">
      <c r="A718" s="10" t="s">
        <v>659</v>
      </c>
      <c r="B718" s="10" t="s">
        <v>394</v>
      </c>
      <c r="C718" s="10" t="s">
        <v>316</v>
      </c>
      <c r="D718"/>
      <c r="E718">
        <v>1</v>
      </c>
      <c r="F718" s="2">
        <v>2000</v>
      </c>
    </row>
    <row r="719" spans="1:6" x14ac:dyDescent="0.4">
      <c r="C719" s="11" t="s">
        <v>7</v>
      </c>
      <c r="D719"/>
      <c r="E719">
        <v>1</v>
      </c>
      <c r="F719" s="2">
        <v>2000</v>
      </c>
    </row>
    <row r="720" spans="1:6" x14ac:dyDescent="0.4">
      <c r="C720" s="39" t="s">
        <v>413</v>
      </c>
      <c r="D720" s="10" t="s">
        <v>414</v>
      </c>
      <c r="E720">
        <v>1</v>
      </c>
      <c r="F720" s="2">
        <v>2000</v>
      </c>
    </row>
    <row r="721" spans="1:6" x14ac:dyDescent="0.4">
      <c r="B721" s="10" t="s">
        <v>320</v>
      </c>
      <c r="C721" s="10" t="s">
        <v>316</v>
      </c>
      <c r="D721"/>
      <c r="E721">
        <v>1</v>
      </c>
      <c r="F721" s="2">
        <v>400</v>
      </c>
    </row>
    <row r="722" spans="1:6" x14ac:dyDescent="0.4">
      <c r="C722" s="11" t="s">
        <v>1</v>
      </c>
      <c r="D722"/>
      <c r="E722">
        <v>1</v>
      </c>
      <c r="F722" s="2">
        <v>400</v>
      </c>
    </row>
    <row r="723" spans="1:6" x14ac:dyDescent="0.4">
      <c r="C723" s="39" t="s">
        <v>660</v>
      </c>
      <c r="D723" s="10" t="s">
        <v>322</v>
      </c>
      <c r="E723">
        <v>1</v>
      </c>
      <c r="F723" s="2">
        <v>400</v>
      </c>
    </row>
    <row r="724" spans="1:6" x14ac:dyDescent="0.4">
      <c r="B724" s="10" t="s">
        <v>661</v>
      </c>
      <c r="C724" s="10" t="s">
        <v>316</v>
      </c>
      <c r="D724"/>
      <c r="E724">
        <v>1</v>
      </c>
      <c r="F724" s="2">
        <v>0</v>
      </c>
    </row>
    <row r="725" spans="1:6" x14ac:dyDescent="0.4">
      <c r="C725" s="11" t="s">
        <v>3</v>
      </c>
      <c r="D725"/>
      <c r="E725">
        <v>1</v>
      </c>
      <c r="F725" s="2">
        <v>0</v>
      </c>
    </row>
    <row r="726" spans="1:6" x14ac:dyDescent="0.4">
      <c r="C726" s="39" t="s">
        <v>343</v>
      </c>
      <c r="D726" s="10" t="s">
        <v>329</v>
      </c>
      <c r="E726">
        <v>1</v>
      </c>
      <c r="F726" s="2">
        <v>0</v>
      </c>
    </row>
    <row r="727" spans="1:6" x14ac:dyDescent="0.4">
      <c r="B727" s="10" t="s">
        <v>662</v>
      </c>
      <c r="C727" s="10" t="s">
        <v>316</v>
      </c>
      <c r="D727"/>
      <c r="E727">
        <v>1</v>
      </c>
      <c r="F727" s="2">
        <v>4243.6000000000004</v>
      </c>
    </row>
    <row r="728" spans="1:6" x14ac:dyDescent="0.4">
      <c r="C728" s="11" t="s">
        <v>3</v>
      </c>
      <c r="D728"/>
      <c r="E728">
        <v>1</v>
      </c>
      <c r="F728" s="2">
        <v>4243.6000000000004</v>
      </c>
    </row>
    <row r="729" spans="1:6" x14ac:dyDescent="0.4">
      <c r="C729" s="39" t="s">
        <v>343</v>
      </c>
      <c r="D729" s="10" t="s">
        <v>322</v>
      </c>
      <c r="E729">
        <v>1</v>
      </c>
      <c r="F729" s="2">
        <v>4243.6000000000004</v>
      </c>
    </row>
    <row r="730" spans="1:6" x14ac:dyDescent="0.4">
      <c r="A730" s="10" t="s">
        <v>663</v>
      </c>
      <c r="B730" s="10" t="s">
        <v>664</v>
      </c>
      <c r="C730" s="10" t="s">
        <v>316</v>
      </c>
      <c r="D730"/>
      <c r="E730">
        <v>1</v>
      </c>
      <c r="F730" s="2">
        <v>0</v>
      </c>
    </row>
    <row r="731" spans="1:6" x14ac:dyDescent="0.4">
      <c r="C731" s="11" t="s">
        <v>1</v>
      </c>
      <c r="D731"/>
      <c r="E731">
        <v>1</v>
      </c>
      <c r="F731" s="2">
        <v>0</v>
      </c>
    </row>
    <row r="732" spans="1:6" x14ac:dyDescent="0.4">
      <c r="C732" s="39" t="s">
        <v>373</v>
      </c>
      <c r="D732" s="10" t="s">
        <v>329</v>
      </c>
      <c r="E732">
        <v>1</v>
      </c>
      <c r="F732" s="2">
        <v>0</v>
      </c>
    </row>
    <row r="733" spans="1:6" x14ac:dyDescent="0.4">
      <c r="A733" s="10" t="s">
        <v>665</v>
      </c>
      <c r="B733" s="10" t="s">
        <v>368</v>
      </c>
      <c r="C733" s="10" t="s">
        <v>316</v>
      </c>
      <c r="D733"/>
      <c r="E733">
        <v>1</v>
      </c>
      <c r="F733" s="2">
        <v>3600</v>
      </c>
    </row>
    <row r="734" spans="1:6" x14ac:dyDescent="0.4">
      <c r="C734" s="11" t="s">
        <v>7</v>
      </c>
      <c r="D734"/>
      <c r="E734">
        <v>1</v>
      </c>
      <c r="F734" s="2">
        <v>3600</v>
      </c>
    </row>
    <row r="735" spans="1:6" x14ac:dyDescent="0.4">
      <c r="C735" s="39" t="s">
        <v>440</v>
      </c>
      <c r="D735" s="10" t="s">
        <v>318</v>
      </c>
      <c r="E735">
        <v>1</v>
      </c>
      <c r="F735" s="2">
        <v>3600</v>
      </c>
    </row>
    <row r="736" spans="1:6" x14ac:dyDescent="0.4">
      <c r="B736" s="10" t="s">
        <v>666</v>
      </c>
      <c r="C736" s="10" t="s">
        <v>316</v>
      </c>
      <c r="D736"/>
      <c r="E736">
        <v>1</v>
      </c>
      <c r="F736" s="2">
        <v>155</v>
      </c>
    </row>
    <row r="737" spans="1:6" x14ac:dyDescent="0.4">
      <c r="C737" s="11" t="s">
        <v>2</v>
      </c>
      <c r="D737"/>
      <c r="E737">
        <v>1</v>
      </c>
      <c r="F737" s="2">
        <v>155</v>
      </c>
    </row>
    <row r="738" spans="1:6" x14ac:dyDescent="0.4">
      <c r="C738" s="39" t="s">
        <v>418</v>
      </c>
      <c r="D738" s="10" t="s">
        <v>322</v>
      </c>
      <c r="E738">
        <v>1</v>
      </c>
      <c r="F738" s="2">
        <v>155</v>
      </c>
    </row>
    <row r="739" spans="1:6" x14ac:dyDescent="0.4">
      <c r="B739" s="10" t="s">
        <v>667</v>
      </c>
      <c r="C739" s="10" t="s">
        <v>316</v>
      </c>
      <c r="D739"/>
      <c r="E739">
        <v>1</v>
      </c>
      <c r="F739" s="2">
        <v>310</v>
      </c>
    </row>
    <row r="740" spans="1:6" x14ac:dyDescent="0.4">
      <c r="C740" s="11" t="s">
        <v>2</v>
      </c>
      <c r="D740"/>
      <c r="E740">
        <v>1</v>
      </c>
      <c r="F740" s="2">
        <v>310</v>
      </c>
    </row>
    <row r="741" spans="1:6" x14ac:dyDescent="0.4">
      <c r="C741" s="39" t="s">
        <v>328</v>
      </c>
      <c r="D741" s="10" t="s">
        <v>322</v>
      </c>
      <c r="E741">
        <v>1</v>
      </c>
      <c r="F741" s="2">
        <v>310</v>
      </c>
    </row>
    <row r="742" spans="1:6" x14ac:dyDescent="0.4">
      <c r="A742" s="10" t="s">
        <v>668</v>
      </c>
      <c r="B742" s="10" t="s">
        <v>669</v>
      </c>
      <c r="C742" s="10" t="s">
        <v>316</v>
      </c>
      <c r="D742"/>
      <c r="E742">
        <v>1</v>
      </c>
      <c r="F742" s="2">
        <v>22534.63</v>
      </c>
    </row>
    <row r="743" spans="1:6" x14ac:dyDescent="0.4">
      <c r="C743" s="11" t="s">
        <v>369</v>
      </c>
      <c r="D743"/>
      <c r="E743">
        <v>1</v>
      </c>
      <c r="F743" s="2">
        <v>22534.63</v>
      </c>
    </row>
    <row r="744" spans="1:6" x14ac:dyDescent="0.4">
      <c r="C744" s="39" t="s">
        <v>597</v>
      </c>
      <c r="D744" s="10" t="s">
        <v>395</v>
      </c>
      <c r="E744">
        <v>1</v>
      </c>
      <c r="F744" s="2">
        <v>22534.63</v>
      </c>
    </row>
    <row r="745" spans="1:6" x14ac:dyDescent="0.4">
      <c r="B745" s="10" t="s">
        <v>390</v>
      </c>
      <c r="C745" s="10" t="s">
        <v>316</v>
      </c>
      <c r="D745"/>
      <c r="E745">
        <v>1</v>
      </c>
      <c r="F745" s="2">
        <v>2154.85</v>
      </c>
    </row>
    <row r="746" spans="1:6" x14ac:dyDescent="0.4">
      <c r="C746" s="11" t="s">
        <v>3</v>
      </c>
      <c r="D746"/>
      <c r="E746">
        <v>1</v>
      </c>
      <c r="F746" s="2">
        <v>2154.85</v>
      </c>
    </row>
    <row r="747" spans="1:6" x14ac:dyDescent="0.4">
      <c r="C747" s="39" t="s">
        <v>529</v>
      </c>
      <c r="D747" s="10" t="s">
        <v>322</v>
      </c>
      <c r="E747">
        <v>1</v>
      </c>
      <c r="F747" s="2">
        <v>2154.85</v>
      </c>
    </row>
    <row r="748" spans="1:6" x14ac:dyDescent="0.4">
      <c r="B748" s="10" t="s">
        <v>670</v>
      </c>
      <c r="C748" s="10" t="s">
        <v>316</v>
      </c>
      <c r="D748"/>
      <c r="E748">
        <v>1</v>
      </c>
      <c r="F748" s="2">
        <v>51.99</v>
      </c>
    </row>
    <row r="749" spans="1:6" x14ac:dyDescent="0.4">
      <c r="C749" s="11" t="s">
        <v>4</v>
      </c>
      <c r="D749"/>
      <c r="E749">
        <v>1</v>
      </c>
      <c r="F749" s="2">
        <v>51.99</v>
      </c>
    </row>
    <row r="750" spans="1:6" x14ac:dyDescent="0.4">
      <c r="C750" s="39" t="s">
        <v>533</v>
      </c>
      <c r="D750" s="10" t="s">
        <v>322</v>
      </c>
      <c r="E750">
        <v>1</v>
      </c>
      <c r="F750" s="2">
        <v>51.99</v>
      </c>
    </row>
    <row r="751" spans="1:6" x14ac:dyDescent="0.4">
      <c r="B751" s="10" t="s">
        <v>671</v>
      </c>
      <c r="C751" s="10" t="s">
        <v>316</v>
      </c>
      <c r="D751"/>
      <c r="E751">
        <v>1</v>
      </c>
      <c r="F751" s="2">
        <v>6225.2</v>
      </c>
    </row>
    <row r="752" spans="1:6" x14ac:dyDescent="0.4">
      <c r="C752" s="11" t="s">
        <v>4</v>
      </c>
      <c r="D752"/>
      <c r="E752">
        <v>1</v>
      </c>
      <c r="F752" s="2">
        <v>6225.2</v>
      </c>
    </row>
    <row r="753" spans="1:6" x14ac:dyDescent="0.4">
      <c r="C753" s="39" t="s">
        <v>672</v>
      </c>
      <c r="D753" s="10" t="s">
        <v>322</v>
      </c>
      <c r="E753">
        <v>1</v>
      </c>
      <c r="F753" s="2">
        <v>6225.2</v>
      </c>
    </row>
    <row r="754" spans="1:6" x14ac:dyDescent="0.4">
      <c r="A754" s="10" t="s">
        <v>673</v>
      </c>
      <c r="B754" s="10" t="s">
        <v>674</v>
      </c>
      <c r="C754" s="10" t="s">
        <v>316</v>
      </c>
      <c r="D754"/>
      <c r="E754">
        <v>1</v>
      </c>
      <c r="F754" s="2">
        <v>10506</v>
      </c>
    </row>
    <row r="755" spans="1:6" x14ac:dyDescent="0.4">
      <c r="C755" s="11" t="s">
        <v>5</v>
      </c>
      <c r="D755"/>
      <c r="E755">
        <v>1</v>
      </c>
      <c r="F755" s="2">
        <v>10506</v>
      </c>
    </row>
    <row r="756" spans="1:6" x14ac:dyDescent="0.4">
      <c r="C756" s="39" t="s">
        <v>359</v>
      </c>
      <c r="D756" s="10" t="s">
        <v>361</v>
      </c>
      <c r="E756">
        <v>1</v>
      </c>
      <c r="F756" s="2">
        <v>10506</v>
      </c>
    </row>
    <row r="757" spans="1:6" x14ac:dyDescent="0.4">
      <c r="B757" s="10" t="s">
        <v>675</v>
      </c>
      <c r="C757" s="10" t="s">
        <v>316</v>
      </c>
      <c r="D757"/>
      <c r="E757">
        <v>1</v>
      </c>
      <c r="F757" s="2">
        <v>12108</v>
      </c>
    </row>
    <row r="758" spans="1:6" x14ac:dyDescent="0.4">
      <c r="C758" s="11" t="s">
        <v>5</v>
      </c>
      <c r="D758"/>
      <c r="E758">
        <v>1</v>
      </c>
      <c r="F758" s="2">
        <v>12108</v>
      </c>
    </row>
    <row r="759" spans="1:6" x14ac:dyDescent="0.4">
      <c r="C759" s="39" t="s">
        <v>359</v>
      </c>
      <c r="D759" s="10" t="s">
        <v>395</v>
      </c>
      <c r="E759">
        <v>1</v>
      </c>
      <c r="F759" s="2">
        <v>12108</v>
      </c>
    </row>
    <row r="760" spans="1:6" x14ac:dyDescent="0.4">
      <c r="A760" s="10" t="s">
        <v>676</v>
      </c>
      <c r="B760" s="10" t="s">
        <v>677</v>
      </c>
      <c r="C760" s="10" t="s">
        <v>316</v>
      </c>
      <c r="D760"/>
      <c r="E760">
        <v>1</v>
      </c>
      <c r="F760" s="2">
        <v>0</v>
      </c>
    </row>
    <row r="761" spans="1:6" x14ac:dyDescent="0.4">
      <c r="C761" s="11" t="s">
        <v>2</v>
      </c>
      <c r="D761"/>
      <c r="E761">
        <v>1</v>
      </c>
      <c r="F761" s="2">
        <v>0</v>
      </c>
    </row>
    <row r="762" spans="1:6" x14ac:dyDescent="0.4">
      <c r="C762" s="39" t="s">
        <v>465</v>
      </c>
      <c r="D762" s="10" t="s">
        <v>329</v>
      </c>
      <c r="E762">
        <v>1</v>
      </c>
      <c r="F762" s="2">
        <v>0</v>
      </c>
    </row>
    <row r="763" spans="1:6" x14ac:dyDescent="0.4">
      <c r="B763" s="10" t="s">
        <v>678</v>
      </c>
      <c r="C763" s="10" t="s">
        <v>316</v>
      </c>
      <c r="D763"/>
      <c r="E763">
        <v>1</v>
      </c>
      <c r="F763" s="2">
        <v>481.56</v>
      </c>
    </row>
    <row r="764" spans="1:6" x14ac:dyDescent="0.4">
      <c r="C764" s="11" t="s">
        <v>4</v>
      </c>
      <c r="D764"/>
      <c r="E764">
        <v>1</v>
      </c>
      <c r="F764" s="2">
        <v>481.56</v>
      </c>
    </row>
    <row r="765" spans="1:6" x14ac:dyDescent="0.4">
      <c r="C765" s="39" t="s">
        <v>592</v>
      </c>
      <c r="D765" s="10" t="s">
        <v>322</v>
      </c>
      <c r="E765">
        <v>1</v>
      </c>
      <c r="F765" s="2">
        <v>481.56</v>
      </c>
    </row>
    <row r="766" spans="1:6" x14ac:dyDescent="0.4">
      <c r="B766" s="10" t="s">
        <v>679</v>
      </c>
      <c r="C766" s="10" t="s">
        <v>316</v>
      </c>
      <c r="D766"/>
      <c r="E766">
        <v>1</v>
      </c>
      <c r="F766" s="2">
        <v>0</v>
      </c>
    </row>
    <row r="767" spans="1:6" x14ac:dyDescent="0.4">
      <c r="C767" s="11" t="s">
        <v>5</v>
      </c>
      <c r="D767"/>
      <c r="E767">
        <v>1</v>
      </c>
      <c r="F767" s="2">
        <v>0</v>
      </c>
    </row>
    <row r="768" spans="1:6" x14ac:dyDescent="0.4">
      <c r="C768" s="39" t="s">
        <v>359</v>
      </c>
      <c r="D768" s="10" t="s">
        <v>361</v>
      </c>
      <c r="E768">
        <v>1</v>
      </c>
      <c r="F768" s="2">
        <v>0</v>
      </c>
    </row>
    <row r="769" spans="1:6" x14ac:dyDescent="0.4">
      <c r="B769" s="10" t="s">
        <v>680</v>
      </c>
      <c r="C769" s="10" t="s">
        <v>316</v>
      </c>
      <c r="D769"/>
      <c r="E769">
        <v>1</v>
      </c>
      <c r="F769" s="2">
        <v>620</v>
      </c>
    </row>
    <row r="770" spans="1:6" x14ac:dyDescent="0.4">
      <c r="C770" s="11" t="s">
        <v>4</v>
      </c>
      <c r="D770"/>
      <c r="E770">
        <v>1</v>
      </c>
      <c r="F770" s="2">
        <v>620</v>
      </c>
    </row>
    <row r="771" spans="1:6" x14ac:dyDescent="0.4">
      <c r="C771" s="39" t="s">
        <v>425</v>
      </c>
      <c r="D771" s="10" t="s">
        <v>322</v>
      </c>
      <c r="E771">
        <v>1</v>
      </c>
      <c r="F771" s="2">
        <v>620</v>
      </c>
    </row>
    <row r="772" spans="1:6" x14ac:dyDescent="0.4">
      <c r="A772" s="10" t="s">
        <v>681</v>
      </c>
      <c r="B772" s="10" t="s">
        <v>315</v>
      </c>
      <c r="C772" s="10" t="s">
        <v>316</v>
      </c>
      <c r="D772"/>
      <c r="E772">
        <v>1</v>
      </c>
      <c r="F772" s="2">
        <v>9170</v>
      </c>
    </row>
    <row r="773" spans="1:6" x14ac:dyDescent="0.4">
      <c r="C773" s="11" t="s">
        <v>8</v>
      </c>
      <c r="D773"/>
      <c r="E773">
        <v>1</v>
      </c>
      <c r="F773" s="2">
        <v>9170</v>
      </c>
    </row>
    <row r="774" spans="1:6" x14ac:dyDescent="0.4">
      <c r="C774" s="39" t="s">
        <v>317</v>
      </c>
      <c r="D774" s="10" t="s">
        <v>539</v>
      </c>
      <c r="E774">
        <v>1</v>
      </c>
      <c r="F774" s="2">
        <v>9170</v>
      </c>
    </row>
    <row r="775" spans="1:6" x14ac:dyDescent="0.4">
      <c r="B775" s="10" t="s">
        <v>682</v>
      </c>
      <c r="C775" s="10" t="s">
        <v>316</v>
      </c>
      <c r="D775"/>
      <c r="E775">
        <v>1</v>
      </c>
      <c r="F775" s="2">
        <v>4650</v>
      </c>
    </row>
    <row r="776" spans="1:6" x14ac:dyDescent="0.4">
      <c r="C776" s="11" t="s">
        <v>3</v>
      </c>
      <c r="D776"/>
      <c r="E776">
        <v>1</v>
      </c>
      <c r="F776" s="2">
        <v>4650</v>
      </c>
    </row>
    <row r="777" spans="1:6" x14ac:dyDescent="0.4">
      <c r="C777" s="39" t="s">
        <v>343</v>
      </c>
      <c r="D777" s="10" t="s">
        <v>322</v>
      </c>
      <c r="E777">
        <v>1</v>
      </c>
      <c r="F777" s="2">
        <v>4650</v>
      </c>
    </row>
    <row r="778" spans="1:6" x14ac:dyDescent="0.4">
      <c r="B778" s="10" t="s">
        <v>578</v>
      </c>
      <c r="C778" s="10" t="s">
        <v>316</v>
      </c>
      <c r="D778"/>
      <c r="E778">
        <v>1</v>
      </c>
      <c r="F778" s="2">
        <v>350</v>
      </c>
    </row>
    <row r="779" spans="1:6" x14ac:dyDescent="0.4">
      <c r="C779" s="11" t="s">
        <v>5</v>
      </c>
      <c r="D779"/>
      <c r="E779">
        <v>1</v>
      </c>
      <c r="F779" s="2">
        <v>350</v>
      </c>
    </row>
    <row r="780" spans="1:6" x14ac:dyDescent="0.4">
      <c r="C780" s="39" t="s">
        <v>359</v>
      </c>
      <c r="D780" s="10" t="s">
        <v>361</v>
      </c>
      <c r="E780">
        <v>1</v>
      </c>
      <c r="F780" s="2">
        <v>350</v>
      </c>
    </row>
    <row r="781" spans="1:6" x14ac:dyDescent="0.4">
      <c r="B781" s="10" t="s">
        <v>683</v>
      </c>
      <c r="C781" s="10" t="s">
        <v>316</v>
      </c>
      <c r="D781"/>
      <c r="E781">
        <v>1</v>
      </c>
      <c r="F781" s="2">
        <v>5</v>
      </c>
    </row>
    <row r="782" spans="1:6" x14ac:dyDescent="0.4">
      <c r="C782" s="11" t="s">
        <v>1</v>
      </c>
      <c r="D782"/>
      <c r="E782">
        <v>1</v>
      </c>
      <c r="F782" s="2">
        <v>5</v>
      </c>
    </row>
    <row r="783" spans="1:6" x14ac:dyDescent="0.4">
      <c r="C783" s="39" t="s">
        <v>392</v>
      </c>
      <c r="D783" s="10" t="s">
        <v>329</v>
      </c>
      <c r="E783">
        <v>1</v>
      </c>
      <c r="F783" s="2">
        <v>5</v>
      </c>
    </row>
    <row r="784" spans="1:6" x14ac:dyDescent="0.4">
      <c r="B784" s="10" t="s">
        <v>684</v>
      </c>
      <c r="C784" s="10" t="s">
        <v>316</v>
      </c>
      <c r="D784"/>
      <c r="E784">
        <v>1</v>
      </c>
      <c r="F784" s="2">
        <v>1107.4100000000001</v>
      </c>
    </row>
    <row r="785" spans="2:6" x14ac:dyDescent="0.4">
      <c r="C785" s="11" t="s">
        <v>1</v>
      </c>
      <c r="D785"/>
      <c r="E785">
        <v>1</v>
      </c>
      <c r="F785" s="2">
        <v>1107.4100000000001</v>
      </c>
    </row>
    <row r="786" spans="2:6" x14ac:dyDescent="0.4">
      <c r="C786" s="39" t="s">
        <v>685</v>
      </c>
      <c r="D786" s="10" t="s">
        <v>322</v>
      </c>
      <c r="E786">
        <v>1</v>
      </c>
      <c r="F786" s="2">
        <v>1107.4100000000001</v>
      </c>
    </row>
    <row r="787" spans="2:6" x14ac:dyDescent="0.4">
      <c r="B787" s="10" t="s">
        <v>686</v>
      </c>
      <c r="C787" s="10" t="s">
        <v>316</v>
      </c>
      <c r="D787"/>
      <c r="E787">
        <v>1</v>
      </c>
      <c r="F787" s="2">
        <v>875</v>
      </c>
    </row>
    <row r="788" spans="2:6" x14ac:dyDescent="0.4">
      <c r="C788" s="11" t="s">
        <v>2</v>
      </c>
      <c r="D788"/>
      <c r="E788">
        <v>1</v>
      </c>
      <c r="F788" s="2">
        <v>875</v>
      </c>
    </row>
    <row r="789" spans="2:6" x14ac:dyDescent="0.4">
      <c r="C789" s="39" t="s">
        <v>687</v>
      </c>
      <c r="D789" s="10" t="s">
        <v>322</v>
      </c>
      <c r="E789">
        <v>1</v>
      </c>
      <c r="F789" s="2">
        <v>875</v>
      </c>
    </row>
    <row r="790" spans="2:6" x14ac:dyDescent="0.4">
      <c r="B790" s="10" t="s">
        <v>510</v>
      </c>
      <c r="C790" s="10" t="s">
        <v>316</v>
      </c>
      <c r="D790"/>
      <c r="E790">
        <v>1</v>
      </c>
      <c r="F790" s="2">
        <v>39.979999999999997</v>
      </c>
    </row>
    <row r="791" spans="2:6" x14ac:dyDescent="0.4">
      <c r="C791" s="11" t="s">
        <v>3</v>
      </c>
      <c r="D791"/>
      <c r="E791">
        <v>1</v>
      </c>
      <c r="F791" s="2">
        <v>39.979999999999997</v>
      </c>
    </row>
    <row r="792" spans="2:6" x14ac:dyDescent="0.4">
      <c r="C792" s="39" t="s">
        <v>641</v>
      </c>
      <c r="D792" s="10" t="s">
        <v>322</v>
      </c>
      <c r="E792">
        <v>1</v>
      </c>
      <c r="F792" s="2">
        <v>39.979999999999997</v>
      </c>
    </row>
    <row r="793" spans="2:6" x14ac:dyDescent="0.4">
      <c r="B793" s="10" t="s">
        <v>688</v>
      </c>
      <c r="C793" s="10" t="s">
        <v>316</v>
      </c>
      <c r="D793"/>
      <c r="E793">
        <v>1</v>
      </c>
      <c r="F793" s="2">
        <v>725</v>
      </c>
    </row>
    <row r="794" spans="2:6" x14ac:dyDescent="0.4">
      <c r="C794" s="11" t="s">
        <v>3</v>
      </c>
      <c r="D794"/>
      <c r="E794">
        <v>1</v>
      </c>
      <c r="F794" s="2">
        <v>725</v>
      </c>
    </row>
    <row r="795" spans="2:6" x14ac:dyDescent="0.4">
      <c r="C795" s="39" t="s">
        <v>616</v>
      </c>
      <c r="D795" s="10" t="s">
        <v>322</v>
      </c>
      <c r="E795">
        <v>1</v>
      </c>
      <c r="F795" s="2">
        <v>725</v>
      </c>
    </row>
    <row r="796" spans="2:6" x14ac:dyDescent="0.4">
      <c r="B796" s="10" t="s">
        <v>689</v>
      </c>
      <c r="C796" s="10" t="s">
        <v>316</v>
      </c>
      <c r="D796"/>
      <c r="E796">
        <v>1</v>
      </c>
      <c r="F796" s="2">
        <v>1275</v>
      </c>
    </row>
    <row r="797" spans="2:6" x14ac:dyDescent="0.4">
      <c r="C797" s="11" t="s">
        <v>4</v>
      </c>
      <c r="D797"/>
      <c r="E797">
        <v>1</v>
      </c>
      <c r="F797" s="2">
        <v>1275</v>
      </c>
    </row>
    <row r="798" spans="2:6" x14ac:dyDescent="0.4">
      <c r="C798" s="39" t="s">
        <v>386</v>
      </c>
      <c r="D798" s="10" t="s">
        <v>329</v>
      </c>
      <c r="E798">
        <v>1</v>
      </c>
      <c r="F798" s="2">
        <v>1275</v>
      </c>
    </row>
    <row r="799" spans="2:6" x14ac:dyDescent="0.4">
      <c r="B799" s="10" t="s">
        <v>690</v>
      </c>
      <c r="C799" s="10" t="s">
        <v>316</v>
      </c>
      <c r="D799"/>
      <c r="E799">
        <v>1</v>
      </c>
      <c r="F799" s="2">
        <v>15.45</v>
      </c>
    </row>
    <row r="800" spans="2:6" x14ac:dyDescent="0.4">
      <c r="C800" s="11" t="s">
        <v>4</v>
      </c>
      <c r="D800"/>
      <c r="E800">
        <v>1</v>
      </c>
      <c r="F800" s="2">
        <v>15.45</v>
      </c>
    </row>
    <row r="801" spans="1:6" x14ac:dyDescent="0.4">
      <c r="C801" s="39" t="s">
        <v>389</v>
      </c>
      <c r="D801" s="10" t="s">
        <v>322</v>
      </c>
      <c r="E801">
        <v>1</v>
      </c>
      <c r="F801" s="2">
        <v>15.45</v>
      </c>
    </row>
    <row r="802" spans="1:6" x14ac:dyDescent="0.4">
      <c r="A802" s="10" t="s">
        <v>691</v>
      </c>
      <c r="B802" s="10" t="s">
        <v>692</v>
      </c>
      <c r="C802" s="10" t="s">
        <v>316</v>
      </c>
      <c r="D802"/>
      <c r="E802">
        <v>1</v>
      </c>
      <c r="F802" s="2">
        <v>10000</v>
      </c>
    </row>
    <row r="803" spans="1:6" x14ac:dyDescent="0.4">
      <c r="C803" s="11" t="s">
        <v>12</v>
      </c>
      <c r="D803"/>
      <c r="E803">
        <v>1</v>
      </c>
      <c r="F803" s="2">
        <v>10000</v>
      </c>
    </row>
    <row r="804" spans="1:6" x14ac:dyDescent="0.4">
      <c r="C804" s="39" t="s">
        <v>398</v>
      </c>
      <c r="D804" s="10" t="s">
        <v>414</v>
      </c>
      <c r="E804">
        <v>1</v>
      </c>
      <c r="F804" s="2">
        <v>10000</v>
      </c>
    </row>
    <row r="805" spans="1:6" x14ac:dyDescent="0.4">
      <c r="B805" s="10" t="s">
        <v>693</v>
      </c>
      <c r="C805" s="10" t="s">
        <v>316</v>
      </c>
      <c r="D805"/>
      <c r="E805">
        <v>1</v>
      </c>
      <c r="F805" s="2">
        <v>375</v>
      </c>
    </row>
    <row r="806" spans="1:6" x14ac:dyDescent="0.4">
      <c r="C806" s="11" t="s">
        <v>1</v>
      </c>
      <c r="D806"/>
      <c r="E806">
        <v>1</v>
      </c>
      <c r="F806" s="2">
        <v>375</v>
      </c>
    </row>
    <row r="807" spans="1:6" x14ac:dyDescent="0.4">
      <c r="C807" s="39" t="s">
        <v>373</v>
      </c>
      <c r="D807" s="10" t="s">
        <v>322</v>
      </c>
      <c r="E807">
        <v>1</v>
      </c>
      <c r="F807" s="2">
        <v>375</v>
      </c>
    </row>
    <row r="808" spans="1:6" x14ac:dyDescent="0.4">
      <c r="A808" s="10" t="s">
        <v>694</v>
      </c>
      <c r="B808" s="10" t="s">
        <v>368</v>
      </c>
      <c r="C808" s="10" t="s">
        <v>316</v>
      </c>
      <c r="D808"/>
      <c r="E808">
        <v>1</v>
      </c>
      <c r="F808" s="2">
        <v>3220</v>
      </c>
    </row>
    <row r="809" spans="1:6" x14ac:dyDescent="0.4">
      <c r="C809" s="11" t="s">
        <v>5</v>
      </c>
      <c r="D809"/>
      <c r="E809">
        <v>1</v>
      </c>
      <c r="F809" s="2">
        <v>3220</v>
      </c>
    </row>
    <row r="810" spans="1:6" x14ac:dyDescent="0.4">
      <c r="C810" s="39" t="s">
        <v>695</v>
      </c>
      <c r="D810" s="10" t="s">
        <v>318</v>
      </c>
      <c r="E810">
        <v>1</v>
      </c>
      <c r="F810" s="2">
        <v>3220</v>
      </c>
    </row>
    <row r="811" spans="1:6" x14ac:dyDescent="0.4">
      <c r="B811" s="10" t="s">
        <v>434</v>
      </c>
      <c r="C811" s="10" t="s">
        <v>316</v>
      </c>
      <c r="D811"/>
      <c r="E811">
        <v>1</v>
      </c>
      <c r="F811" s="2">
        <v>62.5</v>
      </c>
    </row>
    <row r="812" spans="1:6" x14ac:dyDescent="0.4">
      <c r="C812" s="11" t="s">
        <v>5</v>
      </c>
      <c r="D812"/>
      <c r="E812">
        <v>1</v>
      </c>
      <c r="F812" s="2">
        <v>62.5</v>
      </c>
    </row>
    <row r="813" spans="1:6" x14ac:dyDescent="0.4">
      <c r="C813" s="39" t="s">
        <v>359</v>
      </c>
      <c r="D813" s="10" t="s">
        <v>401</v>
      </c>
      <c r="E813">
        <v>1</v>
      </c>
      <c r="F813" s="2">
        <v>62.5</v>
      </c>
    </row>
    <row r="814" spans="1:6" x14ac:dyDescent="0.4">
      <c r="B814" s="10" t="s">
        <v>696</v>
      </c>
      <c r="C814" s="10" t="s">
        <v>316</v>
      </c>
      <c r="D814"/>
      <c r="E814">
        <v>1</v>
      </c>
      <c r="F814" s="2">
        <v>0</v>
      </c>
    </row>
    <row r="815" spans="1:6" x14ac:dyDescent="0.4">
      <c r="C815" s="11" t="s">
        <v>2</v>
      </c>
      <c r="D815"/>
      <c r="E815">
        <v>1</v>
      </c>
      <c r="F815" s="2">
        <v>0</v>
      </c>
    </row>
    <row r="816" spans="1:6" x14ac:dyDescent="0.4">
      <c r="C816" s="39" t="s">
        <v>328</v>
      </c>
      <c r="D816" s="10" t="s">
        <v>329</v>
      </c>
      <c r="E816">
        <v>1</v>
      </c>
      <c r="F816" s="2">
        <v>0</v>
      </c>
    </row>
    <row r="817" spans="1:6" x14ac:dyDescent="0.4">
      <c r="B817" s="10" t="s">
        <v>697</v>
      </c>
      <c r="C817" s="10" t="s">
        <v>316</v>
      </c>
      <c r="D817"/>
      <c r="E817">
        <v>1</v>
      </c>
      <c r="F817" s="2">
        <v>14621.02</v>
      </c>
    </row>
    <row r="818" spans="1:6" x14ac:dyDescent="0.4">
      <c r="C818" s="11" t="s">
        <v>4</v>
      </c>
      <c r="D818"/>
      <c r="E818">
        <v>1</v>
      </c>
      <c r="F818" s="2">
        <v>14621.02</v>
      </c>
    </row>
    <row r="819" spans="1:6" x14ac:dyDescent="0.4">
      <c r="C819" s="39" t="s">
        <v>386</v>
      </c>
      <c r="D819" s="10" t="s">
        <v>322</v>
      </c>
      <c r="E819">
        <v>1</v>
      </c>
      <c r="F819" s="2">
        <v>14621.02</v>
      </c>
    </row>
    <row r="820" spans="1:6" x14ac:dyDescent="0.4">
      <c r="A820" s="10" t="s">
        <v>698</v>
      </c>
      <c r="B820" s="10" t="s">
        <v>434</v>
      </c>
      <c r="C820" s="10" t="s">
        <v>316</v>
      </c>
      <c r="D820"/>
      <c r="E820">
        <v>1</v>
      </c>
      <c r="F820" s="2">
        <v>189</v>
      </c>
    </row>
    <row r="821" spans="1:6" x14ac:dyDescent="0.4">
      <c r="C821" s="11" t="s">
        <v>2</v>
      </c>
      <c r="D821"/>
      <c r="E821">
        <v>1</v>
      </c>
      <c r="F821" s="2">
        <v>189</v>
      </c>
    </row>
    <row r="822" spans="1:6" x14ac:dyDescent="0.4">
      <c r="C822" s="39" t="s">
        <v>328</v>
      </c>
      <c r="D822" s="10" t="s">
        <v>361</v>
      </c>
      <c r="E822">
        <v>1</v>
      </c>
      <c r="F822" s="2">
        <v>189</v>
      </c>
    </row>
    <row r="823" spans="1:6" x14ac:dyDescent="0.4">
      <c r="B823" s="10" t="s">
        <v>699</v>
      </c>
      <c r="C823" s="10" t="s">
        <v>316</v>
      </c>
      <c r="D823"/>
      <c r="E823">
        <v>1</v>
      </c>
      <c r="F823" s="2">
        <v>167.76</v>
      </c>
    </row>
    <row r="824" spans="1:6" x14ac:dyDescent="0.4">
      <c r="C824" s="11" t="s">
        <v>3</v>
      </c>
      <c r="D824"/>
      <c r="E824">
        <v>1</v>
      </c>
      <c r="F824" s="2">
        <v>167.76</v>
      </c>
    </row>
    <row r="825" spans="1:6" x14ac:dyDescent="0.4">
      <c r="C825" s="39" t="s">
        <v>700</v>
      </c>
      <c r="D825" s="10" t="s">
        <v>322</v>
      </c>
      <c r="E825">
        <v>1</v>
      </c>
      <c r="F825" s="2">
        <v>167.76</v>
      </c>
    </row>
    <row r="826" spans="1:6" x14ac:dyDescent="0.4">
      <c r="A826" s="10" t="s">
        <v>701</v>
      </c>
      <c r="B826" s="10" t="s">
        <v>602</v>
      </c>
      <c r="C826" s="10" t="s">
        <v>316</v>
      </c>
      <c r="D826"/>
      <c r="E826">
        <v>1</v>
      </c>
      <c r="F826" s="2">
        <v>1399.25</v>
      </c>
    </row>
    <row r="827" spans="1:6" x14ac:dyDescent="0.4">
      <c r="C827" s="11" t="s">
        <v>1</v>
      </c>
      <c r="D827"/>
      <c r="E827">
        <v>1</v>
      </c>
      <c r="F827" s="2">
        <v>1399.25</v>
      </c>
    </row>
    <row r="828" spans="1:6" x14ac:dyDescent="0.4">
      <c r="C828" s="39" t="s">
        <v>454</v>
      </c>
      <c r="D828" s="10" t="s">
        <v>322</v>
      </c>
      <c r="E828">
        <v>1</v>
      </c>
      <c r="F828" s="2">
        <v>1399.25</v>
      </c>
    </row>
    <row r="829" spans="1:6" x14ac:dyDescent="0.4">
      <c r="A829" s="10" t="s">
        <v>702</v>
      </c>
      <c r="B829" s="10" t="s">
        <v>703</v>
      </c>
      <c r="C829" s="10" t="s">
        <v>316</v>
      </c>
      <c r="D829"/>
      <c r="E829">
        <v>1</v>
      </c>
      <c r="F829" s="2">
        <v>4680</v>
      </c>
    </row>
    <row r="830" spans="1:6" x14ac:dyDescent="0.4">
      <c r="C830" s="11" t="s">
        <v>3</v>
      </c>
      <c r="D830"/>
      <c r="E830">
        <v>1</v>
      </c>
      <c r="F830" s="2">
        <v>4680</v>
      </c>
    </row>
    <row r="831" spans="1:6" x14ac:dyDescent="0.4">
      <c r="C831" s="39" t="s">
        <v>343</v>
      </c>
      <c r="D831" s="10" t="s">
        <v>322</v>
      </c>
      <c r="E831">
        <v>1</v>
      </c>
      <c r="F831" s="2">
        <v>4680</v>
      </c>
    </row>
    <row r="832" spans="1:6" x14ac:dyDescent="0.4">
      <c r="B832" s="10" t="s">
        <v>704</v>
      </c>
      <c r="C832" s="10" t="s">
        <v>316</v>
      </c>
      <c r="D832"/>
      <c r="E832">
        <v>1</v>
      </c>
      <c r="F832" s="2">
        <v>460</v>
      </c>
    </row>
    <row r="833" spans="1:6" x14ac:dyDescent="0.4">
      <c r="C833" s="11" t="s">
        <v>3</v>
      </c>
      <c r="D833"/>
      <c r="E833">
        <v>1</v>
      </c>
      <c r="F833" s="2">
        <v>460</v>
      </c>
    </row>
    <row r="834" spans="1:6" x14ac:dyDescent="0.4">
      <c r="C834" s="39" t="s">
        <v>656</v>
      </c>
      <c r="D834" s="10" t="s">
        <v>322</v>
      </c>
      <c r="E834">
        <v>1</v>
      </c>
      <c r="F834" s="2">
        <v>460</v>
      </c>
    </row>
    <row r="835" spans="1:6" x14ac:dyDescent="0.4">
      <c r="B835" s="10" t="s">
        <v>705</v>
      </c>
      <c r="C835" s="10" t="s">
        <v>316</v>
      </c>
      <c r="D835"/>
      <c r="E835">
        <v>1</v>
      </c>
      <c r="F835" s="2">
        <v>1362.98</v>
      </c>
    </row>
    <row r="836" spans="1:6" x14ac:dyDescent="0.4">
      <c r="C836" s="11" t="s">
        <v>3</v>
      </c>
      <c r="D836"/>
      <c r="E836">
        <v>1</v>
      </c>
      <c r="F836" s="2">
        <v>1362.98</v>
      </c>
    </row>
    <row r="837" spans="1:6" x14ac:dyDescent="0.4">
      <c r="C837" s="39" t="s">
        <v>641</v>
      </c>
      <c r="D837" s="10" t="s">
        <v>322</v>
      </c>
      <c r="E837">
        <v>1</v>
      </c>
      <c r="F837" s="2">
        <v>1362.98</v>
      </c>
    </row>
    <row r="838" spans="1:6" x14ac:dyDescent="0.4">
      <c r="A838" s="10" t="s">
        <v>706</v>
      </c>
      <c r="B838" s="10" t="s">
        <v>707</v>
      </c>
      <c r="C838" s="10" t="s">
        <v>316</v>
      </c>
      <c r="D838"/>
      <c r="E838">
        <v>1</v>
      </c>
      <c r="F838" s="2">
        <v>1000</v>
      </c>
    </row>
    <row r="839" spans="1:6" x14ac:dyDescent="0.4">
      <c r="C839" s="11" t="s">
        <v>4</v>
      </c>
      <c r="D839"/>
      <c r="E839">
        <v>1</v>
      </c>
      <c r="F839" s="2">
        <v>1000</v>
      </c>
    </row>
    <row r="840" spans="1:6" x14ac:dyDescent="0.4">
      <c r="C840" s="39" t="s">
        <v>386</v>
      </c>
      <c r="D840" s="10" t="s">
        <v>414</v>
      </c>
      <c r="E840">
        <v>1</v>
      </c>
      <c r="F840" s="2">
        <v>1000</v>
      </c>
    </row>
    <row r="841" spans="1:6" x14ac:dyDescent="0.4">
      <c r="A841" s="10" t="s">
        <v>708</v>
      </c>
      <c r="B841" s="10" t="s">
        <v>623</v>
      </c>
      <c r="C841" s="10" t="s">
        <v>316</v>
      </c>
      <c r="D841"/>
      <c r="E841">
        <v>1</v>
      </c>
      <c r="F841" s="2">
        <v>1550</v>
      </c>
    </row>
    <row r="842" spans="1:6" x14ac:dyDescent="0.4">
      <c r="C842" s="11" t="s">
        <v>5</v>
      </c>
      <c r="D842"/>
      <c r="E842">
        <v>1</v>
      </c>
      <c r="F842" s="2">
        <v>1550</v>
      </c>
    </row>
    <row r="843" spans="1:6" x14ac:dyDescent="0.4">
      <c r="C843" s="39" t="s">
        <v>359</v>
      </c>
      <c r="D843" s="10" t="s">
        <v>395</v>
      </c>
      <c r="E843">
        <v>1</v>
      </c>
      <c r="F843" s="2">
        <v>1550</v>
      </c>
    </row>
    <row r="844" spans="1:6" x14ac:dyDescent="0.4">
      <c r="B844" s="10" t="s">
        <v>709</v>
      </c>
      <c r="C844" s="10" t="s">
        <v>316</v>
      </c>
      <c r="D844"/>
      <c r="E844">
        <v>1</v>
      </c>
      <c r="F844" s="2">
        <v>3530</v>
      </c>
    </row>
    <row r="845" spans="1:6" x14ac:dyDescent="0.4">
      <c r="C845" s="11" t="s">
        <v>5</v>
      </c>
      <c r="D845"/>
      <c r="E845">
        <v>1</v>
      </c>
      <c r="F845" s="2">
        <v>3530</v>
      </c>
    </row>
    <row r="846" spans="1:6" x14ac:dyDescent="0.4">
      <c r="C846" s="39" t="s">
        <v>359</v>
      </c>
      <c r="D846" s="10" t="s">
        <v>395</v>
      </c>
      <c r="E846">
        <v>1</v>
      </c>
      <c r="F846" s="2">
        <v>3530</v>
      </c>
    </row>
    <row r="847" spans="1:6" x14ac:dyDescent="0.4">
      <c r="B847" s="10" t="s">
        <v>710</v>
      </c>
      <c r="C847" s="10" t="s">
        <v>316</v>
      </c>
      <c r="D847"/>
      <c r="E847">
        <v>1</v>
      </c>
      <c r="F847" s="2">
        <v>0</v>
      </c>
    </row>
    <row r="848" spans="1:6" x14ac:dyDescent="0.4">
      <c r="C848" s="11" t="s">
        <v>5</v>
      </c>
      <c r="D848"/>
      <c r="E848">
        <v>1</v>
      </c>
      <c r="F848" s="2">
        <v>0</v>
      </c>
    </row>
    <row r="849" spans="1:6" x14ac:dyDescent="0.4">
      <c r="C849" s="39" t="s">
        <v>359</v>
      </c>
      <c r="D849" s="10" t="s">
        <v>395</v>
      </c>
      <c r="E849">
        <v>1</v>
      </c>
      <c r="F849" s="2">
        <v>0</v>
      </c>
    </row>
    <row r="850" spans="1:6" x14ac:dyDescent="0.4">
      <c r="B850" s="10" t="s">
        <v>711</v>
      </c>
      <c r="C850" s="10" t="s">
        <v>316</v>
      </c>
      <c r="D850"/>
      <c r="E850">
        <v>1</v>
      </c>
      <c r="F850" s="2">
        <v>0</v>
      </c>
    </row>
    <row r="851" spans="1:6" x14ac:dyDescent="0.4">
      <c r="C851" s="11" t="s">
        <v>1</v>
      </c>
      <c r="D851"/>
      <c r="E851">
        <v>1</v>
      </c>
      <c r="F851" s="2">
        <v>0</v>
      </c>
    </row>
    <row r="852" spans="1:6" x14ac:dyDescent="0.4">
      <c r="C852" s="39" t="s">
        <v>373</v>
      </c>
      <c r="D852" s="10" t="s">
        <v>329</v>
      </c>
      <c r="E852">
        <v>1</v>
      </c>
      <c r="F852" s="2">
        <v>0</v>
      </c>
    </row>
    <row r="853" spans="1:6" x14ac:dyDescent="0.4">
      <c r="B853" s="10" t="s">
        <v>712</v>
      </c>
      <c r="C853" s="10" t="s">
        <v>316</v>
      </c>
      <c r="D853"/>
      <c r="E853">
        <v>1</v>
      </c>
      <c r="F853" s="2">
        <v>0</v>
      </c>
    </row>
    <row r="854" spans="1:6" x14ac:dyDescent="0.4">
      <c r="C854" s="11" t="s">
        <v>5</v>
      </c>
      <c r="D854"/>
      <c r="E854">
        <v>1</v>
      </c>
      <c r="F854" s="2">
        <v>0</v>
      </c>
    </row>
    <row r="855" spans="1:6" x14ac:dyDescent="0.4">
      <c r="C855" s="39" t="s">
        <v>364</v>
      </c>
      <c r="D855" s="10" t="s">
        <v>361</v>
      </c>
      <c r="E855">
        <v>1</v>
      </c>
      <c r="F855" s="2">
        <v>0</v>
      </c>
    </row>
    <row r="856" spans="1:6" x14ac:dyDescent="0.4">
      <c r="A856" s="10" t="s">
        <v>713</v>
      </c>
      <c r="B856" s="10" t="s">
        <v>714</v>
      </c>
      <c r="C856" s="10" t="s">
        <v>316</v>
      </c>
      <c r="D856"/>
      <c r="E856">
        <v>1</v>
      </c>
      <c r="F856" s="2">
        <v>1030</v>
      </c>
    </row>
    <row r="857" spans="1:6" x14ac:dyDescent="0.4">
      <c r="C857" s="11" t="s">
        <v>5</v>
      </c>
      <c r="D857"/>
      <c r="E857">
        <v>1</v>
      </c>
      <c r="F857" s="2">
        <v>1030</v>
      </c>
    </row>
    <row r="858" spans="1:6" x14ac:dyDescent="0.4">
      <c r="C858" s="39" t="s">
        <v>364</v>
      </c>
      <c r="D858" s="10" t="s">
        <v>361</v>
      </c>
      <c r="E858">
        <v>1</v>
      </c>
      <c r="F858" s="2">
        <v>1030</v>
      </c>
    </row>
    <row r="859" spans="1:6" x14ac:dyDescent="0.4">
      <c r="B859" s="10" t="s">
        <v>368</v>
      </c>
      <c r="C859" s="10" t="s">
        <v>316</v>
      </c>
      <c r="D859"/>
      <c r="E859">
        <v>1</v>
      </c>
      <c r="F859" s="2">
        <v>0</v>
      </c>
    </row>
    <row r="860" spans="1:6" x14ac:dyDescent="0.4">
      <c r="C860" s="11" t="s">
        <v>6</v>
      </c>
      <c r="D860"/>
      <c r="E860">
        <v>1</v>
      </c>
      <c r="F860" s="2">
        <v>0</v>
      </c>
    </row>
    <row r="861" spans="1:6" x14ac:dyDescent="0.4">
      <c r="C861" s="39" t="s">
        <v>415</v>
      </c>
      <c r="D861" s="10" t="s">
        <v>361</v>
      </c>
      <c r="E861">
        <v>1</v>
      </c>
      <c r="F861" s="2">
        <v>0</v>
      </c>
    </row>
    <row r="862" spans="1:6" x14ac:dyDescent="0.4">
      <c r="B862" s="10" t="s">
        <v>715</v>
      </c>
      <c r="C862" s="10" t="s">
        <v>316</v>
      </c>
      <c r="D862"/>
      <c r="E862">
        <v>1</v>
      </c>
      <c r="F862" s="2">
        <v>7470</v>
      </c>
    </row>
    <row r="863" spans="1:6" x14ac:dyDescent="0.4">
      <c r="C863" s="11" t="s">
        <v>4</v>
      </c>
      <c r="D863"/>
      <c r="E863">
        <v>1</v>
      </c>
      <c r="F863" s="2">
        <v>7470</v>
      </c>
    </row>
    <row r="864" spans="1:6" x14ac:dyDescent="0.4">
      <c r="C864" s="39" t="s">
        <v>386</v>
      </c>
      <c r="D864" s="10" t="s">
        <v>322</v>
      </c>
      <c r="E864">
        <v>1</v>
      </c>
      <c r="F864" s="2">
        <v>7470</v>
      </c>
    </row>
    <row r="865" spans="1:6" x14ac:dyDescent="0.4">
      <c r="B865" s="10" t="s">
        <v>716</v>
      </c>
      <c r="C865" s="10" t="s">
        <v>316</v>
      </c>
      <c r="D865"/>
      <c r="E865">
        <v>1</v>
      </c>
      <c r="F865" s="2">
        <v>6569</v>
      </c>
    </row>
    <row r="866" spans="1:6" x14ac:dyDescent="0.4">
      <c r="C866" s="11" t="s">
        <v>4</v>
      </c>
      <c r="D866"/>
      <c r="E866">
        <v>1</v>
      </c>
      <c r="F866" s="2">
        <v>6569</v>
      </c>
    </row>
    <row r="867" spans="1:6" x14ac:dyDescent="0.4">
      <c r="C867" s="39" t="s">
        <v>386</v>
      </c>
      <c r="D867" s="10" t="s">
        <v>322</v>
      </c>
      <c r="E867">
        <v>1</v>
      </c>
      <c r="F867" s="2">
        <v>6569</v>
      </c>
    </row>
    <row r="868" spans="1:6" x14ac:dyDescent="0.4">
      <c r="A868" s="10" t="s">
        <v>717</v>
      </c>
      <c r="B868" s="10" t="s">
        <v>368</v>
      </c>
      <c r="C868" s="10" t="s">
        <v>316</v>
      </c>
      <c r="D868"/>
      <c r="E868">
        <v>1</v>
      </c>
      <c r="F868" s="2">
        <v>2077.8000000000002</v>
      </c>
    </row>
    <row r="869" spans="1:6" x14ac:dyDescent="0.4">
      <c r="C869" s="11" t="s">
        <v>3</v>
      </c>
      <c r="D869"/>
      <c r="E869">
        <v>1</v>
      </c>
      <c r="F869" s="2">
        <v>2077.8000000000002</v>
      </c>
    </row>
    <row r="870" spans="1:6" x14ac:dyDescent="0.4">
      <c r="C870" s="39" t="s">
        <v>343</v>
      </c>
      <c r="D870" s="10" t="s">
        <v>322</v>
      </c>
      <c r="E870">
        <v>1</v>
      </c>
      <c r="F870" s="2">
        <v>2077.8000000000002</v>
      </c>
    </row>
    <row r="871" spans="1:6" x14ac:dyDescent="0.4">
      <c r="B871" s="10" t="s">
        <v>718</v>
      </c>
      <c r="C871" s="10" t="s">
        <v>316</v>
      </c>
      <c r="D871"/>
      <c r="E871">
        <v>1</v>
      </c>
      <c r="F871" s="2">
        <v>3000</v>
      </c>
    </row>
    <row r="872" spans="1:6" x14ac:dyDescent="0.4">
      <c r="C872" s="11" t="s">
        <v>6</v>
      </c>
      <c r="D872"/>
      <c r="E872">
        <v>1</v>
      </c>
      <c r="F872" s="2">
        <v>3000</v>
      </c>
    </row>
    <row r="873" spans="1:6" x14ac:dyDescent="0.4">
      <c r="C873" s="39" t="s">
        <v>719</v>
      </c>
      <c r="D873" s="10" t="s">
        <v>573</v>
      </c>
      <c r="E873">
        <v>1</v>
      </c>
      <c r="F873" s="2">
        <v>3000</v>
      </c>
    </row>
    <row r="874" spans="1:6" x14ac:dyDescent="0.4">
      <c r="B874" s="10" t="s">
        <v>579</v>
      </c>
      <c r="C874" s="10" t="s">
        <v>316</v>
      </c>
      <c r="D874"/>
      <c r="E874">
        <v>1</v>
      </c>
      <c r="F874" s="2">
        <v>194.98</v>
      </c>
    </row>
    <row r="875" spans="1:6" x14ac:dyDescent="0.4">
      <c r="C875" s="11" t="s">
        <v>4</v>
      </c>
      <c r="D875"/>
      <c r="E875">
        <v>1</v>
      </c>
      <c r="F875" s="2">
        <v>194.98</v>
      </c>
    </row>
    <row r="876" spans="1:6" x14ac:dyDescent="0.4">
      <c r="C876" s="39" t="s">
        <v>386</v>
      </c>
      <c r="D876" s="10" t="s">
        <v>322</v>
      </c>
      <c r="E876">
        <v>1</v>
      </c>
      <c r="F876" s="2">
        <v>194.98</v>
      </c>
    </row>
    <row r="877" spans="1:6" x14ac:dyDescent="0.4">
      <c r="B877" s="10" t="s">
        <v>720</v>
      </c>
      <c r="C877" s="10" t="s">
        <v>316</v>
      </c>
      <c r="D877"/>
      <c r="E877">
        <v>1</v>
      </c>
      <c r="F877" s="2">
        <v>231</v>
      </c>
    </row>
    <row r="878" spans="1:6" x14ac:dyDescent="0.4">
      <c r="C878" s="11" t="s">
        <v>2</v>
      </c>
      <c r="D878"/>
      <c r="E878">
        <v>1</v>
      </c>
      <c r="F878" s="2">
        <v>231</v>
      </c>
    </row>
    <row r="879" spans="1:6" x14ac:dyDescent="0.4">
      <c r="C879" s="39" t="s">
        <v>328</v>
      </c>
      <c r="D879" s="10" t="s">
        <v>395</v>
      </c>
      <c r="E879">
        <v>1</v>
      </c>
      <c r="F879" s="2">
        <v>231</v>
      </c>
    </row>
    <row r="880" spans="1:6" x14ac:dyDescent="0.4">
      <c r="B880" s="10" t="s">
        <v>721</v>
      </c>
      <c r="C880" s="10" t="s">
        <v>316</v>
      </c>
      <c r="D880"/>
      <c r="E880">
        <v>1</v>
      </c>
      <c r="F880" s="2">
        <v>465</v>
      </c>
    </row>
    <row r="881" spans="1:6" x14ac:dyDescent="0.4">
      <c r="C881" s="11" t="s">
        <v>3</v>
      </c>
      <c r="D881"/>
      <c r="E881">
        <v>1</v>
      </c>
      <c r="F881" s="2">
        <v>465</v>
      </c>
    </row>
    <row r="882" spans="1:6" x14ac:dyDescent="0.4">
      <c r="C882" s="39" t="s">
        <v>343</v>
      </c>
      <c r="D882" s="10" t="s">
        <v>322</v>
      </c>
      <c r="E882">
        <v>1</v>
      </c>
      <c r="F882" s="2">
        <v>465</v>
      </c>
    </row>
    <row r="883" spans="1:6" x14ac:dyDescent="0.4">
      <c r="B883" s="10" t="s">
        <v>722</v>
      </c>
      <c r="C883" s="10" t="s">
        <v>316</v>
      </c>
      <c r="D883"/>
      <c r="E883">
        <v>1</v>
      </c>
      <c r="F883" s="2">
        <v>232.69</v>
      </c>
    </row>
    <row r="884" spans="1:6" x14ac:dyDescent="0.4">
      <c r="C884" s="11" t="s">
        <v>4</v>
      </c>
      <c r="D884"/>
      <c r="E884">
        <v>1</v>
      </c>
      <c r="F884" s="2">
        <v>232.69</v>
      </c>
    </row>
    <row r="885" spans="1:6" x14ac:dyDescent="0.4">
      <c r="C885" s="39" t="s">
        <v>542</v>
      </c>
      <c r="D885" s="10" t="s">
        <v>322</v>
      </c>
      <c r="E885">
        <v>1</v>
      </c>
      <c r="F885" s="2">
        <v>232.69</v>
      </c>
    </row>
    <row r="886" spans="1:6" x14ac:dyDescent="0.4">
      <c r="B886" s="10" t="s">
        <v>723</v>
      </c>
      <c r="C886" s="10" t="s">
        <v>316</v>
      </c>
      <c r="D886"/>
      <c r="E886">
        <v>1</v>
      </c>
      <c r="F886" s="2">
        <v>388.99</v>
      </c>
    </row>
    <row r="887" spans="1:6" x14ac:dyDescent="0.4">
      <c r="C887" s="11" t="s">
        <v>4</v>
      </c>
      <c r="D887"/>
      <c r="E887">
        <v>1</v>
      </c>
      <c r="F887" s="2">
        <v>388.99</v>
      </c>
    </row>
    <row r="888" spans="1:6" x14ac:dyDescent="0.4">
      <c r="C888" s="39" t="s">
        <v>724</v>
      </c>
      <c r="D888" s="10" t="s">
        <v>322</v>
      </c>
      <c r="E888">
        <v>1</v>
      </c>
      <c r="F888" s="2">
        <v>388.99</v>
      </c>
    </row>
    <row r="889" spans="1:6" x14ac:dyDescent="0.4">
      <c r="B889" s="10" t="s">
        <v>725</v>
      </c>
      <c r="C889" s="10" t="s">
        <v>316</v>
      </c>
      <c r="D889"/>
      <c r="E889">
        <v>1</v>
      </c>
      <c r="F889" s="2">
        <v>3133.16</v>
      </c>
    </row>
    <row r="890" spans="1:6" x14ac:dyDescent="0.4">
      <c r="C890" s="11" t="s">
        <v>5</v>
      </c>
      <c r="D890"/>
      <c r="E890">
        <v>1</v>
      </c>
      <c r="F890" s="2">
        <v>3133.16</v>
      </c>
    </row>
    <row r="891" spans="1:6" x14ac:dyDescent="0.4">
      <c r="C891" s="39" t="s">
        <v>359</v>
      </c>
      <c r="D891" s="10" t="s">
        <v>395</v>
      </c>
      <c r="E891">
        <v>1</v>
      </c>
      <c r="F891" s="2">
        <v>3133.16</v>
      </c>
    </row>
    <row r="892" spans="1:6" x14ac:dyDescent="0.4">
      <c r="A892" s="10" t="s">
        <v>726</v>
      </c>
      <c r="B892" s="10" t="s">
        <v>727</v>
      </c>
      <c r="C892" s="10" t="s">
        <v>316</v>
      </c>
      <c r="D892"/>
      <c r="E892">
        <v>1</v>
      </c>
      <c r="F892" s="2">
        <v>500</v>
      </c>
    </row>
    <row r="893" spans="1:6" x14ac:dyDescent="0.4">
      <c r="C893" s="11" t="s">
        <v>1</v>
      </c>
      <c r="D893"/>
      <c r="E893">
        <v>1</v>
      </c>
      <c r="F893" s="2">
        <v>500</v>
      </c>
    </row>
    <row r="894" spans="1:6" x14ac:dyDescent="0.4">
      <c r="C894" s="39" t="s">
        <v>728</v>
      </c>
      <c r="D894" s="10" t="s">
        <v>322</v>
      </c>
      <c r="E894">
        <v>1</v>
      </c>
      <c r="F894" s="2">
        <v>500</v>
      </c>
    </row>
    <row r="895" spans="1:6" x14ac:dyDescent="0.4">
      <c r="A895" s="10" t="s">
        <v>729</v>
      </c>
      <c r="B895" s="10" t="s">
        <v>368</v>
      </c>
      <c r="C895" s="10" t="s">
        <v>316</v>
      </c>
      <c r="D895"/>
      <c r="E895">
        <v>1</v>
      </c>
      <c r="F895" s="2">
        <v>0</v>
      </c>
    </row>
    <row r="896" spans="1:6" x14ac:dyDescent="0.4">
      <c r="C896" s="11" t="s">
        <v>3</v>
      </c>
      <c r="D896"/>
      <c r="E896">
        <v>1</v>
      </c>
      <c r="F896" s="2">
        <v>0</v>
      </c>
    </row>
    <row r="897" spans="1:6" x14ac:dyDescent="0.4">
      <c r="C897" s="39" t="s">
        <v>343</v>
      </c>
      <c r="D897" s="10" t="s">
        <v>329</v>
      </c>
      <c r="E897">
        <v>1</v>
      </c>
      <c r="F897" s="2">
        <v>0</v>
      </c>
    </row>
    <row r="898" spans="1:6" x14ac:dyDescent="0.4">
      <c r="A898" s="10" t="s">
        <v>730</v>
      </c>
      <c r="B898" s="10" t="s">
        <v>731</v>
      </c>
      <c r="C898" s="10" t="s">
        <v>316</v>
      </c>
      <c r="D898"/>
      <c r="E898">
        <v>1</v>
      </c>
      <c r="F898" s="2">
        <v>1500</v>
      </c>
    </row>
    <row r="899" spans="1:6" x14ac:dyDescent="0.4">
      <c r="C899" s="11" t="s">
        <v>5</v>
      </c>
      <c r="D899"/>
      <c r="E899">
        <v>1</v>
      </c>
      <c r="F899" s="2">
        <v>1500</v>
      </c>
    </row>
    <row r="900" spans="1:6" x14ac:dyDescent="0.4">
      <c r="C900" s="39" t="s">
        <v>359</v>
      </c>
      <c r="D900" s="10" t="s">
        <v>318</v>
      </c>
      <c r="E900">
        <v>1</v>
      </c>
      <c r="F900" s="2">
        <v>1500</v>
      </c>
    </row>
    <row r="901" spans="1:6" x14ac:dyDescent="0.4">
      <c r="A901" s="10" t="s">
        <v>732</v>
      </c>
      <c r="B901" s="10" t="s">
        <v>733</v>
      </c>
      <c r="C901" s="10" t="s">
        <v>316</v>
      </c>
      <c r="D901"/>
      <c r="E901">
        <v>1</v>
      </c>
      <c r="F901" s="2">
        <v>0</v>
      </c>
    </row>
    <row r="902" spans="1:6" x14ac:dyDescent="0.4">
      <c r="C902" s="11" t="s">
        <v>2</v>
      </c>
      <c r="D902"/>
      <c r="E902">
        <v>1</v>
      </c>
      <c r="F902" s="2">
        <v>0</v>
      </c>
    </row>
    <row r="903" spans="1:6" x14ac:dyDescent="0.4">
      <c r="C903" s="39" t="s">
        <v>328</v>
      </c>
      <c r="D903" s="10" t="s">
        <v>361</v>
      </c>
      <c r="E903">
        <v>1</v>
      </c>
      <c r="F903" s="2">
        <v>0</v>
      </c>
    </row>
    <row r="904" spans="1:6" x14ac:dyDescent="0.4">
      <c r="B904" s="10" t="s">
        <v>734</v>
      </c>
      <c r="C904" s="10" t="s">
        <v>316</v>
      </c>
      <c r="D904"/>
      <c r="E904">
        <v>1</v>
      </c>
      <c r="F904" s="2">
        <v>0</v>
      </c>
    </row>
    <row r="905" spans="1:6" x14ac:dyDescent="0.4">
      <c r="C905" s="11" t="s">
        <v>5</v>
      </c>
      <c r="D905"/>
      <c r="E905">
        <v>1</v>
      </c>
      <c r="F905" s="2">
        <v>0</v>
      </c>
    </row>
    <row r="906" spans="1:6" x14ac:dyDescent="0.4">
      <c r="C906" s="39" t="s">
        <v>359</v>
      </c>
      <c r="D906" s="10" t="s">
        <v>318</v>
      </c>
      <c r="E906">
        <v>1</v>
      </c>
      <c r="F906" s="2">
        <v>0</v>
      </c>
    </row>
    <row r="907" spans="1:6" x14ac:dyDescent="0.4">
      <c r="A907" s="10" t="s">
        <v>735</v>
      </c>
      <c r="B907" s="10" t="s">
        <v>736</v>
      </c>
      <c r="C907" s="10" t="s">
        <v>316</v>
      </c>
      <c r="D907"/>
      <c r="E907">
        <v>1</v>
      </c>
      <c r="F907" s="2">
        <v>13.49</v>
      </c>
    </row>
    <row r="908" spans="1:6" x14ac:dyDescent="0.4">
      <c r="C908" s="11" t="s">
        <v>3</v>
      </c>
      <c r="D908"/>
      <c r="E908">
        <v>1</v>
      </c>
      <c r="F908" s="2">
        <v>13.49</v>
      </c>
    </row>
    <row r="909" spans="1:6" x14ac:dyDescent="0.4">
      <c r="C909" s="39" t="s">
        <v>700</v>
      </c>
      <c r="D909" s="10" t="s">
        <v>322</v>
      </c>
      <c r="E909">
        <v>1</v>
      </c>
      <c r="F909" s="2">
        <v>13.49</v>
      </c>
    </row>
    <row r="910" spans="1:6" x14ac:dyDescent="0.4">
      <c r="B910" s="10" t="s">
        <v>737</v>
      </c>
      <c r="C910" s="10" t="s">
        <v>316</v>
      </c>
      <c r="D910"/>
      <c r="E910">
        <v>1</v>
      </c>
      <c r="F910" s="2">
        <v>0</v>
      </c>
    </row>
    <row r="911" spans="1:6" x14ac:dyDescent="0.4">
      <c r="C911" s="11" t="s">
        <v>3</v>
      </c>
      <c r="D911"/>
      <c r="E911">
        <v>1</v>
      </c>
      <c r="F911" s="2">
        <v>0</v>
      </c>
    </row>
    <row r="912" spans="1:6" x14ac:dyDescent="0.4">
      <c r="C912" s="39" t="s">
        <v>343</v>
      </c>
      <c r="D912" s="10" t="s">
        <v>329</v>
      </c>
      <c r="E912">
        <v>1</v>
      </c>
      <c r="F912" s="2">
        <v>0</v>
      </c>
    </row>
    <row r="913" spans="1:6" x14ac:dyDescent="0.4">
      <c r="A913" s="10" t="s">
        <v>738</v>
      </c>
      <c r="B913" s="10" t="s">
        <v>739</v>
      </c>
      <c r="C913" s="10" t="s">
        <v>316</v>
      </c>
      <c r="D913"/>
      <c r="E913">
        <v>2</v>
      </c>
      <c r="F913" s="2">
        <v>2520</v>
      </c>
    </row>
    <row r="914" spans="1:6" x14ac:dyDescent="0.4">
      <c r="C914" s="11" t="s">
        <v>3</v>
      </c>
      <c r="D914"/>
      <c r="E914">
        <v>1</v>
      </c>
      <c r="F914" s="2">
        <v>2520</v>
      </c>
    </row>
    <row r="915" spans="1:6" x14ac:dyDescent="0.4">
      <c r="C915" s="39" t="s">
        <v>343</v>
      </c>
      <c r="D915" s="10" t="s">
        <v>395</v>
      </c>
      <c r="E915">
        <v>1</v>
      </c>
      <c r="F915" s="2">
        <v>2520</v>
      </c>
    </row>
    <row r="916" spans="1:6" x14ac:dyDescent="0.4">
      <c r="C916" s="11" t="s">
        <v>5</v>
      </c>
      <c r="D916"/>
      <c r="E916">
        <v>1</v>
      </c>
      <c r="F916" s="2">
        <v>0</v>
      </c>
    </row>
    <row r="917" spans="1:6" x14ac:dyDescent="0.4">
      <c r="C917" s="39" t="s">
        <v>483</v>
      </c>
      <c r="D917" s="10" t="s">
        <v>395</v>
      </c>
      <c r="E917">
        <v>1</v>
      </c>
      <c r="F917" s="2">
        <v>0</v>
      </c>
    </row>
    <row r="918" spans="1:6" x14ac:dyDescent="0.4">
      <c r="A918" s="10" t="s">
        <v>740</v>
      </c>
      <c r="B918" s="10" t="s">
        <v>741</v>
      </c>
      <c r="C918" s="10" t="s">
        <v>316</v>
      </c>
      <c r="D918"/>
      <c r="E918">
        <v>1</v>
      </c>
      <c r="F918" s="2">
        <v>3000</v>
      </c>
    </row>
    <row r="919" spans="1:6" x14ac:dyDescent="0.4">
      <c r="C919" s="11" t="s">
        <v>4</v>
      </c>
      <c r="D919"/>
      <c r="E919">
        <v>1</v>
      </c>
      <c r="F919" s="2">
        <v>3000</v>
      </c>
    </row>
    <row r="920" spans="1:6" x14ac:dyDescent="0.4">
      <c r="C920" s="39" t="s">
        <v>742</v>
      </c>
      <c r="D920" s="10" t="s">
        <v>361</v>
      </c>
      <c r="E920">
        <v>1</v>
      </c>
      <c r="F920" s="2">
        <v>3000</v>
      </c>
    </row>
    <row r="921" spans="1:6" x14ac:dyDescent="0.4">
      <c r="B921" s="10" t="s">
        <v>743</v>
      </c>
      <c r="C921" s="10" t="s">
        <v>316</v>
      </c>
      <c r="D921"/>
      <c r="E921">
        <v>1</v>
      </c>
      <c r="F921" s="2">
        <v>650</v>
      </c>
    </row>
    <row r="922" spans="1:6" x14ac:dyDescent="0.4">
      <c r="C922" s="11" t="s">
        <v>6</v>
      </c>
      <c r="D922"/>
      <c r="E922">
        <v>1</v>
      </c>
      <c r="F922" s="2">
        <v>650</v>
      </c>
    </row>
    <row r="923" spans="1:6" x14ac:dyDescent="0.4">
      <c r="C923" s="39" t="s">
        <v>415</v>
      </c>
      <c r="D923" s="10" t="s">
        <v>361</v>
      </c>
      <c r="E923">
        <v>1</v>
      </c>
      <c r="F923" s="2">
        <v>650</v>
      </c>
    </row>
    <row r="924" spans="1:6" x14ac:dyDescent="0.4">
      <c r="B924" s="10" t="s">
        <v>744</v>
      </c>
      <c r="C924" s="10" t="s">
        <v>316</v>
      </c>
      <c r="D924"/>
      <c r="E924">
        <v>1</v>
      </c>
      <c r="F924" s="2">
        <v>310</v>
      </c>
    </row>
    <row r="925" spans="1:6" x14ac:dyDescent="0.4">
      <c r="C925" s="11" t="s">
        <v>5</v>
      </c>
      <c r="D925"/>
      <c r="E925">
        <v>1</v>
      </c>
      <c r="F925" s="2">
        <v>310</v>
      </c>
    </row>
    <row r="926" spans="1:6" x14ac:dyDescent="0.4">
      <c r="C926" s="39" t="s">
        <v>359</v>
      </c>
      <c r="D926" s="10" t="s">
        <v>361</v>
      </c>
      <c r="E926">
        <v>1</v>
      </c>
      <c r="F926" s="2">
        <v>310</v>
      </c>
    </row>
    <row r="927" spans="1:6" x14ac:dyDescent="0.4">
      <c r="B927" s="10" t="s">
        <v>745</v>
      </c>
      <c r="C927" s="10" t="s">
        <v>316</v>
      </c>
      <c r="D927"/>
      <c r="E927">
        <v>1</v>
      </c>
      <c r="F927" s="2">
        <v>3495.38</v>
      </c>
    </row>
    <row r="928" spans="1:6" x14ac:dyDescent="0.4">
      <c r="C928" s="11" t="s">
        <v>6</v>
      </c>
      <c r="D928"/>
      <c r="E928">
        <v>1</v>
      </c>
      <c r="F928" s="2">
        <v>3495.38</v>
      </c>
    </row>
    <row r="929" spans="1:6" x14ac:dyDescent="0.4">
      <c r="C929" s="39" t="s">
        <v>415</v>
      </c>
      <c r="D929" s="10" t="s">
        <v>361</v>
      </c>
      <c r="E929">
        <v>1</v>
      </c>
      <c r="F929" s="2">
        <v>3495.38</v>
      </c>
    </row>
    <row r="930" spans="1:6" x14ac:dyDescent="0.4">
      <c r="B930" s="10" t="s">
        <v>746</v>
      </c>
      <c r="C930" s="10" t="s">
        <v>316</v>
      </c>
      <c r="D930"/>
      <c r="E930">
        <v>1</v>
      </c>
      <c r="F930" s="2">
        <v>310</v>
      </c>
    </row>
    <row r="931" spans="1:6" x14ac:dyDescent="0.4">
      <c r="C931" s="11" t="s">
        <v>4</v>
      </c>
      <c r="D931"/>
      <c r="E931">
        <v>1</v>
      </c>
      <c r="F931" s="2">
        <v>310</v>
      </c>
    </row>
    <row r="932" spans="1:6" x14ac:dyDescent="0.4">
      <c r="C932" s="39" t="s">
        <v>533</v>
      </c>
      <c r="D932" s="10" t="s">
        <v>322</v>
      </c>
      <c r="E932">
        <v>1</v>
      </c>
      <c r="F932" s="2">
        <v>310</v>
      </c>
    </row>
    <row r="933" spans="1:6" x14ac:dyDescent="0.4">
      <c r="A933" s="10" t="s">
        <v>747</v>
      </c>
      <c r="B933" s="10" t="s">
        <v>748</v>
      </c>
      <c r="C933" s="10" t="s">
        <v>316</v>
      </c>
      <c r="D933"/>
      <c r="E933">
        <v>1</v>
      </c>
      <c r="F933" s="2">
        <v>3310</v>
      </c>
    </row>
    <row r="934" spans="1:6" x14ac:dyDescent="0.4">
      <c r="C934" s="11" t="s">
        <v>5</v>
      </c>
      <c r="D934"/>
      <c r="E934">
        <v>1</v>
      </c>
      <c r="F934" s="2">
        <v>3310</v>
      </c>
    </row>
    <row r="935" spans="1:6" x14ac:dyDescent="0.4">
      <c r="C935" s="39" t="s">
        <v>359</v>
      </c>
      <c r="D935" s="10" t="s">
        <v>749</v>
      </c>
      <c r="E935">
        <v>1</v>
      </c>
      <c r="F935" s="2">
        <v>3310</v>
      </c>
    </row>
    <row r="936" spans="1:6" x14ac:dyDescent="0.4">
      <c r="A936" s="10" t="s">
        <v>750</v>
      </c>
      <c r="B936" s="10" t="s">
        <v>751</v>
      </c>
      <c r="C936" s="10" t="s">
        <v>316</v>
      </c>
      <c r="D936"/>
      <c r="E936">
        <v>1</v>
      </c>
      <c r="F936" s="2">
        <v>4500</v>
      </c>
    </row>
    <row r="937" spans="1:6" x14ac:dyDescent="0.4">
      <c r="C937" s="11" t="s">
        <v>5</v>
      </c>
      <c r="D937"/>
      <c r="E937">
        <v>1</v>
      </c>
      <c r="F937" s="2">
        <v>4500</v>
      </c>
    </row>
    <row r="938" spans="1:6" x14ac:dyDescent="0.4">
      <c r="C938" s="39" t="s">
        <v>359</v>
      </c>
      <c r="D938" s="10" t="s">
        <v>361</v>
      </c>
      <c r="E938">
        <v>1</v>
      </c>
      <c r="F938" s="2">
        <v>4500</v>
      </c>
    </row>
    <row r="939" spans="1:6" x14ac:dyDescent="0.4">
      <c r="A939" s="10" t="s">
        <v>752</v>
      </c>
      <c r="B939" s="10" t="s">
        <v>753</v>
      </c>
      <c r="C939" s="10" t="s">
        <v>316</v>
      </c>
      <c r="D939"/>
      <c r="E939">
        <v>1</v>
      </c>
      <c r="F939" s="2">
        <v>0</v>
      </c>
    </row>
    <row r="940" spans="1:6" x14ac:dyDescent="0.4">
      <c r="C940" s="11" t="s">
        <v>4</v>
      </c>
      <c r="D940"/>
      <c r="E940">
        <v>1</v>
      </c>
      <c r="F940" s="2">
        <v>0</v>
      </c>
    </row>
    <row r="941" spans="1:6" x14ac:dyDescent="0.4">
      <c r="C941" s="39" t="s">
        <v>386</v>
      </c>
      <c r="D941" s="10" t="s">
        <v>361</v>
      </c>
      <c r="E941">
        <v>1</v>
      </c>
      <c r="F941" s="2">
        <v>0</v>
      </c>
    </row>
    <row r="942" spans="1:6" x14ac:dyDescent="0.4">
      <c r="A942" s="10" t="s">
        <v>754</v>
      </c>
      <c r="B942" s="10" t="s">
        <v>631</v>
      </c>
      <c r="C942" s="10" t="s">
        <v>316</v>
      </c>
      <c r="D942"/>
      <c r="E942">
        <v>1</v>
      </c>
      <c r="F942" s="2">
        <v>15000</v>
      </c>
    </row>
    <row r="943" spans="1:6" x14ac:dyDescent="0.4">
      <c r="C943" s="11" t="s">
        <v>12</v>
      </c>
      <c r="D943"/>
      <c r="E943">
        <v>1</v>
      </c>
      <c r="F943" s="2">
        <v>15000</v>
      </c>
    </row>
    <row r="944" spans="1:6" x14ac:dyDescent="0.4">
      <c r="C944" s="39" t="s">
        <v>398</v>
      </c>
      <c r="D944" s="10" t="s">
        <v>361</v>
      </c>
      <c r="E944">
        <v>1</v>
      </c>
      <c r="F944" s="2">
        <v>15000</v>
      </c>
    </row>
    <row r="945" spans="1:6" x14ac:dyDescent="0.4">
      <c r="A945" s="10" t="s">
        <v>755</v>
      </c>
      <c r="B945" s="10" t="s">
        <v>756</v>
      </c>
      <c r="C945" s="10" t="s">
        <v>316</v>
      </c>
      <c r="D945"/>
      <c r="E945">
        <v>1</v>
      </c>
      <c r="F945" s="2">
        <v>65.97</v>
      </c>
    </row>
    <row r="946" spans="1:6" x14ac:dyDescent="0.4">
      <c r="C946" s="11" t="s">
        <v>4</v>
      </c>
      <c r="D946"/>
      <c r="E946">
        <v>1</v>
      </c>
      <c r="F946" s="2">
        <v>65.97</v>
      </c>
    </row>
    <row r="947" spans="1:6" x14ac:dyDescent="0.4">
      <c r="C947" s="39" t="s">
        <v>371</v>
      </c>
      <c r="D947" s="10" t="s">
        <v>322</v>
      </c>
      <c r="E947">
        <v>1</v>
      </c>
      <c r="F947" s="2">
        <v>65.97</v>
      </c>
    </row>
    <row r="948" spans="1:6" x14ac:dyDescent="0.4">
      <c r="B948" s="10" t="s">
        <v>757</v>
      </c>
      <c r="C948" s="10" t="s">
        <v>316</v>
      </c>
      <c r="D948"/>
      <c r="E948">
        <v>1</v>
      </c>
      <c r="F948" s="2">
        <v>882</v>
      </c>
    </row>
    <row r="949" spans="1:6" x14ac:dyDescent="0.4">
      <c r="C949" s="11" t="s">
        <v>4</v>
      </c>
      <c r="D949"/>
      <c r="E949">
        <v>1</v>
      </c>
      <c r="F949" s="2">
        <v>882</v>
      </c>
    </row>
    <row r="950" spans="1:6" x14ac:dyDescent="0.4">
      <c r="C950" s="39" t="s">
        <v>552</v>
      </c>
      <c r="D950" s="10" t="s">
        <v>322</v>
      </c>
      <c r="E950">
        <v>1</v>
      </c>
      <c r="F950" s="2">
        <v>882</v>
      </c>
    </row>
    <row r="951" spans="1:6" x14ac:dyDescent="0.4">
      <c r="B951" s="10" t="s">
        <v>758</v>
      </c>
      <c r="C951" s="10" t="s">
        <v>316</v>
      </c>
      <c r="D951"/>
      <c r="E951">
        <v>1</v>
      </c>
      <c r="F951" s="2">
        <v>770</v>
      </c>
    </row>
    <row r="952" spans="1:6" x14ac:dyDescent="0.4">
      <c r="C952" s="11" t="s">
        <v>4</v>
      </c>
      <c r="D952"/>
      <c r="E952">
        <v>1</v>
      </c>
      <c r="F952" s="2">
        <v>770</v>
      </c>
    </row>
    <row r="953" spans="1:6" x14ac:dyDescent="0.4">
      <c r="C953" s="39" t="s">
        <v>386</v>
      </c>
      <c r="D953" s="10" t="s">
        <v>322</v>
      </c>
      <c r="E953">
        <v>1</v>
      </c>
      <c r="F953" s="2">
        <v>770</v>
      </c>
    </row>
    <row r="954" spans="1:6" x14ac:dyDescent="0.4">
      <c r="A954" s="10" t="s">
        <v>759</v>
      </c>
      <c r="B954" s="10" t="s">
        <v>760</v>
      </c>
      <c r="C954" s="10" t="s">
        <v>316</v>
      </c>
      <c r="D954"/>
      <c r="E954">
        <v>1</v>
      </c>
      <c r="F954" s="2">
        <v>100</v>
      </c>
    </row>
    <row r="955" spans="1:6" x14ac:dyDescent="0.4">
      <c r="C955" s="11" t="s">
        <v>4</v>
      </c>
      <c r="D955"/>
      <c r="E955">
        <v>1</v>
      </c>
      <c r="F955" s="2">
        <v>100</v>
      </c>
    </row>
    <row r="956" spans="1:6" x14ac:dyDescent="0.4">
      <c r="C956" s="39" t="s">
        <v>761</v>
      </c>
      <c r="D956" s="10" t="s">
        <v>322</v>
      </c>
      <c r="E956">
        <v>1</v>
      </c>
      <c r="F956" s="2">
        <v>100</v>
      </c>
    </row>
    <row r="957" spans="1:6" x14ac:dyDescent="0.4">
      <c r="A957" s="10" t="s">
        <v>762</v>
      </c>
      <c r="B957" s="10" t="s">
        <v>763</v>
      </c>
      <c r="C957" s="10" t="s">
        <v>316</v>
      </c>
      <c r="D957"/>
      <c r="E957">
        <v>1</v>
      </c>
      <c r="F957" s="2">
        <v>1670</v>
      </c>
    </row>
    <row r="958" spans="1:6" x14ac:dyDescent="0.4">
      <c r="C958" s="11" t="s">
        <v>4</v>
      </c>
      <c r="D958"/>
      <c r="E958">
        <v>1</v>
      </c>
      <c r="F958" s="2">
        <v>1670</v>
      </c>
    </row>
    <row r="959" spans="1:6" x14ac:dyDescent="0.4">
      <c r="C959" s="39" t="s">
        <v>555</v>
      </c>
      <c r="D959" s="10" t="s">
        <v>361</v>
      </c>
      <c r="E959">
        <v>1</v>
      </c>
      <c r="F959" s="2">
        <v>1670</v>
      </c>
    </row>
    <row r="960" spans="1:6" x14ac:dyDescent="0.4">
      <c r="B960" s="10" t="s">
        <v>764</v>
      </c>
      <c r="C960" s="10" t="s">
        <v>316</v>
      </c>
      <c r="D960"/>
      <c r="E960">
        <v>1</v>
      </c>
      <c r="F960" s="2">
        <v>20.8</v>
      </c>
    </row>
    <row r="961" spans="1:6" x14ac:dyDescent="0.4">
      <c r="C961" s="11" t="s">
        <v>5</v>
      </c>
      <c r="D961"/>
      <c r="E961">
        <v>1</v>
      </c>
      <c r="F961" s="2">
        <v>20.8</v>
      </c>
    </row>
    <row r="962" spans="1:6" x14ac:dyDescent="0.4">
      <c r="C962" s="39" t="s">
        <v>364</v>
      </c>
      <c r="D962" s="10" t="s">
        <v>322</v>
      </c>
      <c r="E962">
        <v>1</v>
      </c>
      <c r="F962" s="2">
        <v>20.8</v>
      </c>
    </row>
    <row r="963" spans="1:6" x14ac:dyDescent="0.4">
      <c r="B963" s="10" t="s">
        <v>765</v>
      </c>
      <c r="C963" s="10" t="s">
        <v>316</v>
      </c>
      <c r="D963"/>
      <c r="E963">
        <v>1</v>
      </c>
      <c r="F963" s="2">
        <v>0</v>
      </c>
    </row>
    <row r="964" spans="1:6" x14ac:dyDescent="0.4">
      <c r="C964" s="11" t="s">
        <v>5</v>
      </c>
      <c r="D964"/>
      <c r="E964">
        <v>1</v>
      </c>
      <c r="F964" s="2">
        <v>0</v>
      </c>
    </row>
    <row r="965" spans="1:6" x14ac:dyDescent="0.4">
      <c r="C965" s="39" t="s">
        <v>359</v>
      </c>
      <c r="D965" s="10" t="s">
        <v>318</v>
      </c>
      <c r="E965">
        <v>1</v>
      </c>
      <c r="F965" s="2">
        <v>0</v>
      </c>
    </row>
    <row r="966" spans="1:6" x14ac:dyDescent="0.4">
      <c r="A966" s="10" t="s">
        <v>766</v>
      </c>
      <c r="D966"/>
      <c r="E966">
        <v>322</v>
      </c>
      <c r="F966" s="2">
        <v>691625.62999999989</v>
      </c>
    </row>
    <row r="967" spans="1:6" x14ac:dyDescent="0.4">
      <c r="D967"/>
    </row>
    <row r="968" spans="1:6" x14ac:dyDescent="0.4">
      <c r="D968"/>
    </row>
    <row r="969" spans="1:6" x14ac:dyDescent="0.4">
      <c r="D969"/>
    </row>
    <row r="970" spans="1:6" x14ac:dyDescent="0.4">
      <c r="D970"/>
    </row>
    <row r="971" spans="1:6" x14ac:dyDescent="0.4">
      <c r="D971"/>
    </row>
    <row r="972" spans="1:6" x14ac:dyDescent="0.4">
      <c r="D972"/>
    </row>
    <row r="973" spans="1:6" x14ac:dyDescent="0.4">
      <c r="D973"/>
    </row>
    <row r="974" spans="1:6" x14ac:dyDescent="0.4">
      <c r="D974"/>
    </row>
    <row r="975" spans="1:6" x14ac:dyDescent="0.4">
      <c r="D975"/>
    </row>
    <row r="976" spans="1:6" x14ac:dyDescent="0.4">
      <c r="D976"/>
    </row>
    <row r="977" spans="4:4" x14ac:dyDescent="0.4">
      <c r="D977"/>
    </row>
    <row r="978" spans="4:4" x14ac:dyDescent="0.4">
      <c r="D978"/>
    </row>
    <row r="979" spans="4:4" x14ac:dyDescent="0.4">
      <c r="D979"/>
    </row>
    <row r="980" spans="4:4" x14ac:dyDescent="0.4">
      <c r="D980"/>
    </row>
    <row r="981" spans="4:4" x14ac:dyDescent="0.4">
      <c r="D981"/>
    </row>
    <row r="982" spans="4:4" x14ac:dyDescent="0.4">
      <c r="D982"/>
    </row>
    <row r="983" spans="4:4" x14ac:dyDescent="0.4">
      <c r="D983"/>
    </row>
    <row r="984" spans="4:4" x14ac:dyDescent="0.4">
      <c r="D984"/>
    </row>
    <row r="985" spans="4:4" x14ac:dyDescent="0.4">
      <c r="D985"/>
    </row>
    <row r="986" spans="4:4" x14ac:dyDescent="0.4">
      <c r="D986"/>
    </row>
    <row r="987" spans="4:4" x14ac:dyDescent="0.4">
      <c r="D987"/>
    </row>
    <row r="988" spans="4:4" x14ac:dyDescent="0.4">
      <c r="D988"/>
    </row>
    <row r="989" spans="4:4" x14ac:dyDescent="0.4">
      <c r="D989"/>
    </row>
    <row r="990" spans="4:4" x14ac:dyDescent="0.4">
      <c r="D990"/>
    </row>
    <row r="991" spans="4:4" x14ac:dyDescent="0.4">
      <c r="D991"/>
    </row>
    <row r="992" spans="4:4" x14ac:dyDescent="0.4">
      <c r="D992"/>
    </row>
    <row r="993" spans="4:4" x14ac:dyDescent="0.4">
      <c r="D993"/>
    </row>
    <row r="994" spans="4:4" x14ac:dyDescent="0.4">
      <c r="D994"/>
    </row>
    <row r="995" spans="4:4" x14ac:dyDescent="0.4">
      <c r="D995"/>
    </row>
    <row r="996" spans="4:4" x14ac:dyDescent="0.4">
      <c r="D996"/>
    </row>
    <row r="997" spans="4:4" x14ac:dyDescent="0.4">
      <c r="D997"/>
    </row>
    <row r="998" spans="4:4" x14ac:dyDescent="0.4">
      <c r="D998"/>
    </row>
    <row r="999" spans="4:4" x14ac:dyDescent="0.4">
      <c r="D999"/>
    </row>
    <row r="1000" spans="4:4" x14ac:dyDescent="0.4">
      <c r="D1000"/>
    </row>
    <row r="1001" spans="4:4" x14ac:dyDescent="0.4">
      <c r="D1001"/>
    </row>
    <row r="1002" spans="4:4" x14ac:dyDescent="0.4">
      <c r="D1002"/>
    </row>
    <row r="1003" spans="4:4" x14ac:dyDescent="0.4">
      <c r="D1003"/>
    </row>
    <row r="1004" spans="4:4" x14ac:dyDescent="0.4">
      <c r="D1004"/>
    </row>
    <row r="1005" spans="4:4" x14ac:dyDescent="0.4">
      <c r="D1005"/>
    </row>
    <row r="1006" spans="4:4" x14ac:dyDescent="0.4">
      <c r="D1006"/>
    </row>
    <row r="1007" spans="4:4" x14ac:dyDescent="0.4">
      <c r="D1007"/>
    </row>
    <row r="1008" spans="4:4" x14ac:dyDescent="0.4">
      <c r="D1008"/>
    </row>
    <row r="1009" spans="4:4" x14ac:dyDescent="0.4">
      <c r="D1009"/>
    </row>
    <row r="1010" spans="4:4" x14ac:dyDescent="0.4">
      <c r="D1010"/>
    </row>
    <row r="1011" spans="4:4" x14ac:dyDescent="0.4">
      <c r="D1011"/>
    </row>
    <row r="1012" spans="4:4" x14ac:dyDescent="0.4">
      <c r="D1012"/>
    </row>
    <row r="1013" spans="4:4" x14ac:dyDescent="0.4">
      <c r="D1013"/>
    </row>
    <row r="1014" spans="4:4" x14ac:dyDescent="0.4">
      <c r="D1014"/>
    </row>
    <row r="1015" spans="4:4" x14ac:dyDescent="0.4">
      <c r="D1015"/>
    </row>
    <row r="1016" spans="4:4" x14ac:dyDescent="0.4">
      <c r="D1016"/>
    </row>
    <row r="1017" spans="4:4" x14ac:dyDescent="0.4">
      <c r="D1017"/>
    </row>
    <row r="1018" spans="4:4" x14ac:dyDescent="0.4">
      <c r="D1018"/>
    </row>
    <row r="1019" spans="4:4" x14ac:dyDescent="0.4">
      <c r="D1019"/>
    </row>
    <row r="1020" spans="4:4" x14ac:dyDescent="0.4">
      <c r="D1020"/>
    </row>
    <row r="1021" spans="4:4" x14ac:dyDescent="0.4">
      <c r="D1021"/>
    </row>
    <row r="1022" spans="4:4" x14ac:dyDescent="0.4">
      <c r="D1022"/>
    </row>
    <row r="1023" spans="4:4" x14ac:dyDescent="0.4">
      <c r="D1023"/>
    </row>
    <row r="1024" spans="4:4" x14ac:dyDescent="0.4">
      <c r="D1024"/>
    </row>
    <row r="1025" spans="4:4" x14ac:dyDescent="0.4">
      <c r="D1025"/>
    </row>
    <row r="1026" spans="4:4" x14ac:dyDescent="0.4">
      <c r="D1026"/>
    </row>
    <row r="1027" spans="4:4" x14ac:dyDescent="0.4">
      <c r="D1027"/>
    </row>
    <row r="1028" spans="4:4" x14ac:dyDescent="0.4">
      <c r="D1028"/>
    </row>
    <row r="1029" spans="4:4" x14ac:dyDescent="0.4">
      <c r="D1029"/>
    </row>
    <row r="1030" spans="4:4" x14ac:dyDescent="0.4">
      <c r="D1030"/>
    </row>
    <row r="1031" spans="4:4" x14ac:dyDescent="0.4">
      <c r="D1031"/>
    </row>
    <row r="1032" spans="4:4" x14ac:dyDescent="0.4">
      <c r="D1032"/>
    </row>
    <row r="1033" spans="4:4" x14ac:dyDescent="0.4">
      <c r="D1033"/>
    </row>
    <row r="1034" spans="4:4" x14ac:dyDescent="0.4">
      <c r="D1034"/>
    </row>
    <row r="1035" spans="4:4" x14ac:dyDescent="0.4">
      <c r="D1035"/>
    </row>
    <row r="1036" spans="4:4" x14ac:dyDescent="0.4">
      <c r="D1036"/>
    </row>
    <row r="1037" spans="4:4" x14ac:dyDescent="0.4">
      <c r="D1037"/>
    </row>
    <row r="1038" spans="4:4" x14ac:dyDescent="0.4">
      <c r="D1038"/>
    </row>
    <row r="1039" spans="4:4" x14ac:dyDescent="0.4">
      <c r="D1039"/>
    </row>
    <row r="1040" spans="4:4" x14ac:dyDescent="0.4">
      <c r="D1040"/>
    </row>
    <row r="1041" spans="4:4" x14ac:dyDescent="0.4">
      <c r="D1041"/>
    </row>
    <row r="1042" spans="4:4" x14ac:dyDescent="0.4">
      <c r="D1042"/>
    </row>
    <row r="1043" spans="4:4" x14ac:dyDescent="0.4">
      <c r="D1043"/>
    </row>
    <row r="1044" spans="4:4" x14ac:dyDescent="0.4">
      <c r="D1044"/>
    </row>
    <row r="1045" spans="4:4" x14ac:dyDescent="0.4">
      <c r="D1045"/>
    </row>
    <row r="1046" spans="4:4" x14ac:dyDescent="0.4">
      <c r="D1046"/>
    </row>
    <row r="1047" spans="4:4" x14ac:dyDescent="0.4">
      <c r="D1047"/>
    </row>
    <row r="1048" spans="4:4" x14ac:dyDescent="0.4">
      <c r="D1048"/>
    </row>
    <row r="1049" spans="4:4" x14ac:dyDescent="0.4">
      <c r="D1049"/>
    </row>
    <row r="1050" spans="4:4" x14ac:dyDescent="0.4">
      <c r="D1050"/>
    </row>
    <row r="1051" spans="4:4" x14ac:dyDescent="0.4">
      <c r="D1051"/>
    </row>
    <row r="1052" spans="4:4" x14ac:dyDescent="0.4">
      <c r="D1052"/>
    </row>
    <row r="1053" spans="4:4" x14ac:dyDescent="0.4">
      <c r="D1053"/>
    </row>
    <row r="1054" spans="4:4" x14ac:dyDescent="0.4">
      <c r="D1054"/>
    </row>
    <row r="1055" spans="4:4" x14ac:dyDescent="0.4">
      <c r="D1055"/>
    </row>
    <row r="1056" spans="4:4" x14ac:dyDescent="0.4">
      <c r="D1056"/>
    </row>
    <row r="1057" spans="4:4" x14ac:dyDescent="0.4">
      <c r="D1057"/>
    </row>
    <row r="1058" spans="4:4" x14ac:dyDescent="0.4">
      <c r="D1058"/>
    </row>
    <row r="1059" spans="4:4" x14ac:dyDescent="0.4">
      <c r="D1059"/>
    </row>
    <row r="1060" spans="4:4" x14ac:dyDescent="0.4">
      <c r="D1060"/>
    </row>
    <row r="1061" spans="4:4" x14ac:dyDescent="0.4">
      <c r="D1061"/>
    </row>
    <row r="1062" spans="4:4" x14ac:dyDescent="0.4">
      <c r="D1062"/>
    </row>
    <row r="1063" spans="4:4" x14ac:dyDescent="0.4">
      <c r="D1063"/>
    </row>
    <row r="1064" spans="4:4" x14ac:dyDescent="0.4">
      <c r="D1064"/>
    </row>
    <row r="1065" spans="4:4" x14ac:dyDescent="0.4">
      <c r="D1065"/>
    </row>
    <row r="1066" spans="4:4" x14ac:dyDescent="0.4">
      <c r="D1066"/>
    </row>
    <row r="1067" spans="4:4" x14ac:dyDescent="0.4">
      <c r="D1067"/>
    </row>
    <row r="1068" spans="4:4" x14ac:dyDescent="0.4">
      <c r="D1068"/>
    </row>
    <row r="1069" spans="4:4" x14ac:dyDescent="0.4">
      <c r="D1069"/>
    </row>
    <row r="1070" spans="4:4" x14ac:dyDescent="0.4">
      <c r="D1070"/>
    </row>
    <row r="1071" spans="4:4" x14ac:dyDescent="0.4">
      <c r="D1071"/>
    </row>
    <row r="1072" spans="4:4" x14ac:dyDescent="0.4">
      <c r="D1072"/>
    </row>
    <row r="1073" spans="4:4" x14ac:dyDescent="0.4">
      <c r="D1073"/>
    </row>
    <row r="1074" spans="4:4" x14ac:dyDescent="0.4">
      <c r="D1074"/>
    </row>
    <row r="1075" spans="4:4" x14ac:dyDescent="0.4">
      <c r="D1075"/>
    </row>
    <row r="1076" spans="4:4" x14ac:dyDescent="0.4">
      <c r="D1076"/>
    </row>
    <row r="1077" spans="4:4" x14ac:dyDescent="0.4">
      <c r="D1077"/>
    </row>
    <row r="1078" spans="4:4" x14ac:dyDescent="0.4">
      <c r="D1078"/>
    </row>
    <row r="1079" spans="4:4" x14ac:dyDescent="0.4">
      <c r="D1079"/>
    </row>
    <row r="1080" spans="4:4" x14ac:dyDescent="0.4">
      <c r="D1080"/>
    </row>
    <row r="1081" spans="4:4" x14ac:dyDescent="0.4">
      <c r="D1081"/>
    </row>
    <row r="1082" spans="4:4" x14ac:dyDescent="0.4">
      <c r="D1082"/>
    </row>
    <row r="1083" spans="4:4" x14ac:dyDescent="0.4">
      <c r="D1083"/>
    </row>
    <row r="1084" spans="4:4" x14ac:dyDescent="0.4">
      <c r="D1084"/>
    </row>
    <row r="1085" spans="4:4" x14ac:dyDescent="0.4">
      <c r="D1085"/>
    </row>
    <row r="1086" spans="4:4" x14ac:dyDescent="0.4">
      <c r="D1086"/>
    </row>
    <row r="1087" spans="4:4" x14ac:dyDescent="0.4">
      <c r="D1087"/>
    </row>
    <row r="1088" spans="4:4" x14ac:dyDescent="0.4">
      <c r="D1088"/>
    </row>
    <row r="1089" spans="4:4" x14ac:dyDescent="0.4">
      <c r="D1089"/>
    </row>
    <row r="1090" spans="4:4" x14ac:dyDescent="0.4">
      <c r="D1090"/>
    </row>
    <row r="1091" spans="4:4" x14ac:dyDescent="0.4">
      <c r="D1091"/>
    </row>
    <row r="1092" spans="4:4" x14ac:dyDescent="0.4">
      <c r="D1092"/>
    </row>
    <row r="1093" spans="4:4" x14ac:dyDescent="0.4">
      <c r="D1093"/>
    </row>
    <row r="1094" spans="4:4" x14ac:dyDescent="0.4">
      <c r="D1094"/>
    </row>
    <row r="1095" spans="4:4" x14ac:dyDescent="0.4">
      <c r="D1095"/>
    </row>
    <row r="1096" spans="4:4" x14ac:dyDescent="0.4">
      <c r="D1096"/>
    </row>
    <row r="1097" spans="4:4" x14ac:dyDescent="0.4">
      <c r="D1097"/>
    </row>
    <row r="1098" spans="4:4" x14ac:dyDescent="0.4">
      <c r="D1098"/>
    </row>
    <row r="1099" spans="4:4" x14ac:dyDescent="0.4">
      <c r="D1099"/>
    </row>
    <row r="1100" spans="4:4" x14ac:dyDescent="0.4">
      <c r="D1100"/>
    </row>
    <row r="1101" spans="4:4" x14ac:dyDescent="0.4">
      <c r="D1101"/>
    </row>
    <row r="1102" spans="4:4" x14ac:dyDescent="0.4">
      <c r="D1102"/>
    </row>
    <row r="1103" spans="4:4" x14ac:dyDescent="0.4">
      <c r="D1103"/>
    </row>
    <row r="1104" spans="4:4" x14ac:dyDescent="0.4">
      <c r="D1104"/>
    </row>
    <row r="1105" spans="4:4" x14ac:dyDescent="0.4">
      <c r="D1105"/>
    </row>
    <row r="1106" spans="4:4" x14ac:dyDescent="0.4">
      <c r="D1106"/>
    </row>
    <row r="1107" spans="4:4" x14ac:dyDescent="0.4">
      <c r="D1107"/>
    </row>
    <row r="1108" spans="4:4" x14ac:dyDescent="0.4">
      <c r="D1108"/>
    </row>
    <row r="1109" spans="4:4" x14ac:dyDescent="0.4">
      <c r="D1109"/>
    </row>
    <row r="1110" spans="4:4" x14ac:dyDescent="0.4">
      <c r="D1110"/>
    </row>
    <row r="1111" spans="4:4" x14ac:dyDescent="0.4">
      <c r="D1111"/>
    </row>
    <row r="1112" spans="4:4" x14ac:dyDescent="0.4">
      <c r="D1112"/>
    </row>
    <row r="1113" spans="4:4" x14ac:dyDescent="0.4">
      <c r="D1113"/>
    </row>
    <row r="1114" spans="4:4" x14ac:dyDescent="0.4">
      <c r="D1114"/>
    </row>
    <row r="1115" spans="4:4" x14ac:dyDescent="0.4">
      <c r="D1115"/>
    </row>
    <row r="1116" spans="4:4" x14ac:dyDescent="0.4">
      <c r="D1116"/>
    </row>
    <row r="1117" spans="4:4" x14ac:dyDescent="0.4">
      <c r="D1117"/>
    </row>
    <row r="1118" spans="4:4" x14ac:dyDescent="0.4">
      <c r="D1118"/>
    </row>
    <row r="1119" spans="4:4" x14ac:dyDescent="0.4">
      <c r="D1119"/>
    </row>
    <row r="1120" spans="4:4" x14ac:dyDescent="0.4">
      <c r="D1120"/>
    </row>
    <row r="1121" spans="4:4" x14ac:dyDescent="0.4">
      <c r="D1121"/>
    </row>
    <row r="1122" spans="4:4" x14ac:dyDescent="0.4">
      <c r="D1122"/>
    </row>
    <row r="1123" spans="4:4" x14ac:dyDescent="0.4">
      <c r="D1123"/>
    </row>
    <row r="1124" spans="4:4" x14ac:dyDescent="0.4">
      <c r="D1124"/>
    </row>
    <row r="1125" spans="4:4" x14ac:dyDescent="0.4">
      <c r="D1125"/>
    </row>
    <row r="1126" spans="4:4" x14ac:dyDescent="0.4">
      <c r="D1126"/>
    </row>
    <row r="1127" spans="4:4" x14ac:dyDescent="0.4">
      <c r="D1127"/>
    </row>
    <row r="1128" spans="4:4" x14ac:dyDescent="0.4">
      <c r="D1128"/>
    </row>
    <row r="1129" spans="4:4" x14ac:dyDescent="0.4">
      <c r="D1129"/>
    </row>
    <row r="1130" spans="4:4" x14ac:dyDescent="0.4">
      <c r="D1130"/>
    </row>
    <row r="1131" spans="4:4" x14ac:dyDescent="0.4">
      <c r="D1131"/>
    </row>
    <row r="1132" spans="4:4" x14ac:dyDescent="0.4">
      <c r="D1132"/>
    </row>
    <row r="1133" spans="4:4" x14ac:dyDescent="0.4">
      <c r="D1133"/>
    </row>
    <row r="1134" spans="4:4" x14ac:dyDescent="0.4">
      <c r="D1134"/>
    </row>
    <row r="1135" spans="4:4" x14ac:dyDescent="0.4">
      <c r="D1135"/>
    </row>
    <row r="1136" spans="4:4" x14ac:dyDescent="0.4">
      <c r="D1136"/>
    </row>
    <row r="1137" spans="4:4" x14ac:dyDescent="0.4">
      <c r="D1137"/>
    </row>
    <row r="1138" spans="4:4" x14ac:dyDescent="0.4">
      <c r="D1138"/>
    </row>
    <row r="1139" spans="4:4" x14ac:dyDescent="0.4">
      <c r="D1139"/>
    </row>
    <row r="1140" spans="4:4" x14ac:dyDescent="0.4">
      <c r="D1140"/>
    </row>
    <row r="1141" spans="4:4" x14ac:dyDescent="0.4">
      <c r="D1141"/>
    </row>
    <row r="1142" spans="4:4" x14ac:dyDescent="0.4">
      <c r="D1142"/>
    </row>
    <row r="1143" spans="4:4" x14ac:dyDescent="0.4">
      <c r="D1143"/>
    </row>
    <row r="1144" spans="4:4" x14ac:dyDescent="0.4">
      <c r="D1144"/>
    </row>
    <row r="1145" spans="4:4" x14ac:dyDescent="0.4">
      <c r="D1145"/>
    </row>
    <row r="1146" spans="4:4" x14ac:dyDescent="0.4">
      <c r="D1146"/>
    </row>
    <row r="1147" spans="4:4" x14ac:dyDescent="0.4">
      <c r="D1147"/>
    </row>
    <row r="1148" spans="4:4" x14ac:dyDescent="0.4">
      <c r="D1148"/>
    </row>
    <row r="1149" spans="4:4" x14ac:dyDescent="0.4">
      <c r="D1149"/>
    </row>
    <row r="1150" spans="4:4" x14ac:dyDescent="0.4">
      <c r="D1150"/>
    </row>
    <row r="1151" spans="4:4" x14ac:dyDescent="0.4">
      <c r="D1151"/>
    </row>
    <row r="1152" spans="4:4" x14ac:dyDescent="0.4">
      <c r="D1152"/>
    </row>
    <row r="1153" spans="4:4" x14ac:dyDescent="0.4">
      <c r="D1153"/>
    </row>
    <row r="1154" spans="4:4" x14ac:dyDescent="0.4">
      <c r="D1154"/>
    </row>
    <row r="1155" spans="4:4" x14ac:dyDescent="0.4">
      <c r="D1155"/>
    </row>
    <row r="1156" spans="4:4" x14ac:dyDescent="0.4">
      <c r="D1156"/>
    </row>
    <row r="1157" spans="4:4" x14ac:dyDescent="0.4">
      <c r="D1157"/>
    </row>
    <row r="1158" spans="4:4" x14ac:dyDescent="0.4">
      <c r="D1158"/>
    </row>
    <row r="1159" spans="4:4" x14ac:dyDescent="0.4">
      <c r="D1159"/>
    </row>
    <row r="1160" spans="4:4" x14ac:dyDescent="0.4">
      <c r="D1160"/>
    </row>
    <row r="1161" spans="4:4" x14ac:dyDescent="0.4">
      <c r="D1161"/>
    </row>
    <row r="1162" spans="4:4" x14ac:dyDescent="0.4">
      <c r="D1162"/>
    </row>
    <row r="1163" spans="4:4" x14ac:dyDescent="0.4">
      <c r="D1163"/>
    </row>
    <row r="1164" spans="4:4" x14ac:dyDescent="0.4">
      <c r="D1164"/>
    </row>
    <row r="1165" spans="4:4" x14ac:dyDescent="0.4">
      <c r="D1165"/>
    </row>
    <row r="1166" spans="4:4" x14ac:dyDescent="0.4">
      <c r="D1166"/>
    </row>
    <row r="1167" spans="4:4" x14ac:dyDescent="0.4">
      <c r="D1167"/>
    </row>
    <row r="1168" spans="4:4" x14ac:dyDescent="0.4">
      <c r="D1168"/>
    </row>
    <row r="1169" spans="4:4" x14ac:dyDescent="0.4">
      <c r="D1169"/>
    </row>
    <row r="1170" spans="4:4" x14ac:dyDescent="0.4">
      <c r="D1170"/>
    </row>
    <row r="1171" spans="4:4" x14ac:dyDescent="0.4">
      <c r="D1171"/>
    </row>
    <row r="1172" spans="4:4" x14ac:dyDescent="0.4">
      <c r="D1172"/>
    </row>
    <row r="1173" spans="4:4" x14ac:dyDescent="0.4">
      <c r="D1173"/>
    </row>
    <row r="1174" spans="4:4" x14ac:dyDescent="0.4">
      <c r="D1174"/>
    </row>
    <row r="1175" spans="4:4" x14ac:dyDescent="0.4">
      <c r="D1175"/>
    </row>
    <row r="1176" spans="4:4" x14ac:dyDescent="0.4">
      <c r="D1176"/>
    </row>
    <row r="1177" spans="4:4" x14ac:dyDescent="0.4">
      <c r="D1177"/>
    </row>
    <row r="1178" spans="4:4" x14ac:dyDescent="0.4">
      <c r="D1178"/>
    </row>
    <row r="1179" spans="4:4" x14ac:dyDescent="0.4">
      <c r="D1179"/>
    </row>
    <row r="1180" spans="4:4" x14ac:dyDescent="0.4">
      <c r="D1180"/>
    </row>
    <row r="1181" spans="4:4" x14ac:dyDescent="0.4">
      <c r="D1181"/>
    </row>
    <row r="1182" spans="4:4" x14ac:dyDescent="0.4">
      <c r="D1182"/>
    </row>
    <row r="1183" spans="4:4" x14ac:dyDescent="0.4">
      <c r="D1183"/>
    </row>
    <row r="1184" spans="4:4" x14ac:dyDescent="0.4">
      <c r="D1184"/>
    </row>
    <row r="1185" spans="4:4" x14ac:dyDescent="0.4">
      <c r="D1185"/>
    </row>
    <row r="1186" spans="4:4" x14ac:dyDescent="0.4">
      <c r="D1186"/>
    </row>
    <row r="1187" spans="4:4" x14ac:dyDescent="0.4">
      <c r="D1187"/>
    </row>
    <row r="1188" spans="4:4" x14ac:dyDescent="0.4">
      <c r="D1188"/>
    </row>
    <row r="1189" spans="4:4" x14ac:dyDescent="0.4">
      <c r="D1189"/>
    </row>
    <row r="1190" spans="4:4" x14ac:dyDescent="0.4">
      <c r="D1190"/>
    </row>
    <row r="1191" spans="4:4" x14ac:dyDescent="0.4">
      <c r="D1191"/>
    </row>
    <row r="1192" spans="4:4" x14ac:dyDescent="0.4">
      <c r="D1192"/>
    </row>
    <row r="1193" spans="4:4" x14ac:dyDescent="0.4">
      <c r="D1193"/>
    </row>
    <row r="1194" spans="4:4" x14ac:dyDescent="0.4">
      <c r="D1194"/>
    </row>
    <row r="1195" spans="4:4" x14ac:dyDescent="0.4">
      <c r="D1195"/>
    </row>
    <row r="1196" spans="4:4" x14ac:dyDescent="0.4">
      <c r="D1196"/>
    </row>
    <row r="1197" spans="4:4" x14ac:dyDescent="0.4">
      <c r="D1197"/>
    </row>
    <row r="1198" spans="4:4" x14ac:dyDescent="0.4">
      <c r="D1198"/>
    </row>
    <row r="1199" spans="4:4" x14ac:dyDescent="0.4">
      <c r="D1199"/>
    </row>
    <row r="1200" spans="4:4" x14ac:dyDescent="0.4">
      <c r="D1200"/>
    </row>
    <row r="1201" spans="4:4" x14ac:dyDescent="0.4">
      <c r="D1201"/>
    </row>
    <row r="1202" spans="4:4" x14ac:dyDescent="0.4">
      <c r="D1202"/>
    </row>
    <row r="1203" spans="4:4" x14ac:dyDescent="0.4">
      <c r="D1203"/>
    </row>
    <row r="1204" spans="4:4" x14ac:dyDescent="0.4">
      <c r="D1204"/>
    </row>
    <row r="1205" spans="4:4" x14ac:dyDescent="0.4">
      <c r="D1205"/>
    </row>
    <row r="1206" spans="4:4" x14ac:dyDescent="0.4">
      <c r="D1206"/>
    </row>
    <row r="1207" spans="4:4" x14ac:dyDescent="0.4">
      <c r="D1207"/>
    </row>
    <row r="1208" spans="4:4" x14ac:dyDescent="0.4">
      <c r="D1208"/>
    </row>
    <row r="1209" spans="4:4" x14ac:dyDescent="0.4">
      <c r="D1209"/>
    </row>
    <row r="1210" spans="4:4" x14ac:dyDescent="0.4">
      <c r="D1210"/>
    </row>
    <row r="1211" spans="4:4" x14ac:dyDescent="0.4">
      <c r="D1211"/>
    </row>
    <row r="1212" spans="4:4" x14ac:dyDescent="0.4">
      <c r="D1212"/>
    </row>
    <row r="1213" spans="4:4" x14ac:dyDescent="0.4">
      <c r="D1213"/>
    </row>
    <row r="1214" spans="4:4" x14ac:dyDescent="0.4">
      <c r="D1214"/>
    </row>
    <row r="1215" spans="4:4" x14ac:dyDescent="0.4">
      <c r="D1215"/>
    </row>
    <row r="1216" spans="4:4" x14ac:dyDescent="0.4">
      <c r="D1216"/>
    </row>
    <row r="1217" spans="4:4" x14ac:dyDescent="0.4">
      <c r="D1217"/>
    </row>
    <row r="1218" spans="4:4" x14ac:dyDescent="0.4">
      <c r="D1218"/>
    </row>
    <row r="1219" spans="4:4" x14ac:dyDescent="0.4">
      <c r="D1219"/>
    </row>
    <row r="1220" spans="4:4" x14ac:dyDescent="0.4">
      <c r="D1220"/>
    </row>
    <row r="1221" spans="4:4" x14ac:dyDescent="0.4">
      <c r="D1221"/>
    </row>
    <row r="1222" spans="4:4" x14ac:dyDescent="0.4">
      <c r="D1222"/>
    </row>
    <row r="1223" spans="4:4" x14ac:dyDescent="0.4">
      <c r="D1223"/>
    </row>
    <row r="1224" spans="4:4" x14ac:dyDescent="0.4">
      <c r="D1224"/>
    </row>
    <row r="1225" spans="4:4" x14ac:dyDescent="0.4">
      <c r="D1225"/>
    </row>
    <row r="1226" spans="4:4" x14ac:dyDescent="0.4">
      <c r="D1226"/>
    </row>
    <row r="1227" spans="4:4" x14ac:dyDescent="0.4">
      <c r="D1227"/>
    </row>
    <row r="1228" spans="4:4" x14ac:dyDescent="0.4">
      <c r="D1228"/>
    </row>
    <row r="1229" spans="4:4" x14ac:dyDescent="0.4">
      <c r="D1229"/>
    </row>
    <row r="1230" spans="4:4" x14ac:dyDescent="0.4">
      <c r="D1230"/>
    </row>
    <row r="1231" spans="4:4" x14ac:dyDescent="0.4">
      <c r="D1231"/>
    </row>
    <row r="1232" spans="4:4" x14ac:dyDescent="0.4">
      <c r="D1232"/>
    </row>
    <row r="1233" spans="4:4" x14ac:dyDescent="0.4">
      <c r="D1233"/>
    </row>
    <row r="1234" spans="4:4" x14ac:dyDescent="0.4">
      <c r="D1234"/>
    </row>
    <row r="1235" spans="4:4" x14ac:dyDescent="0.4">
      <c r="D1235"/>
    </row>
    <row r="1236" spans="4:4" x14ac:dyDescent="0.4">
      <c r="D1236"/>
    </row>
    <row r="1237" spans="4:4" x14ac:dyDescent="0.4">
      <c r="D1237"/>
    </row>
    <row r="1238" spans="4:4" x14ac:dyDescent="0.4">
      <c r="D1238"/>
    </row>
    <row r="1239" spans="4:4" x14ac:dyDescent="0.4">
      <c r="D1239"/>
    </row>
    <row r="1240" spans="4:4" x14ac:dyDescent="0.4">
      <c r="D1240"/>
    </row>
    <row r="1241" spans="4:4" x14ac:dyDescent="0.4">
      <c r="D1241"/>
    </row>
    <row r="1242" spans="4:4" x14ac:dyDescent="0.4">
      <c r="D1242"/>
    </row>
    <row r="1243" spans="4:4" x14ac:dyDescent="0.4">
      <c r="D1243"/>
    </row>
    <row r="1244" spans="4:4" x14ac:dyDescent="0.4">
      <c r="D1244"/>
    </row>
    <row r="1245" spans="4:4" x14ac:dyDescent="0.4">
      <c r="D1245"/>
    </row>
    <row r="1246" spans="4:4" x14ac:dyDescent="0.4">
      <c r="D1246"/>
    </row>
    <row r="1247" spans="4:4" x14ac:dyDescent="0.4">
      <c r="D1247"/>
    </row>
    <row r="1248" spans="4:4" x14ac:dyDescent="0.4">
      <c r="D1248"/>
    </row>
    <row r="1249" spans="4:4" x14ac:dyDescent="0.4">
      <c r="D1249"/>
    </row>
    <row r="1250" spans="4:4" x14ac:dyDescent="0.4">
      <c r="D1250"/>
    </row>
    <row r="1251" spans="4:4" x14ac:dyDescent="0.4">
      <c r="D1251"/>
    </row>
    <row r="1252" spans="4:4" x14ac:dyDescent="0.4">
      <c r="D1252"/>
    </row>
    <row r="1253" spans="4:4" x14ac:dyDescent="0.4">
      <c r="D1253"/>
    </row>
    <row r="1254" spans="4:4" x14ac:dyDescent="0.4">
      <c r="D1254"/>
    </row>
    <row r="1255" spans="4:4" x14ac:dyDescent="0.4">
      <c r="D1255"/>
    </row>
    <row r="1256" spans="4:4" x14ac:dyDescent="0.4">
      <c r="D1256"/>
    </row>
    <row r="1257" spans="4:4" x14ac:dyDescent="0.4">
      <c r="D1257"/>
    </row>
    <row r="1258" spans="4:4" x14ac:dyDescent="0.4">
      <c r="D1258"/>
    </row>
    <row r="1259" spans="4:4" x14ac:dyDescent="0.4">
      <c r="D1259"/>
    </row>
    <row r="1260" spans="4:4" x14ac:dyDescent="0.4">
      <c r="D1260"/>
    </row>
    <row r="1261" spans="4:4" x14ac:dyDescent="0.4">
      <c r="D1261"/>
    </row>
    <row r="1262" spans="4:4" x14ac:dyDescent="0.4">
      <c r="D1262"/>
    </row>
    <row r="1263" spans="4:4" x14ac:dyDescent="0.4">
      <c r="D1263"/>
    </row>
    <row r="1264" spans="4:4" x14ac:dyDescent="0.4">
      <c r="D1264"/>
    </row>
    <row r="1265" spans="4:4" x14ac:dyDescent="0.4">
      <c r="D1265"/>
    </row>
    <row r="1266" spans="4:4" x14ac:dyDescent="0.4">
      <c r="D1266"/>
    </row>
    <row r="1267" spans="4:4" x14ac:dyDescent="0.4">
      <c r="D1267"/>
    </row>
    <row r="1268" spans="4:4" x14ac:dyDescent="0.4">
      <c r="D1268"/>
    </row>
    <row r="1269" spans="4:4" x14ac:dyDescent="0.4">
      <c r="D1269"/>
    </row>
    <row r="1270" spans="4:4" x14ac:dyDescent="0.4">
      <c r="D1270"/>
    </row>
    <row r="1271" spans="4:4" x14ac:dyDescent="0.4">
      <c r="D1271"/>
    </row>
    <row r="1272" spans="4:4" x14ac:dyDescent="0.4">
      <c r="D1272"/>
    </row>
    <row r="1273" spans="4:4" x14ac:dyDescent="0.4">
      <c r="D1273"/>
    </row>
    <row r="1274" spans="4:4" x14ac:dyDescent="0.4">
      <c r="D1274"/>
    </row>
    <row r="1275" spans="4:4" x14ac:dyDescent="0.4">
      <c r="D1275"/>
    </row>
    <row r="1276" spans="4:4" x14ac:dyDescent="0.4">
      <c r="D1276"/>
    </row>
    <row r="1277" spans="4:4" x14ac:dyDescent="0.4">
      <c r="D1277"/>
    </row>
    <row r="1278" spans="4:4" x14ac:dyDescent="0.4">
      <c r="D1278"/>
    </row>
    <row r="1279" spans="4:4" x14ac:dyDescent="0.4">
      <c r="D1279"/>
    </row>
    <row r="1280" spans="4:4" x14ac:dyDescent="0.4">
      <c r="D1280"/>
    </row>
    <row r="1281" spans="4:4" x14ac:dyDescent="0.4">
      <c r="D1281"/>
    </row>
    <row r="1282" spans="4:4" x14ac:dyDescent="0.4">
      <c r="D1282"/>
    </row>
    <row r="1283" spans="4:4" x14ac:dyDescent="0.4">
      <c r="D1283"/>
    </row>
    <row r="1284" spans="4:4" x14ac:dyDescent="0.4">
      <c r="D1284"/>
    </row>
    <row r="1285" spans="4:4" x14ac:dyDescent="0.4">
      <c r="D1285"/>
    </row>
    <row r="1286" spans="4:4" x14ac:dyDescent="0.4">
      <c r="D1286"/>
    </row>
    <row r="1287" spans="4:4" x14ac:dyDescent="0.4">
      <c r="D1287"/>
    </row>
    <row r="1288" spans="4:4" x14ac:dyDescent="0.4">
      <c r="D1288"/>
    </row>
    <row r="1289" spans="4:4" x14ac:dyDescent="0.4">
      <c r="D1289"/>
    </row>
    <row r="1290" spans="4:4" x14ac:dyDescent="0.4">
      <c r="D1290"/>
    </row>
    <row r="1291" spans="4:4" x14ac:dyDescent="0.4">
      <c r="D1291"/>
    </row>
    <row r="1292" spans="4:4" x14ac:dyDescent="0.4">
      <c r="D1292"/>
    </row>
    <row r="1293" spans="4:4" x14ac:dyDescent="0.4">
      <c r="D1293"/>
    </row>
    <row r="1294" spans="4:4" x14ac:dyDescent="0.4">
      <c r="D1294"/>
    </row>
    <row r="1295" spans="4:4" x14ac:dyDescent="0.4">
      <c r="D1295"/>
    </row>
    <row r="1296" spans="4:4" x14ac:dyDescent="0.4">
      <c r="D1296"/>
    </row>
    <row r="1297" spans="4:4" x14ac:dyDescent="0.4">
      <c r="D1297"/>
    </row>
    <row r="1298" spans="4:4" x14ac:dyDescent="0.4">
      <c r="D1298"/>
    </row>
    <row r="1299" spans="4:4" x14ac:dyDescent="0.4">
      <c r="D1299"/>
    </row>
    <row r="1300" spans="4:4" x14ac:dyDescent="0.4">
      <c r="D1300"/>
    </row>
    <row r="1301" spans="4:4" x14ac:dyDescent="0.4">
      <c r="D1301"/>
    </row>
    <row r="1302" spans="4:4" x14ac:dyDescent="0.4">
      <c r="D1302"/>
    </row>
    <row r="1303" spans="4:4" x14ac:dyDescent="0.4">
      <c r="D1303"/>
    </row>
    <row r="1304" spans="4:4" x14ac:dyDescent="0.4">
      <c r="D1304"/>
    </row>
    <row r="1305" spans="4:4" x14ac:dyDescent="0.4">
      <c r="D1305"/>
    </row>
    <row r="1306" spans="4:4" x14ac:dyDescent="0.4">
      <c r="D1306"/>
    </row>
    <row r="1307" spans="4:4" x14ac:dyDescent="0.4">
      <c r="D1307"/>
    </row>
    <row r="1308" spans="4:4" x14ac:dyDescent="0.4">
      <c r="D1308"/>
    </row>
    <row r="1309" spans="4:4" x14ac:dyDescent="0.4">
      <c r="D1309"/>
    </row>
    <row r="1310" spans="4:4" x14ac:dyDescent="0.4">
      <c r="D1310"/>
    </row>
    <row r="1311" spans="4:4" x14ac:dyDescent="0.4">
      <c r="D1311"/>
    </row>
    <row r="1312" spans="4:4" x14ac:dyDescent="0.4">
      <c r="D1312"/>
    </row>
    <row r="1313" spans="4:4" x14ac:dyDescent="0.4">
      <c r="D1313"/>
    </row>
    <row r="1314" spans="4:4" x14ac:dyDescent="0.4">
      <c r="D1314"/>
    </row>
    <row r="1315" spans="4:4" x14ac:dyDescent="0.4">
      <c r="D1315"/>
    </row>
    <row r="1316" spans="4:4" x14ac:dyDescent="0.4">
      <c r="D1316"/>
    </row>
    <row r="1317" spans="4:4" x14ac:dyDescent="0.4">
      <c r="D1317"/>
    </row>
    <row r="1318" spans="4:4" x14ac:dyDescent="0.4">
      <c r="D1318"/>
    </row>
    <row r="1319" spans="4:4" x14ac:dyDescent="0.4">
      <c r="D1319"/>
    </row>
    <row r="1320" spans="4:4" x14ac:dyDescent="0.4">
      <c r="D1320"/>
    </row>
    <row r="1321" spans="4:4" x14ac:dyDescent="0.4">
      <c r="D1321"/>
    </row>
    <row r="1322" spans="4:4" x14ac:dyDescent="0.4">
      <c r="D1322"/>
    </row>
    <row r="1323" spans="4:4" x14ac:dyDescent="0.4">
      <c r="D1323"/>
    </row>
    <row r="1324" spans="4:4" x14ac:dyDescent="0.4">
      <c r="D1324"/>
    </row>
    <row r="1325" spans="4:4" x14ac:dyDescent="0.4">
      <c r="D1325"/>
    </row>
    <row r="1326" spans="4:4" x14ac:dyDescent="0.4">
      <c r="D1326"/>
    </row>
    <row r="1327" spans="4:4" x14ac:dyDescent="0.4">
      <c r="D1327"/>
    </row>
    <row r="1328" spans="4:4" x14ac:dyDescent="0.4">
      <c r="D1328"/>
    </row>
    <row r="1329" spans="4:4" x14ac:dyDescent="0.4">
      <c r="D1329"/>
    </row>
    <row r="1330" spans="4:4" x14ac:dyDescent="0.4">
      <c r="D1330"/>
    </row>
    <row r="1331" spans="4:4" x14ac:dyDescent="0.4">
      <c r="D1331"/>
    </row>
    <row r="1332" spans="4:4" x14ac:dyDescent="0.4">
      <c r="D1332"/>
    </row>
    <row r="1333" spans="4:4" x14ac:dyDescent="0.4">
      <c r="D1333"/>
    </row>
    <row r="1334" spans="4:4" x14ac:dyDescent="0.4">
      <c r="D1334"/>
    </row>
    <row r="1335" spans="4:4" x14ac:dyDescent="0.4">
      <c r="D1335"/>
    </row>
    <row r="1336" spans="4:4" x14ac:dyDescent="0.4">
      <c r="D1336"/>
    </row>
    <row r="1337" spans="4:4" x14ac:dyDescent="0.4">
      <c r="D1337"/>
    </row>
    <row r="1338" spans="4:4" x14ac:dyDescent="0.4">
      <c r="D1338"/>
    </row>
    <row r="1339" spans="4:4" x14ac:dyDescent="0.4">
      <c r="D1339"/>
    </row>
    <row r="1340" spans="4:4" x14ac:dyDescent="0.4">
      <c r="D1340"/>
    </row>
    <row r="1341" spans="4:4" x14ac:dyDescent="0.4">
      <c r="D1341"/>
    </row>
    <row r="1342" spans="4:4" x14ac:dyDescent="0.4">
      <c r="D1342"/>
    </row>
    <row r="1343" spans="4:4" x14ac:dyDescent="0.4">
      <c r="D1343"/>
    </row>
    <row r="1344" spans="4:4" x14ac:dyDescent="0.4">
      <c r="D1344"/>
    </row>
    <row r="1345" spans="4:4" x14ac:dyDescent="0.4">
      <c r="D1345"/>
    </row>
    <row r="1346" spans="4:4" x14ac:dyDescent="0.4">
      <c r="D1346"/>
    </row>
    <row r="1347" spans="4:4" x14ac:dyDescent="0.4">
      <c r="D1347"/>
    </row>
    <row r="1348" spans="4:4" x14ac:dyDescent="0.4">
      <c r="D1348"/>
    </row>
    <row r="1349" spans="4:4" x14ac:dyDescent="0.4">
      <c r="D1349"/>
    </row>
    <row r="1350" spans="4:4" x14ac:dyDescent="0.4">
      <c r="D1350"/>
    </row>
    <row r="1351" spans="4:4" x14ac:dyDescent="0.4">
      <c r="D1351"/>
    </row>
    <row r="1352" spans="4:4" x14ac:dyDescent="0.4">
      <c r="D1352"/>
    </row>
    <row r="1353" spans="4:4" x14ac:dyDescent="0.4">
      <c r="D1353"/>
    </row>
    <row r="1354" spans="4:4" x14ac:dyDescent="0.4">
      <c r="D1354"/>
    </row>
    <row r="1355" spans="4:4" x14ac:dyDescent="0.4">
      <c r="D1355"/>
    </row>
    <row r="1356" spans="4:4" x14ac:dyDescent="0.4">
      <c r="D1356"/>
    </row>
    <row r="1357" spans="4:4" x14ac:dyDescent="0.4">
      <c r="D1357"/>
    </row>
    <row r="1358" spans="4:4" x14ac:dyDescent="0.4">
      <c r="D1358"/>
    </row>
    <row r="1359" spans="4:4" x14ac:dyDescent="0.4">
      <c r="D1359"/>
    </row>
    <row r="1360" spans="4:4" x14ac:dyDescent="0.4">
      <c r="D1360"/>
    </row>
    <row r="1361" spans="4:4" x14ac:dyDescent="0.4">
      <c r="D1361"/>
    </row>
    <row r="1362" spans="4:4" x14ac:dyDescent="0.4">
      <c r="D1362"/>
    </row>
    <row r="1363" spans="4:4" x14ac:dyDescent="0.4">
      <c r="D1363"/>
    </row>
    <row r="1364" spans="4:4" x14ac:dyDescent="0.4">
      <c r="D1364"/>
    </row>
    <row r="1365" spans="4:4" x14ac:dyDescent="0.4">
      <c r="D1365"/>
    </row>
    <row r="1366" spans="4:4" x14ac:dyDescent="0.4">
      <c r="D1366"/>
    </row>
    <row r="1367" spans="4:4" x14ac:dyDescent="0.4">
      <c r="D1367"/>
    </row>
    <row r="1368" spans="4:4" x14ac:dyDescent="0.4">
      <c r="D1368"/>
    </row>
    <row r="1369" spans="4:4" x14ac:dyDescent="0.4">
      <c r="D1369"/>
    </row>
    <row r="1370" spans="4:4" x14ac:dyDescent="0.4">
      <c r="D1370"/>
    </row>
    <row r="1371" spans="4:4" x14ac:dyDescent="0.4">
      <c r="D1371"/>
    </row>
    <row r="1372" spans="4:4" x14ac:dyDescent="0.4">
      <c r="D1372"/>
    </row>
    <row r="1373" spans="4:4" x14ac:dyDescent="0.4">
      <c r="D1373"/>
    </row>
    <row r="1374" spans="4:4" x14ac:dyDescent="0.4">
      <c r="D1374"/>
    </row>
    <row r="1375" spans="4:4" x14ac:dyDescent="0.4">
      <c r="D1375"/>
    </row>
    <row r="1376" spans="4:4" x14ac:dyDescent="0.4">
      <c r="D1376"/>
    </row>
    <row r="1377" spans="4:4" x14ac:dyDescent="0.4">
      <c r="D1377"/>
    </row>
    <row r="1378" spans="4:4" x14ac:dyDescent="0.4">
      <c r="D1378"/>
    </row>
    <row r="1379" spans="4:4" x14ac:dyDescent="0.4">
      <c r="D1379"/>
    </row>
    <row r="1380" spans="4:4" x14ac:dyDescent="0.4">
      <c r="D1380"/>
    </row>
    <row r="1381" spans="4:4" x14ac:dyDescent="0.4">
      <c r="D1381"/>
    </row>
    <row r="1382" spans="4:4" x14ac:dyDescent="0.4">
      <c r="D1382"/>
    </row>
    <row r="1383" spans="4:4" x14ac:dyDescent="0.4">
      <c r="D1383"/>
    </row>
    <row r="1384" spans="4:4" x14ac:dyDescent="0.4">
      <c r="D1384"/>
    </row>
    <row r="1385" spans="4:4" x14ac:dyDescent="0.4">
      <c r="D1385"/>
    </row>
    <row r="1386" spans="4:4" x14ac:dyDescent="0.4">
      <c r="D1386"/>
    </row>
    <row r="1387" spans="4:4" x14ac:dyDescent="0.4">
      <c r="D1387"/>
    </row>
    <row r="1388" spans="4:4" x14ac:dyDescent="0.4">
      <c r="D1388"/>
    </row>
    <row r="1389" spans="4:4" x14ac:dyDescent="0.4">
      <c r="D1389"/>
    </row>
    <row r="1390" spans="4:4" x14ac:dyDescent="0.4">
      <c r="D1390"/>
    </row>
    <row r="1391" spans="4:4" x14ac:dyDescent="0.4">
      <c r="D1391"/>
    </row>
    <row r="1392" spans="4:4" x14ac:dyDescent="0.4">
      <c r="D1392"/>
    </row>
    <row r="1393" spans="4:4" x14ac:dyDescent="0.4">
      <c r="D1393"/>
    </row>
    <row r="1394" spans="4:4" x14ac:dyDescent="0.4">
      <c r="D1394"/>
    </row>
    <row r="1395" spans="4:4" x14ac:dyDescent="0.4">
      <c r="D1395"/>
    </row>
    <row r="1396" spans="4:4" x14ac:dyDescent="0.4">
      <c r="D1396"/>
    </row>
    <row r="1397" spans="4:4" x14ac:dyDescent="0.4">
      <c r="D1397"/>
    </row>
    <row r="1398" spans="4:4" x14ac:dyDescent="0.4">
      <c r="D1398"/>
    </row>
    <row r="1399" spans="4:4" x14ac:dyDescent="0.4">
      <c r="D1399"/>
    </row>
    <row r="1400" spans="4:4" x14ac:dyDescent="0.4">
      <c r="D1400"/>
    </row>
    <row r="1401" spans="4:4" x14ac:dyDescent="0.4">
      <c r="D1401"/>
    </row>
    <row r="1402" spans="4:4" x14ac:dyDescent="0.4">
      <c r="D1402"/>
    </row>
    <row r="1403" spans="4:4" x14ac:dyDescent="0.4">
      <c r="D1403"/>
    </row>
    <row r="1404" spans="4:4" x14ac:dyDescent="0.4">
      <c r="D1404"/>
    </row>
    <row r="1405" spans="4:4" x14ac:dyDescent="0.4">
      <c r="D1405"/>
    </row>
    <row r="1406" spans="4:4" x14ac:dyDescent="0.4">
      <c r="D1406"/>
    </row>
    <row r="1407" spans="4:4" x14ac:dyDescent="0.4">
      <c r="D1407"/>
    </row>
    <row r="1408" spans="4:4" x14ac:dyDescent="0.4">
      <c r="D1408"/>
    </row>
    <row r="1409" spans="4:4" x14ac:dyDescent="0.4">
      <c r="D1409"/>
    </row>
    <row r="1410" spans="4:4" x14ac:dyDescent="0.4">
      <c r="D1410"/>
    </row>
    <row r="1411" spans="4:4" x14ac:dyDescent="0.4">
      <c r="D1411"/>
    </row>
    <row r="1412" spans="4:4" x14ac:dyDescent="0.4">
      <c r="D1412"/>
    </row>
    <row r="1413" spans="4:4" x14ac:dyDescent="0.4">
      <c r="D1413"/>
    </row>
    <row r="1414" spans="4:4" x14ac:dyDescent="0.4">
      <c r="D1414"/>
    </row>
    <row r="1415" spans="4:4" x14ac:dyDescent="0.4">
      <c r="D1415"/>
    </row>
    <row r="1416" spans="4:4" x14ac:dyDescent="0.4">
      <c r="D1416"/>
    </row>
    <row r="1417" spans="4:4" x14ac:dyDescent="0.4">
      <c r="D1417"/>
    </row>
    <row r="1418" spans="4:4" x14ac:dyDescent="0.4">
      <c r="D1418"/>
    </row>
    <row r="1419" spans="4:4" x14ac:dyDescent="0.4">
      <c r="D1419"/>
    </row>
    <row r="1420" spans="4:4" x14ac:dyDescent="0.4">
      <c r="D1420"/>
    </row>
    <row r="1421" spans="4:4" x14ac:dyDescent="0.4">
      <c r="D1421"/>
    </row>
    <row r="1422" spans="4:4" x14ac:dyDescent="0.4">
      <c r="D1422"/>
    </row>
    <row r="1423" spans="4:4" x14ac:dyDescent="0.4">
      <c r="D1423"/>
    </row>
    <row r="1424" spans="4:4" x14ac:dyDescent="0.4">
      <c r="D1424"/>
    </row>
    <row r="1425" spans="4:4" x14ac:dyDescent="0.4">
      <c r="D1425"/>
    </row>
    <row r="1426" spans="4:4" x14ac:dyDescent="0.4">
      <c r="D1426"/>
    </row>
    <row r="1427" spans="4:4" x14ac:dyDescent="0.4">
      <c r="D1427"/>
    </row>
    <row r="1428" spans="4:4" x14ac:dyDescent="0.4">
      <c r="D1428"/>
    </row>
    <row r="1429" spans="4:4" x14ac:dyDescent="0.4">
      <c r="D1429"/>
    </row>
    <row r="1430" spans="4:4" x14ac:dyDescent="0.4">
      <c r="D1430"/>
    </row>
    <row r="1431" spans="4:4" x14ac:dyDescent="0.4">
      <c r="D1431"/>
    </row>
    <row r="1432" spans="4:4" x14ac:dyDescent="0.4">
      <c r="D1432"/>
    </row>
    <row r="1433" spans="4:4" x14ac:dyDescent="0.4">
      <c r="D1433"/>
    </row>
    <row r="1434" spans="4:4" x14ac:dyDescent="0.4">
      <c r="D1434"/>
    </row>
    <row r="1435" spans="4:4" x14ac:dyDescent="0.4">
      <c r="D1435"/>
    </row>
    <row r="1436" spans="4:4" x14ac:dyDescent="0.4">
      <c r="D1436"/>
    </row>
    <row r="1437" spans="4:4" x14ac:dyDescent="0.4">
      <c r="D1437"/>
    </row>
    <row r="1438" spans="4:4" x14ac:dyDescent="0.4">
      <c r="D1438"/>
    </row>
    <row r="1439" spans="4:4" x14ac:dyDescent="0.4">
      <c r="D1439"/>
    </row>
    <row r="1440" spans="4:4" x14ac:dyDescent="0.4">
      <c r="D1440"/>
    </row>
    <row r="1441" spans="4:4" x14ac:dyDescent="0.4">
      <c r="D1441"/>
    </row>
    <row r="1442" spans="4:4" x14ac:dyDescent="0.4">
      <c r="D1442"/>
    </row>
    <row r="1443" spans="4:4" x14ac:dyDescent="0.4">
      <c r="D1443"/>
    </row>
    <row r="1444" spans="4:4" x14ac:dyDescent="0.4">
      <c r="D1444"/>
    </row>
    <row r="1445" spans="4:4" x14ac:dyDescent="0.4">
      <c r="D1445"/>
    </row>
    <row r="1446" spans="4:4" x14ac:dyDescent="0.4">
      <c r="D1446"/>
    </row>
    <row r="1447" spans="4:4" x14ac:dyDescent="0.4">
      <c r="D1447"/>
    </row>
    <row r="1448" spans="4:4" x14ac:dyDescent="0.4">
      <c r="D1448"/>
    </row>
    <row r="1449" spans="4:4" x14ac:dyDescent="0.4">
      <c r="D1449"/>
    </row>
    <row r="1450" spans="4:4" x14ac:dyDescent="0.4">
      <c r="D1450"/>
    </row>
    <row r="1451" spans="4:4" x14ac:dyDescent="0.4">
      <c r="D1451"/>
    </row>
    <row r="1452" spans="4:4" x14ac:dyDescent="0.4">
      <c r="D1452"/>
    </row>
    <row r="1453" spans="4:4" x14ac:dyDescent="0.4">
      <c r="D1453"/>
    </row>
    <row r="1454" spans="4:4" x14ac:dyDescent="0.4">
      <c r="D1454"/>
    </row>
    <row r="1455" spans="4:4" x14ac:dyDescent="0.4">
      <c r="D1455"/>
    </row>
    <row r="1456" spans="4:4" x14ac:dyDescent="0.4">
      <c r="D1456"/>
    </row>
    <row r="1457" spans="4:4" x14ac:dyDescent="0.4">
      <c r="D1457"/>
    </row>
    <row r="1458" spans="4:4" x14ac:dyDescent="0.4">
      <c r="D1458"/>
    </row>
    <row r="1459" spans="4:4" x14ac:dyDescent="0.4">
      <c r="D1459"/>
    </row>
    <row r="1460" spans="4:4" x14ac:dyDescent="0.4">
      <c r="D1460"/>
    </row>
    <row r="1461" spans="4:4" x14ac:dyDescent="0.4">
      <c r="D1461"/>
    </row>
    <row r="1462" spans="4:4" x14ac:dyDescent="0.4">
      <c r="D1462"/>
    </row>
    <row r="1463" spans="4:4" x14ac:dyDescent="0.4">
      <c r="D1463"/>
    </row>
    <row r="1464" spans="4:4" x14ac:dyDescent="0.4">
      <c r="D1464"/>
    </row>
    <row r="1465" spans="4:4" x14ac:dyDescent="0.4">
      <c r="D1465"/>
    </row>
    <row r="1466" spans="4:4" x14ac:dyDescent="0.4">
      <c r="D1466"/>
    </row>
    <row r="1467" spans="4:4" x14ac:dyDescent="0.4">
      <c r="D1467"/>
    </row>
    <row r="1468" spans="4:4" x14ac:dyDescent="0.4">
      <c r="D1468"/>
    </row>
    <row r="1469" spans="4:4" x14ac:dyDescent="0.4">
      <c r="D1469"/>
    </row>
    <row r="1470" spans="4:4" x14ac:dyDescent="0.4">
      <c r="D1470"/>
    </row>
    <row r="1471" spans="4:4" x14ac:dyDescent="0.4">
      <c r="D1471"/>
    </row>
    <row r="1472" spans="4:4" x14ac:dyDescent="0.4">
      <c r="D1472"/>
    </row>
    <row r="1473" spans="4:4" x14ac:dyDescent="0.4">
      <c r="D1473"/>
    </row>
    <row r="1474" spans="4:4" x14ac:dyDescent="0.4">
      <c r="D1474"/>
    </row>
    <row r="1475" spans="4:4" x14ac:dyDescent="0.4">
      <c r="D1475"/>
    </row>
    <row r="1476" spans="4:4" x14ac:dyDescent="0.4">
      <c r="D1476"/>
    </row>
    <row r="1477" spans="4:4" x14ac:dyDescent="0.4">
      <c r="D1477"/>
    </row>
    <row r="1478" spans="4:4" x14ac:dyDescent="0.4">
      <c r="D1478"/>
    </row>
    <row r="1479" spans="4:4" x14ac:dyDescent="0.4">
      <c r="D1479"/>
    </row>
    <row r="1480" spans="4:4" x14ac:dyDescent="0.4">
      <c r="D1480"/>
    </row>
    <row r="1481" spans="4:4" x14ac:dyDescent="0.4">
      <c r="D1481"/>
    </row>
    <row r="1482" spans="4:4" x14ac:dyDescent="0.4">
      <c r="D1482"/>
    </row>
    <row r="1483" spans="4:4" x14ac:dyDescent="0.4">
      <c r="D1483"/>
    </row>
    <row r="1484" spans="4:4" x14ac:dyDescent="0.4">
      <c r="D1484"/>
    </row>
    <row r="1485" spans="4:4" x14ac:dyDescent="0.4">
      <c r="D1485"/>
    </row>
    <row r="1486" spans="4:4" x14ac:dyDescent="0.4">
      <c r="D1486"/>
    </row>
    <row r="1487" spans="4:4" x14ac:dyDescent="0.4">
      <c r="D1487"/>
    </row>
    <row r="1488" spans="4:4" x14ac:dyDescent="0.4">
      <c r="D1488"/>
    </row>
    <row r="1489" spans="4:4" x14ac:dyDescent="0.4">
      <c r="D1489"/>
    </row>
    <row r="1490" spans="4:4" x14ac:dyDescent="0.4">
      <c r="D1490"/>
    </row>
    <row r="1491" spans="4:4" x14ac:dyDescent="0.4">
      <c r="D1491"/>
    </row>
    <row r="1492" spans="4:4" x14ac:dyDescent="0.4">
      <c r="D1492"/>
    </row>
    <row r="1493" spans="4:4" x14ac:dyDescent="0.4">
      <c r="D1493"/>
    </row>
    <row r="1494" spans="4:4" x14ac:dyDescent="0.4">
      <c r="D1494"/>
    </row>
    <row r="1495" spans="4:4" x14ac:dyDescent="0.4">
      <c r="D1495"/>
    </row>
    <row r="1496" spans="4:4" x14ac:dyDescent="0.4">
      <c r="D1496"/>
    </row>
    <row r="1497" spans="4:4" x14ac:dyDescent="0.4">
      <c r="D1497"/>
    </row>
    <row r="1498" spans="4:4" x14ac:dyDescent="0.4">
      <c r="D1498"/>
    </row>
    <row r="1499" spans="4:4" x14ac:dyDescent="0.4">
      <c r="D1499"/>
    </row>
    <row r="1500" spans="4:4" x14ac:dyDescent="0.4">
      <c r="D1500"/>
    </row>
    <row r="1501" spans="4:4" x14ac:dyDescent="0.4">
      <c r="D1501"/>
    </row>
    <row r="1502" spans="4:4" x14ac:dyDescent="0.4">
      <c r="D1502"/>
    </row>
    <row r="1503" spans="4:4" x14ac:dyDescent="0.4">
      <c r="D1503"/>
    </row>
    <row r="1504" spans="4:4" x14ac:dyDescent="0.4">
      <c r="D1504"/>
    </row>
    <row r="1505" spans="4:4" x14ac:dyDescent="0.4">
      <c r="D1505"/>
    </row>
    <row r="1506" spans="4:4" x14ac:dyDescent="0.4">
      <c r="D1506"/>
    </row>
    <row r="1507" spans="4:4" x14ac:dyDescent="0.4">
      <c r="D1507"/>
    </row>
    <row r="1508" spans="4:4" x14ac:dyDescent="0.4">
      <c r="D1508"/>
    </row>
    <row r="1509" spans="4:4" x14ac:dyDescent="0.4">
      <c r="D1509"/>
    </row>
    <row r="1510" spans="4:4" x14ac:dyDescent="0.4">
      <c r="D1510"/>
    </row>
    <row r="1511" spans="4:4" x14ac:dyDescent="0.4">
      <c r="D1511"/>
    </row>
    <row r="1512" spans="4:4" x14ac:dyDescent="0.4">
      <c r="D1512"/>
    </row>
    <row r="1513" spans="4:4" x14ac:dyDescent="0.4">
      <c r="D1513"/>
    </row>
    <row r="1514" spans="4:4" x14ac:dyDescent="0.4">
      <c r="D1514"/>
    </row>
    <row r="1515" spans="4:4" x14ac:dyDescent="0.4">
      <c r="D1515"/>
    </row>
    <row r="1516" spans="4:4" x14ac:dyDescent="0.4">
      <c r="D1516"/>
    </row>
    <row r="1517" spans="4:4" x14ac:dyDescent="0.4">
      <c r="D1517"/>
    </row>
    <row r="1518" spans="4:4" x14ac:dyDescent="0.4">
      <c r="D1518"/>
    </row>
    <row r="1519" spans="4:4" x14ac:dyDescent="0.4">
      <c r="D1519"/>
    </row>
    <row r="1520" spans="4:4" x14ac:dyDescent="0.4">
      <c r="D1520"/>
    </row>
    <row r="1521" spans="4:4" x14ac:dyDescent="0.4">
      <c r="D1521"/>
    </row>
    <row r="1522" spans="4:4" x14ac:dyDescent="0.4">
      <c r="D1522"/>
    </row>
    <row r="1523" spans="4:4" x14ac:dyDescent="0.4">
      <c r="D1523"/>
    </row>
    <row r="1524" spans="4:4" x14ac:dyDescent="0.4">
      <c r="D1524"/>
    </row>
    <row r="1525" spans="4:4" x14ac:dyDescent="0.4">
      <c r="D1525"/>
    </row>
    <row r="1526" spans="4:4" x14ac:dyDescent="0.4">
      <c r="D1526"/>
    </row>
    <row r="1527" spans="4:4" x14ac:dyDescent="0.4">
      <c r="D1527"/>
    </row>
    <row r="1528" spans="4:4" x14ac:dyDescent="0.4">
      <c r="D1528"/>
    </row>
    <row r="1529" spans="4:4" x14ac:dyDescent="0.4">
      <c r="D1529"/>
    </row>
    <row r="1530" spans="4:4" x14ac:dyDescent="0.4">
      <c r="D1530"/>
    </row>
    <row r="1531" spans="4:4" x14ac:dyDescent="0.4">
      <c r="D1531"/>
    </row>
    <row r="1532" spans="4:4" x14ac:dyDescent="0.4">
      <c r="D1532"/>
    </row>
    <row r="1533" spans="4:4" x14ac:dyDescent="0.4">
      <c r="D1533"/>
    </row>
    <row r="1534" spans="4:4" x14ac:dyDescent="0.4">
      <c r="D1534"/>
    </row>
    <row r="1535" spans="4:4" x14ac:dyDescent="0.4">
      <c r="D1535"/>
    </row>
    <row r="1536" spans="4:4" x14ac:dyDescent="0.4">
      <c r="D1536"/>
    </row>
    <row r="1537" spans="4:4" x14ac:dyDescent="0.4">
      <c r="D1537"/>
    </row>
    <row r="1538" spans="4:4" x14ac:dyDescent="0.4">
      <c r="D1538"/>
    </row>
    <row r="1539" spans="4:4" x14ac:dyDescent="0.4">
      <c r="D1539"/>
    </row>
    <row r="1540" spans="4:4" x14ac:dyDescent="0.4">
      <c r="D1540"/>
    </row>
    <row r="1541" spans="4:4" x14ac:dyDescent="0.4">
      <c r="D1541"/>
    </row>
    <row r="1542" spans="4:4" x14ac:dyDescent="0.4">
      <c r="D1542"/>
    </row>
    <row r="1543" spans="4:4" x14ac:dyDescent="0.4">
      <c r="D1543"/>
    </row>
    <row r="1544" spans="4:4" x14ac:dyDescent="0.4">
      <c r="D1544"/>
    </row>
    <row r="1545" spans="4:4" x14ac:dyDescent="0.4">
      <c r="D1545"/>
    </row>
    <row r="1546" spans="4:4" x14ac:dyDescent="0.4">
      <c r="D1546"/>
    </row>
    <row r="1547" spans="4:4" x14ac:dyDescent="0.4">
      <c r="D1547"/>
    </row>
    <row r="1548" spans="4:4" x14ac:dyDescent="0.4">
      <c r="D1548"/>
    </row>
    <row r="1549" spans="4:4" x14ac:dyDescent="0.4">
      <c r="D1549"/>
    </row>
    <row r="1550" spans="4:4" x14ac:dyDescent="0.4">
      <c r="D1550"/>
    </row>
    <row r="1551" spans="4:4" x14ac:dyDescent="0.4">
      <c r="D1551"/>
    </row>
    <row r="1552" spans="4:4" x14ac:dyDescent="0.4">
      <c r="D1552"/>
    </row>
    <row r="1553" spans="4:4" x14ac:dyDescent="0.4">
      <c r="D1553"/>
    </row>
    <row r="1554" spans="4:4" x14ac:dyDescent="0.4">
      <c r="D1554"/>
    </row>
    <row r="1555" spans="4:4" x14ac:dyDescent="0.4">
      <c r="D1555"/>
    </row>
    <row r="1556" spans="4:4" x14ac:dyDescent="0.4">
      <c r="D1556"/>
    </row>
    <row r="1557" spans="4:4" x14ac:dyDescent="0.4">
      <c r="D1557"/>
    </row>
    <row r="1558" spans="4:4" x14ac:dyDescent="0.4">
      <c r="D1558"/>
    </row>
    <row r="1559" spans="4:4" x14ac:dyDescent="0.4">
      <c r="D1559"/>
    </row>
    <row r="1560" spans="4:4" x14ac:dyDescent="0.4">
      <c r="D1560"/>
    </row>
    <row r="1561" spans="4:4" x14ac:dyDescent="0.4">
      <c r="D1561"/>
    </row>
    <row r="1562" spans="4:4" x14ac:dyDescent="0.4">
      <c r="D1562"/>
    </row>
    <row r="1563" spans="4:4" x14ac:dyDescent="0.4">
      <c r="D1563"/>
    </row>
    <row r="1564" spans="4:4" x14ac:dyDescent="0.4">
      <c r="D1564"/>
    </row>
    <row r="1565" spans="4:4" x14ac:dyDescent="0.4">
      <c r="D1565"/>
    </row>
    <row r="1566" spans="4:4" x14ac:dyDescent="0.4">
      <c r="D1566"/>
    </row>
    <row r="1567" spans="4:4" x14ac:dyDescent="0.4">
      <c r="D1567"/>
    </row>
    <row r="1568" spans="4:4" x14ac:dyDescent="0.4">
      <c r="D1568"/>
    </row>
    <row r="1569" spans="4:4" x14ac:dyDescent="0.4">
      <c r="D1569"/>
    </row>
    <row r="1570" spans="4:4" x14ac:dyDescent="0.4">
      <c r="D1570"/>
    </row>
    <row r="1571" spans="4:4" x14ac:dyDescent="0.4">
      <c r="D1571"/>
    </row>
    <row r="1572" spans="4:4" x14ac:dyDescent="0.4">
      <c r="D1572"/>
    </row>
    <row r="1573" spans="4:4" x14ac:dyDescent="0.4">
      <c r="D1573"/>
    </row>
    <row r="1574" spans="4:4" x14ac:dyDescent="0.4">
      <c r="D1574"/>
    </row>
    <row r="1575" spans="4:4" x14ac:dyDescent="0.4">
      <c r="D1575"/>
    </row>
    <row r="1576" spans="4:4" x14ac:dyDescent="0.4">
      <c r="D1576"/>
    </row>
    <row r="1577" spans="4:4" x14ac:dyDescent="0.4">
      <c r="D1577"/>
    </row>
    <row r="1578" spans="4:4" x14ac:dyDescent="0.4">
      <c r="D1578"/>
    </row>
    <row r="1579" spans="4:4" x14ac:dyDescent="0.4">
      <c r="D1579"/>
    </row>
    <row r="1580" spans="4:4" x14ac:dyDescent="0.4">
      <c r="D1580"/>
    </row>
    <row r="1581" spans="4:4" x14ac:dyDescent="0.4">
      <c r="D1581"/>
    </row>
    <row r="1582" spans="4:4" x14ac:dyDescent="0.4">
      <c r="D1582"/>
    </row>
    <row r="1583" spans="4:4" x14ac:dyDescent="0.4">
      <c r="D1583"/>
    </row>
    <row r="1584" spans="4:4" x14ac:dyDescent="0.4">
      <c r="D1584"/>
    </row>
    <row r="1585" spans="4:4" x14ac:dyDescent="0.4">
      <c r="D1585"/>
    </row>
    <row r="1586" spans="4:4" x14ac:dyDescent="0.4">
      <c r="D1586"/>
    </row>
    <row r="1587" spans="4:4" x14ac:dyDescent="0.4">
      <c r="D1587"/>
    </row>
    <row r="1588" spans="4:4" x14ac:dyDescent="0.4">
      <c r="D1588"/>
    </row>
    <row r="1589" spans="4:4" x14ac:dyDescent="0.4">
      <c r="D1589"/>
    </row>
    <row r="1590" spans="4:4" x14ac:dyDescent="0.4">
      <c r="D1590"/>
    </row>
    <row r="1591" spans="4:4" x14ac:dyDescent="0.4">
      <c r="D1591"/>
    </row>
    <row r="1592" spans="4:4" x14ac:dyDescent="0.4">
      <c r="D1592"/>
    </row>
    <row r="1593" spans="4:4" x14ac:dyDescent="0.4">
      <c r="D1593"/>
    </row>
    <row r="1594" spans="4:4" x14ac:dyDescent="0.4">
      <c r="D1594"/>
    </row>
    <row r="1595" spans="4:4" x14ac:dyDescent="0.4">
      <c r="D1595"/>
    </row>
    <row r="1596" spans="4:4" x14ac:dyDescent="0.4">
      <c r="D1596"/>
    </row>
    <row r="1597" spans="4:4" x14ac:dyDescent="0.4">
      <c r="D1597"/>
    </row>
    <row r="1598" spans="4:4" x14ac:dyDescent="0.4">
      <c r="D1598"/>
    </row>
    <row r="1599" spans="4:4" x14ac:dyDescent="0.4">
      <c r="D1599"/>
    </row>
    <row r="1600" spans="4:4" x14ac:dyDescent="0.4">
      <c r="D1600"/>
    </row>
    <row r="1601" spans="4:4" x14ac:dyDescent="0.4">
      <c r="D1601"/>
    </row>
    <row r="1602" spans="4:4" x14ac:dyDescent="0.4">
      <c r="D1602"/>
    </row>
    <row r="1603" spans="4:4" x14ac:dyDescent="0.4">
      <c r="D1603"/>
    </row>
    <row r="1604" spans="4:4" x14ac:dyDescent="0.4">
      <c r="D1604"/>
    </row>
    <row r="1605" spans="4:4" x14ac:dyDescent="0.4">
      <c r="D1605"/>
    </row>
    <row r="1606" spans="4:4" x14ac:dyDescent="0.4">
      <c r="D1606"/>
    </row>
    <row r="1607" spans="4:4" x14ac:dyDescent="0.4">
      <c r="D1607"/>
    </row>
    <row r="1608" spans="4:4" x14ac:dyDescent="0.4">
      <c r="D1608"/>
    </row>
    <row r="1609" spans="4:4" x14ac:dyDescent="0.4">
      <c r="D1609"/>
    </row>
    <row r="1610" spans="4:4" x14ac:dyDescent="0.4">
      <c r="D1610"/>
    </row>
    <row r="1611" spans="4:4" x14ac:dyDescent="0.4">
      <c r="D1611"/>
    </row>
    <row r="1612" spans="4:4" x14ac:dyDescent="0.4">
      <c r="D1612"/>
    </row>
    <row r="1613" spans="4:4" x14ac:dyDescent="0.4">
      <c r="D1613"/>
    </row>
    <row r="1614" spans="4:4" x14ac:dyDescent="0.4">
      <c r="D1614"/>
    </row>
    <row r="1615" spans="4:4" x14ac:dyDescent="0.4">
      <c r="D1615"/>
    </row>
    <row r="1616" spans="4:4" x14ac:dyDescent="0.4">
      <c r="D1616"/>
    </row>
    <row r="1617" spans="4:4" x14ac:dyDescent="0.4">
      <c r="D1617"/>
    </row>
    <row r="1618" spans="4:4" x14ac:dyDescent="0.4">
      <c r="D1618"/>
    </row>
    <row r="1619" spans="4:4" x14ac:dyDescent="0.4">
      <c r="D1619"/>
    </row>
    <row r="1620" spans="4:4" x14ac:dyDescent="0.4">
      <c r="D1620"/>
    </row>
    <row r="1621" spans="4:4" x14ac:dyDescent="0.4">
      <c r="D1621"/>
    </row>
    <row r="1622" spans="4:4" x14ac:dyDescent="0.4">
      <c r="D1622"/>
    </row>
    <row r="1623" spans="4:4" x14ac:dyDescent="0.4">
      <c r="D1623"/>
    </row>
    <row r="1624" spans="4:4" x14ac:dyDescent="0.4">
      <c r="D1624"/>
    </row>
    <row r="1625" spans="4:4" x14ac:dyDescent="0.4">
      <c r="D1625"/>
    </row>
    <row r="1626" spans="4:4" x14ac:dyDescent="0.4">
      <c r="D1626"/>
    </row>
    <row r="1627" spans="4:4" x14ac:dyDescent="0.4">
      <c r="D1627"/>
    </row>
    <row r="1628" spans="4:4" x14ac:dyDescent="0.4">
      <c r="D1628"/>
    </row>
    <row r="1629" spans="4:4" x14ac:dyDescent="0.4">
      <c r="D1629"/>
    </row>
    <row r="1630" spans="4:4" x14ac:dyDescent="0.4">
      <c r="D1630"/>
    </row>
    <row r="1631" spans="4:4" x14ac:dyDescent="0.4">
      <c r="D1631"/>
    </row>
    <row r="1632" spans="4:4" x14ac:dyDescent="0.4">
      <c r="D1632"/>
    </row>
    <row r="1633" spans="4:4" x14ac:dyDescent="0.4">
      <c r="D1633"/>
    </row>
    <row r="1634" spans="4:4" x14ac:dyDescent="0.4">
      <c r="D1634"/>
    </row>
    <row r="1635" spans="4:4" x14ac:dyDescent="0.4">
      <c r="D1635"/>
    </row>
    <row r="1636" spans="4:4" x14ac:dyDescent="0.4">
      <c r="D1636"/>
    </row>
    <row r="1637" spans="4:4" x14ac:dyDescent="0.4">
      <c r="D1637"/>
    </row>
    <row r="1638" spans="4:4" x14ac:dyDescent="0.4">
      <c r="D1638"/>
    </row>
    <row r="1639" spans="4:4" x14ac:dyDescent="0.4">
      <c r="D1639"/>
    </row>
    <row r="1640" spans="4:4" x14ac:dyDescent="0.4">
      <c r="D1640"/>
    </row>
    <row r="1641" spans="4:4" x14ac:dyDescent="0.4">
      <c r="D1641"/>
    </row>
    <row r="1642" spans="4:4" x14ac:dyDescent="0.4">
      <c r="D1642"/>
    </row>
    <row r="1643" spans="4:4" x14ac:dyDescent="0.4">
      <c r="D1643"/>
    </row>
    <row r="1644" spans="4:4" x14ac:dyDescent="0.4">
      <c r="D1644"/>
    </row>
    <row r="1645" spans="4:4" x14ac:dyDescent="0.4">
      <c r="D1645"/>
    </row>
    <row r="1646" spans="4:4" x14ac:dyDescent="0.4">
      <c r="D1646"/>
    </row>
    <row r="1647" spans="4:4" x14ac:dyDescent="0.4">
      <c r="D1647"/>
    </row>
    <row r="1648" spans="4:4" x14ac:dyDescent="0.4">
      <c r="D1648"/>
    </row>
    <row r="1649" spans="4:4" x14ac:dyDescent="0.4">
      <c r="D1649"/>
    </row>
    <row r="1650" spans="4:4" x14ac:dyDescent="0.4">
      <c r="D1650"/>
    </row>
    <row r="1651" spans="4:4" x14ac:dyDescent="0.4">
      <c r="D1651"/>
    </row>
    <row r="1652" spans="4:4" x14ac:dyDescent="0.4">
      <c r="D1652"/>
    </row>
    <row r="1653" spans="4:4" x14ac:dyDescent="0.4">
      <c r="D1653"/>
    </row>
    <row r="1654" spans="4:4" x14ac:dyDescent="0.4">
      <c r="D1654"/>
    </row>
    <row r="1655" spans="4:4" x14ac:dyDescent="0.4">
      <c r="D1655"/>
    </row>
    <row r="1656" spans="4:4" x14ac:dyDescent="0.4">
      <c r="D1656"/>
    </row>
    <row r="1657" spans="4:4" x14ac:dyDescent="0.4">
      <c r="D1657"/>
    </row>
    <row r="1658" spans="4:4" x14ac:dyDescent="0.4">
      <c r="D1658"/>
    </row>
    <row r="1659" spans="4:4" x14ac:dyDescent="0.4">
      <c r="D1659"/>
    </row>
    <row r="1660" spans="4:4" x14ac:dyDescent="0.4">
      <c r="D1660"/>
    </row>
    <row r="1661" spans="4:4" x14ac:dyDescent="0.4">
      <c r="D1661"/>
    </row>
    <row r="1662" spans="4:4" x14ac:dyDescent="0.4">
      <c r="D1662"/>
    </row>
    <row r="1663" spans="4:4" x14ac:dyDescent="0.4">
      <c r="D1663"/>
    </row>
    <row r="1664" spans="4:4" x14ac:dyDescent="0.4">
      <c r="D1664"/>
    </row>
    <row r="1665" spans="4:4" x14ac:dyDescent="0.4">
      <c r="D1665"/>
    </row>
    <row r="1666" spans="4:4" x14ac:dyDescent="0.4">
      <c r="D1666"/>
    </row>
    <row r="1667" spans="4:4" x14ac:dyDescent="0.4">
      <c r="D1667"/>
    </row>
    <row r="1668" spans="4:4" x14ac:dyDescent="0.4">
      <c r="D1668"/>
    </row>
    <row r="1669" spans="4:4" x14ac:dyDescent="0.4">
      <c r="D1669"/>
    </row>
    <row r="1670" spans="4:4" x14ac:dyDescent="0.4">
      <c r="D1670"/>
    </row>
    <row r="1671" spans="4:4" x14ac:dyDescent="0.4">
      <c r="D1671"/>
    </row>
    <row r="1672" spans="4:4" x14ac:dyDescent="0.4">
      <c r="D1672"/>
    </row>
    <row r="1673" spans="4:4" x14ac:dyDescent="0.4">
      <c r="D1673"/>
    </row>
    <row r="1674" spans="4:4" x14ac:dyDescent="0.4">
      <c r="D1674"/>
    </row>
    <row r="1675" spans="4:4" x14ac:dyDescent="0.4">
      <c r="D1675"/>
    </row>
    <row r="1676" spans="4:4" x14ac:dyDescent="0.4">
      <c r="D1676"/>
    </row>
    <row r="1677" spans="4:4" x14ac:dyDescent="0.4">
      <c r="D1677"/>
    </row>
    <row r="1678" spans="4:4" x14ac:dyDescent="0.4">
      <c r="D1678"/>
    </row>
    <row r="1679" spans="4:4" x14ac:dyDescent="0.4">
      <c r="D1679"/>
    </row>
    <row r="1680" spans="4:4" x14ac:dyDescent="0.4">
      <c r="D1680"/>
    </row>
    <row r="1681" spans="4:4" x14ac:dyDescent="0.4">
      <c r="D1681"/>
    </row>
    <row r="1682" spans="4:4" x14ac:dyDescent="0.4">
      <c r="D1682"/>
    </row>
    <row r="1683" spans="4:4" x14ac:dyDescent="0.4">
      <c r="D1683"/>
    </row>
    <row r="1684" spans="4:4" x14ac:dyDescent="0.4">
      <c r="D1684"/>
    </row>
    <row r="1685" spans="4:4" x14ac:dyDescent="0.4">
      <c r="D1685"/>
    </row>
    <row r="1686" spans="4:4" x14ac:dyDescent="0.4">
      <c r="D1686"/>
    </row>
    <row r="1687" spans="4:4" x14ac:dyDescent="0.4">
      <c r="D1687"/>
    </row>
    <row r="1688" spans="4:4" x14ac:dyDescent="0.4">
      <c r="D1688"/>
    </row>
    <row r="1689" spans="4:4" x14ac:dyDescent="0.4">
      <c r="D1689"/>
    </row>
    <row r="1690" spans="4:4" x14ac:dyDescent="0.4">
      <c r="D1690"/>
    </row>
    <row r="1691" spans="4:4" x14ac:dyDescent="0.4">
      <c r="D1691"/>
    </row>
    <row r="1692" spans="4:4" x14ac:dyDescent="0.4">
      <c r="D1692"/>
    </row>
    <row r="1693" spans="4:4" x14ac:dyDescent="0.4">
      <c r="D1693"/>
    </row>
    <row r="1694" spans="4:4" x14ac:dyDescent="0.4">
      <c r="D1694"/>
    </row>
    <row r="1695" spans="4:4" x14ac:dyDescent="0.4">
      <c r="D1695"/>
    </row>
    <row r="1696" spans="4:4" x14ac:dyDescent="0.4">
      <c r="D1696"/>
    </row>
    <row r="1697" spans="4:4" x14ac:dyDescent="0.4">
      <c r="D1697"/>
    </row>
    <row r="1698" spans="4:4" x14ac:dyDescent="0.4">
      <c r="D1698"/>
    </row>
    <row r="1699" spans="4:4" x14ac:dyDescent="0.4">
      <c r="D1699"/>
    </row>
    <row r="1700" spans="4:4" x14ac:dyDescent="0.4">
      <c r="D1700"/>
    </row>
    <row r="1701" spans="4:4" x14ac:dyDescent="0.4">
      <c r="D1701"/>
    </row>
    <row r="1702" spans="4:4" x14ac:dyDescent="0.4">
      <c r="D1702"/>
    </row>
    <row r="1703" spans="4:4" x14ac:dyDescent="0.4">
      <c r="D1703"/>
    </row>
    <row r="1704" spans="4:4" x14ac:dyDescent="0.4">
      <c r="D1704"/>
    </row>
    <row r="1705" spans="4:4" x14ac:dyDescent="0.4">
      <c r="D1705"/>
    </row>
    <row r="1706" spans="4:4" x14ac:dyDescent="0.4">
      <c r="D1706"/>
    </row>
    <row r="1707" spans="4:4" x14ac:dyDescent="0.4">
      <c r="D1707"/>
    </row>
    <row r="1708" spans="4:4" x14ac:dyDescent="0.4">
      <c r="D1708"/>
    </row>
    <row r="1709" spans="4:4" x14ac:dyDescent="0.4">
      <c r="D1709"/>
    </row>
    <row r="1710" spans="4:4" x14ac:dyDescent="0.4">
      <c r="D1710"/>
    </row>
    <row r="1711" spans="4:4" x14ac:dyDescent="0.4">
      <c r="D1711"/>
    </row>
    <row r="1712" spans="4:4" x14ac:dyDescent="0.4">
      <c r="D1712"/>
    </row>
    <row r="1713" spans="4:4" x14ac:dyDescent="0.4">
      <c r="D1713"/>
    </row>
    <row r="1714" spans="4:4" x14ac:dyDescent="0.4">
      <c r="D1714"/>
    </row>
    <row r="1715" spans="4:4" x14ac:dyDescent="0.4">
      <c r="D1715"/>
    </row>
    <row r="1716" spans="4:4" x14ac:dyDescent="0.4">
      <c r="D1716"/>
    </row>
    <row r="1717" spans="4:4" x14ac:dyDescent="0.4">
      <c r="D1717"/>
    </row>
    <row r="1718" spans="4:4" x14ac:dyDescent="0.4">
      <c r="D1718"/>
    </row>
    <row r="1719" spans="4:4" x14ac:dyDescent="0.4">
      <c r="D1719"/>
    </row>
    <row r="1720" spans="4:4" x14ac:dyDescent="0.4">
      <c r="D1720"/>
    </row>
    <row r="1721" spans="4:4" x14ac:dyDescent="0.4">
      <c r="D1721"/>
    </row>
    <row r="1722" spans="4:4" x14ac:dyDescent="0.4">
      <c r="D1722"/>
    </row>
    <row r="1723" spans="4:4" x14ac:dyDescent="0.4">
      <c r="D1723"/>
    </row>
    <row r="1724" spans="4:4" x14ac:dyDescent="0.4">
      <c r="D1724"/>
    </row>
    <row r="1725" spans="4:4" x14ac:dyDescent="0.4">
      <c r="D1725"/>
    </row>
    <row r="1726" spans="4:4" x14ac:dyDescent="0.4">
      <c r="D1726"/>
    </row>
    <row r="1727" spans="4:4" x14ac:dyDescent="0.4">
      <c r="D1727"/>
    </row>
    <row r="1728" spans="4:4" x14ac:dyDescent="0.4">
      <c r="D1728"/>
    </row>
    <row r="1729" spans="4:4" x14ac:dyDescent="0.4">
      <c r="D1729"/>
    </row>
    <row r="1730" spans="4:4" x14ac:dyDescent="0.4">
      <c r="D1730"/>
    </row>
    <row r="1731" spans="4:4" x14ac:dyDescent="0.4">
      <c r="D1731"/>
    </row>
    <row r="1732" spans="4:4" x14ac:dyDescent="0.4">
      <c r="D1732"/>
    </row>
    <row r="1733" spans="4:4" x14ac:dyDescent="0.4">
      <c r="D1733"/>
    </row>
    <row r="1734" spans="4:4" x14ac:dyDescent="0.4">
      <c r="D1734"/>
    </row>
    <row r="1735" spans="4:4" x14ac:dyDescent="0.4">
      <c r="D1735"/>
    </row>
    <row r="1736" spans="4:4" x14ac:dyDescent="0.4">
      <c r="D1736"/>
    </row>
    <row r="1737" spans="4:4" x14ac:dyDescent="0.4">
      <c r="D1737"/>
    </row>
    <row r="1738" spans="4:4" x14ac:dyDescent="0.4">
      <c r="D1738"/>
    </row>
    <row r="1739" spans="4:4" x14ac:dyDescent="0.4">
      <c r="D1739"/>
    </row>
    <row r="1740" spans="4:4" x14ac:dyDescent="0.4">
      <c r="D1740"/>
    </row>
    <row r="1741" spans="4:4" x14ac:dyDescent="0.4">
      <c r="D1741"/>
    </row>
    <row r="1742" spans="4:4" x14ac:dyDescent="0.4">
      <c r="D1742"/>
    </row>
    <row r="1743" spans="4:4" x14ac:dyDescent="0.4">
      <c r="D1743"/>
    </row>
    <row r="1744" spans="4:4" x14ac:dyDescent="0.4">
      <c r="D1744"/>
    </row>
    <row r="1745" spans="4:4" x14ac:dyDescent="0.4">
      <c r="D1745"/>
    </row>
    <row r="1746" spans="4:4" x14ac:dyDescent="0.4">
      <c r="D1746"/>
    </row>
    <row r="1747" spans="4:4" x14ac:dyDescent="0.4">
      <c r="D1747"/>
    </row>
    <row r="1748" spans="4:4" x14ac:dyDescent="0.4">
      <c r="D1748"/>
    </row>
    <row r="1749" spans="4:4" x14ac:dyDescent="0.4">
      <c r="D1749"/>
    </row>
    <row r="1750" spans="4:4" x14ac:dyDescent="0.4">
      <c r="D1750"/>
    </row>
    <row r="1751" spans="4:4" x14ac:dyDescent="0.4">
      <c r="D1751"/>
    </row>
    <row r="1752" spans="4:4" x14ac:dyDescent="0.4">
      <c r="D1752"/>
    </row>
    <row r="1753" spans="4:4" x14ac:dyDescent="0.4">
      <c r="D1753"/>
    </row>
    <row r="1754" spans="4:4" x14ac:dyDescent="0.4">
      <c r="D1754"/>
    </row>
    <row r="1755" spans="4:4" x14ac:dyDescent="0.4">
      <c r="D1755"/>
    </row>
    <row r="1756" spans="4:4" x14ac:dyDescent="0.4">
      <c r="D1756"/>
    </row>
    <row r="1757" spans="4:4" x14ac:dyDescent="0.4">
      <c r="D1757"/>
    </row>
    <row r="1758" spans="4:4" x14ac:dyDescent="0.4">
      <c r="D1758"/>
    </row>
    <row r="1759" spans="4:4" x14ac:dyDescent="0.4">
      <c r="D1759"/>
    </row>
    <row r="1760" spans="4:4" x14ac:dyDescent="0.4">
      <c r="D1760"/>
    </row>
    <row r="1761" spans="4:4" x14ac:dyDescent="0.4">
      <c r="D1761"/>
    </row>
    <row r="1762" spans="4:4" x14ac:dyDescent="0.4">
      <c r="D1762"/>
    </row>
    <row r="1763" spans="4:4" x14ac:dyDescent="0.4">
      <c r="D1763"/>
    </row>
    <row r="1764" spans="4:4" x14ac:dyDescent="0.4">
      <c r="D1764"/>
    </row>
    <row r="1765" spans="4:4" x14ac:dyDescent="0.4">
      <c r="D1765"/>
    </row>
    <row r="1766" spans="4:4" x14ac:dyDescent="0.4">
      <c r="D1766"/>
    </row>
    <row r="1767" spans="4:4" x14ac:dyDescent="0.4">
      <c r="D1767"/>
    </row>
    <row r="1768" spans="4:4" x14ac:dyDescent="0.4">
      <c r="D1768"/>
    </row>
    <row r="1769" spans="4:4" x14ac:dyDescent="0.4">
      <c r="D1769"/>
    </row>
    <row r="1770" spans="4:4" x14ac:dyDescent="0.4">
      <c r="D1770"/>
    </row>
    <row r="1771" spans="4:4" x14ac:dyDescent="0.4">
      <c r="D1771"/>
    </row>
    <row r="1772" spans="4:4" x14ac:dyDescent="0.4">
      <c r="D1772"/>
    </row>
    <row r="1773" spans="4:4" x14ac:dyDescent="0.4">
      <c r="D1773"/>
    </row>
    <row r="1774" spans="4:4" x14ac:dyDescent="0.4">
      <c r="D1774"/>
    </row>
    <row r="1775" spans="4:4" x14ac:dyDescent="0.4">
      <c r="D1775"/>
    </row>
    <row r="1776" spans="4:4" x14ac:dyDescent="0.4">
      <c r="D1776"/>
    </row>
    <row r="1777" spans="4:4" x14ac:dyDescent="0.4">
      <c r="D1777"/>
    </row>
    <row r="1778" spans="4:4" x14ac:dyDescent="0.4">
      <c r="D1778"/>
    </row>
    <row r="1779" spans="4:4" x14ac:dyDescent="0.4">
      <c r="D1779"/>
    </row>
    <row r="1780" spans="4:4" x14ac:dyDescent="0.4">
      <c r="D1780"/>
    </row>
    <row r="1781" spans="4:4" x14ac:dyDescent="0.4">
      <c r="D1781"/>
    </row>
    <row r="1782" spans="4:4" x14ac:dyDescent="0.4">
      <c r="D1782"/>
    </row>
    <row r="1783" spans="4:4" x14ac:dyDescent="0.4">
      <c r="D1783"/>
    </row>
    <row r="1784" spans="4:4" x14ac:dyDescent="0.4">
      <c r="D1784"/>
    </row>
    <row r="1785" spans="4:4" x14ac:dyDescent="0.4">
      <c r="D1785"/>
    </row>
    <row r="1786" spans="4:4" x14ac:dyDescent="0.4">
      <c r="D1786"/>
    </row>
    <row r="1787" spans="4:4" x14ac:dyDescent="0.4">
      <c r="D1787"/>
    </row>
    <row r="1788" spans="4:4" x14ac:dyDescent="0.4">
      <c r="D1788"/>
    </row>
    <row r="1789" spans="4:4" x14ac:dyDescent="0.4">
      <c r="D1789"/>
    </row>
    <row r="1790" spans="4:4" x14ac:dyDescent="0.4">
      <c r="D1790"/>
    </row>
    <row r="1791" spans="4:4" x14ac:dyDescent="0.4">
      <c r="D1791"/>
    </row>
    <row r="1792" spans="4:4" x14ac:dyDescent="0.4">
      <c r="D1792"/>
    </row>
    <row r="1793" spans="4:4" x14ac:dyDescent="0.4">
      <c r="D1793"/>
    </row>
    <row r="1794" spans="4:4" x14ac:dyDescent="0.4">
      <c r="D1794"/>
    </row>
    <row r="1795" spans="4:4" x14ac:dyDescent="0.4">
      <c r="D1795"/>
    </row>
    <row r="1796" spans="4:4" x14ac:dyDescent="0.4">
      <c r="D1796"/>
    </row>
    <row r="1797" spans="4:4" x14ac:dyDescent="0.4">
      <c r="D1797"/>
    </row>
    <row r="1798" spans="4:4" x14ac:dyDescent="0.4">
      <c r="D1798"/>
    </row>
    <row r="1799" spans="4:4" x14ac:dyDescent="0.4">
      <c r="D1799"/>
    </row>
    <row r="1800" spans="4:4" x14ac:dyDescent="0.4">
      <c r="D1800"/>
    </row>
    <row r="1801" spans="4:4" x14ac:dyDescent="0.4">
      <c r="D1801"/>
    </row>
    <row r="1802" spans="4:4" x14ac:dyDescent="0.4">
      <c r="D1802"/>
    </row>
    <row r="1803" spans="4:4" x14ac:dyDescent="0.4">
      <c r="D1803"/>
    </row>
    <row r="1804" spans="4:4" x14ac:dyDescent="0.4">
      <c r="D1804"/>
    </row>
    <row r="1805" spans="4:4" x14ac:dyDescent="0.4">
      <c r="D1805"/>
    </row>
    <row r="1806" spans="4:4" x14ac:dyDescent="0.4">
      <c r="D1806"/>
    </row>
    <row r="1807" spans="4:4" x14ac:dyDescent="0.4">
      <c r="D1807"/>
    </row>
    <row r="1808" spans="4:4" x14ac:dyDescent="0.4">
      <c r="D1808"/>
    </row>
    <row r="1809" spans="4:4" x14ac:dyDescent="0.4">
      <c r="D1809"/>
    </row>
    <row r="1810" spans="4:4" x14ac:dyDescent="0.4">
      <c r="D1810"/>
    </row>
    <row r="1811" spans="4:4" x14ac:dyDescent="0.4">
      <c r="D1811"/>
    </row>
    <row r="1812" spans="4:4" x14ac:dyDescent="0.4">
      <c r="D1812"/>
    </row>
    <row r="1813" spans="4:4" x14ac:dyDescent="0.4">
      <c r="D1813"/>
    </row>
    <row r="1814" spans="4:4" x14ac:dyDescent="0.4">
      <c r="D1814"/>
    </row>
    <row r="1815" spans="4:4" x14ac:dyDescent="0.4">
      <c r="D1815"/>
    </row>
    <row r="1816" spans="4:4" x14ac:dyDescent="0.4">
      <c r="D1816"/>
    </row>
    <row r="1817" spans="4:4" x14ac:dyDescent="0.4">
      <c r="D1817"/>
    </row>
    <row r="1818" spans="4:4" x14ac:dyDescent="0.4">
      <c r="D1818"/>
    </row>
    <row r="1819" spans="4:4" x14ac:dyDescent="0.4">
      <c r="D1819"/>
    </row>
    <row r="1820" spans="4:4" x14ac:dyDescent="0.4">
      <c r="D1820"/>
    </row>
    <row r="1821" spans="4:4" x14ac:dyDescent="0.4">
      <c r="D1821"/>
    </row>
    <row r="1822" spans="4:4" x14ac:dyDescent="0.4">
      <c r="D1822"/>
    </row>
    <row r="1823" spans="4:4" x14ac:dyDescent="0.4">
      <c r="D1823"/>
    </row>
    <row r="1824" spans="4:4" x14ac:dyDescent="0.4">
      <c r="D1824"/>
    </row>
    <row r="1825" spans="4:4" x14ac:dyDescent="0.4">
      <c r="D1825"/>
    </row>
    <row r="1826" spans="4:4" x14ac:dyDescent="0.4">
      <c r="D1826"/>
    </row>
    <row r="1827" spans="4:4" x14ac:dyDescent="0.4">
      <c r="D1827"/>
    </row>
    <row r="1828" spans="4:4" x14ac:dyDescent="0.4">
      <c r="D1828"/>
    </row>
    <row r="1829" spans="4:4" x14ac:dyDescent="0.4">
      <c r="D1829"/>
    </row>
    <row r="1830" spans="4:4" x14ac:dyDescent="0.4">
      <c r="D1830"/>
    </row>
    <row r="1831" spans="4:4" x14ac:dyDescent="0.4">
      <c r="D1831"/>
    </row>
    <row r="1832" spans="4:4" x14ac:dyDescent="0.4">
      <c r="D1832"/>
    </row>
    <row r="1833" spans="4:4" x14ac:dyDescent="0.4">
      <c r="D1833"/>
    </row>
    <row r="1834" spans="4:4" x14ac:dyDescent="0.4">
      <c r="D1834"/>
    </row>
    <row r="1835" spans="4:4" x14ac:dyDescent="0.4">
      <c r="D1835"/>
    </row>
    <row r="1836" spans="4:4" x14ac:dyDescent="0.4">
      <c r="D1836"/>
    </row>
    <row r="1837" spans="4:4" x14ac:dyDescent="0.4">
      <c r="D1837"/>
    </row>
    <row r="1838" spans="4:4" x14ac:dyDescent="0.4">
      <c r="D1838"/>
    </row>
    <row r="1839" spans="4:4" x14ac:dyDescent="0.4">
      <c r="D1839"/>
    </row>
    <row r="1840" spans="4:4" x14ac:dyDescent="0.4">
      <c r="D1840"/>
    </row>
    <row r="1841" spans="4:4" x14ac:dyDescent="0.4">
      <c r="D1841"/>
    </row>
    <row r="1842" spans="4:4" x14ac:dyDescent="0.4">
      <c r="D1842"/>
    </row>
    <row r="1843" spans="4:4" x14ac:dyDescent="0.4">
      <c r="D1843"/>
    </row>
    <row r="1844" spans="4:4" x14ac:dyDescent="0.4">
      <c r="D1844"/>
    </row>
    <row r="1845" spans="4:4" x14ac:dyDescent="0.4">
      <c r="D1845"/>
    </row>
    <row r="1846" spans="4:4" x14ac:dyDescent="0.4">
      <c r="D1846"/>
    </row>
    <row r="1847" spans="4:4" x14ac:dyDescent="0.4">
      <c r="D1847"/>
    </row>
    <row r="1848" spans="4:4" x14ac:dyDescent="0.4">
      <c r="D1848"/>
    </row>
    <row r="1849" spans="4:4" x14ac:dyDescent="0.4">
      <c r="D1849"/>
    </row>
    <row r="1850" spans="4:4" x14ac:dyDescent="0.4">
      <c r="D1850"/>
    </row>
    <row r="1851" spans="4:4" x14ac:dyDescent="0.4">
      <c r="D1851"/>
    </row>
    <row r="1852" spans="4:4" x14ac:dyDescent="0.4">
      <c r="D1852"/>
    </row>
    <row r="1853" spans="4:4" x14ac:dyDescent="0.4">
      <c r="D1853"/>
    </row>
    <row r="1854" spans="4:4" x14ac:dyDescent="0.4">
      <c r="D1854"/>
    </row>
    <row r="1855" spans="4:4" x14ac:dyDescent="0.4">
      <c r="D1855"/>
    </row>
    <row r="1856" spans="4:4" x14ac:dyDescent="0.4">
      <c r="D1856"/>
    </row>
    <row r="1857" spans="4:4" x14ac:dyDescent="0.4">
      <c r="D1857"/>
    </row>
    <row r="1858" spans="4:4" x14ac:dyDescent="0.4">
      <c r="D1858"/>
    </row>
    <row r="1859" spans="4:4" x14ac:dyDescent="0.4">
      <c r="D1859"/>
    </row>
    <row r="1860" spans="4:4" x14ac:dyDescent="0.4">
      <c r="D1860"/>
    </row>
    <row r="1861" spans="4:4" x14ac:dyDescent="0.4">
      <c r="D1861"/>
    </row>
    <row r="1862" spans="4:4" x14ac:dyDescent="0.4">
      <c r="D1862"/>
    </row>
    <row r="1863" spans="4:4" x14ac:dyDescent="0.4">
      <c r="D1863"/>
    </row>
    <row r="1864" spans="4:4" x14ac:dyDescent="0.4">
      <c r="D1864"/>
    </row>
    <row r="1865" spans="4:4" x14ac:dyDescent="0.4">
      <c r="D1865"/>
    </row>
    <row r="1866" spans="4:4" x14ac:dyDescent="0.4">
      <c r="D1866"/>
    </row>
    <row r="1867" spans="4:4" x14ac:dyDescent="0.4">
      <c r="D1867"/>
    </row>
    <row r="1868" spans="4:4" x14ac:dyDescent="0.4">
      <c r="D1868"/>
    </row>
    <row r="1869" spans="4:4" x14ac:dyDescent="0.4">
      <c r="D1869"/>
    </row>
    <row r="1870" spans="4:4" x14ac:dyDescent="0.4">
      <c r="D1870"/>
    </row>
    <row r="1871" spans="4:4" x14ac:dyDescent="0.4">
      <c r="D1871"/>
    </row>
    <row r="1872" spans="4:4" x14ac:dyDescent="0.4">
      <c r="D1872"/>
    </row>
    <row r="1873" spans="4:4" x14ac:dyDescent="0.4">
      <c r="D1873"/>
    </row>
    <row r="1874" spans="4:4" x14ac:dyDescent="0.4">
      <c r="D1874"/>
    </row>
    <row r="1875" spans="4:4" x14ac:dyDescent="0.4">
      <c r="D1875"/>
    </row>
    <row r="1876" spans="4:4" x14ac:dyDescent="0.4">
      <c r="D1876"/>
    </row>
    <row r="1877" spans="4:4" x14ac:dyDescent="0.4">
      <c r="D1877"/>
    </row>
    <row r="1878" spans="4:4" x14ac:dyDescent="0.4">
      <c r="D1878"/>
    </row>
    <row r="1879" spans="4:4" x14ac:dyDescent="0.4">
      <c r="D1879"/>
    </row>
    <row r="1880" spans="4:4" x14ac:dyDescent="0.4">
      <c r="D1880"/>
    </row>
    <row r="1881" spans="4:4" x14ac:dyDescent="0.4">
      <c r="D1881"/>
    </row>
    <row r="1882" spans="4:4" x14ac:dyDescent="0.4">
      <c r="D1882"/>
    </row>
    <row r="1883" spans="4:4" x14ac:dyDescent="0.4">
      <c r="D1883"/>
    </row>
    <row r="1884" spans="4:4" x14ac:dyDescent="0.4">
      <c r="D1884"/>
    </row>
    <row r="1885" spans="4:4" x14ac:dyDescent="0.4">
      <c r="D1885"/>
    </row>
    <row r="1886" spans="4:4" x14ac:dyDescent="0.4">
      <c r="D1886"/>
    </row>
    <row r="1887" spans="4:4" x14ac:dyDescent="0.4">
      <c r="D1887"/>
    </row>
    <row r="1888" spans="4:4" x14ac:dyDescent="0.4">
      <c r="D1888"/>
    </row>
    <row r="1889" spans="4:4" x14ac:dyDescent="0.4">
      <c r="D1889"/>
    </row>
    <row r="1890" spans="4:4" x14ac:dyDescent="0.4">
      <c r="D1890"/>
    </row>
    <row r="1891" spans="4:4" x14ac:dyDescent="0.4">
      <c r="D1891"/>
    </row>
    <row r="1892" spans="4:4" x14ac:dyDescent="0.4">
      <c r="D1892"/>
    </row>
    <row r="1893" spans="4:4" x14ac:dyDescent="0.4">
      <c r="D1893"/>
    </row>
    <row r="1894" spans="4:4" x14ac:dyDescent="0.4">
      <c r="D1894"/>
    </row>
    <row r="1895" spans="4:4" x14ac:dyDescent="0.4">
      <c r="D1895"/>
    </row>
    <row r="1896" spans="4:4" x14ac:dyDescent="0.4">
      <c r="D1896"/>
    </row>
    <row r="1897" spans="4:4" x14ac:dyDescent="0.4">
      <c r="D1897"/>
    </row>
    <row r="1898" spans="4:4" x14ac:dyDescent="0.4">
      <c r="D1898"/>
    </row>
    <row r="1899" spans="4:4" x14ac:dyDescent="0.4">
      <c r="D1899"/>
    </row>
    <row r="1900" spans="4:4" x14ac:dyDescent="0.4">
      <c r="D1900"/>
    </row>
    <row r="1901" spans="4:4" x14ac:dyDescent="0.4">
      <c r="D1901"/>
    </row>
    <row r="1902" spans="4:4" x14ac:dyDescent="0.4">
      <c r="D1902"/>
    </row>
    <row r="1903" spans="4:4" x14ac:dyDescent="0.4">
      <c r="D1903"/>
    </row>
    <row r="1904" spans="4:4" x14ac:dyDescent="0.4">
      <c r="D1904"/>
    </row>
    <row r="1905" spans="4:4" x14ac:dyDescent="0.4">
      <c r="D1905"/>
    </row>
    <row r="1906" spans="4:4" x14ac:dyDescent="0.4">
      <c r="D1906"/>
    </row>
    <row r="1907" spans="4:4" x14ac:dyDescent="0.4">
      <c r="D1907"/>
    </row>
    <row r="1908" spans="4:4" x14ac:dyDescent="0.4">
      <c r="D1908"/>
    </row>
    <row r="1909" spans="4:4" x14ac:dyDescent="0.4">
      <c r="D1909"/>
    </row>
    <row r="1910" spans="4:4" x14ac:dyDescent="0.4">
      <c r="D1910"/>
    </row>
    <row r="1911" spans="4:4" x14ac:dyDescent="0.4">
      <c r="D1911"/>
    </row>
    <row r="1912" spans="4:4" x14ac:dyDescent="0.4">
      <c r="D1912"/>
    </row>
    <row r="1913" spans="4:4" x14ac:dyDescent="0.4">
      <c r="D1913"/>
    </row>
    <row r="1914" spans="4:4" x14ac:dyDescent="0.4">
      <c r="D1914"/>
    </row>
    <row r="1915" spans="4:4" x14ac:dyDescent="0.4">
      <c r="D1915"/>
    </row>
    <row r="1916" spans="4:4" x14ac:dyDescent="0.4">
      <c r="D1916"/>
    </row>
    <row r="1917" spans="4:4" x14ac:dyDescent="0.4">
      <c r="D1917"/>
    </row>
    <row r="1918" spans="4:4" x14ac:dyDescent="0.4">
      <c r="D1918"/>
    </row>
    <row r="1919" spans="4:4" x14ac:dyDescent="0.4">
      <c r="D1919"/>
    </row>
    <row r="1920" spans="4:4" x14ac:dyDescent="0.4">
      <c r="D1920"/>
    </row>
    <row r="1921" spans="4:4" x14ac:dyDescent="0.4">
      <c r="D1921"/>
    </row>
    <row r="1922" spans="4:4" x14ac:dyDescent="0.4">
      <c r="D1922"/>
    </row>
    <row r="1923" spans="4:4" x14ac:dyDescent="0.4">
      <c r="D1923"/>
    </row>
    <row r="1924" spans="4:4" x14ac:dyDescent="0.4">
      <c r="D1924"/>
    </row>
    <row r="1925" spans="4:4" x14ac:dyDescent="0.4">
      <c r="D1925"/>
    </row>
    <row r="1926" spans="4:4" x14ac:dyDescent="0.4">
      <c r="D1926"/>
    </row>
    <row r="1927" spans="4:4" x14ac:dyDescent="0.4">
      <c r="D1927"/>
    </row>
    <row r="1928" spans="4:4" x14ac:dyDescent="0.4">
      <c r="D1928"/>
    </row>
    <row r="1929" spans="4:4" x14ac:dyDescent="0.4">
      <c r="D1929"/>
    </row>
    <row r="1930" spans="4:4" x14ac:dyDescent="0.4">
      <c r="D1930"/>
    </row>
    <row r="1931" spans="4:4" x14ac:dyDescent="0.4">
      <c r="D1931"/>
    </row>
    <row r="1932" spans="4:4" x14ac:dyDescent="0.4">
      <c r="D1932"/>
    </row>
    <row r="1933" spans="4:4" x14ac:dyDescent="0.4">
      <c r="D1933"/>
    </row>
    <row r="1934" spans="4:4" x14ac:dyDescent="0.4">
      <c r="D1934"/>
    </row>
    <row r="1935" spans="4:4" x14ac:dyDescent="0.4">
      <c r="D1935"/>
    </row>
    <row r="1936" spans="4:4" x14ac:dyDescent="0.4">
      <c r="D1936"/>
    </row>
    <row r="1937" spans="4:4" x14ac:dyDescent="0.4">
      <c r="D1937"/>
    </row>
    <row r="1938" spans="4:4" x14ac:dyDescent="0.4">
      <c r="D1938"/>
    </row>
    <row r="1939" spans="4:4" x14ac:dyDescent="0.4">
      <c r="D1939"/>
    </row>
    <row r="1940" spans="4:4" x14ac:dyDescent="0.4">
      <c r="D1940"/>
    </row>
    <row r="1941" spans="4:4" x14ac:dyDescent="0.4">
      <c r="D1941"/>
    </row>
    <row r="1942" spans="4:4" x14ac:dyDescent="0.4">
      <c r="D1942"/>
    </row>
    <row r="1943" spans="4:4" x14ac:dyDescent="0.4">
      <c r="D1943"/>
    </row>
    <row r="1944" spans="4:4" x14ac:dyDescent="0.4">
      <c r="D1944"/>
    </row>
    <row r="1945" spans="4:4" x14ac:dyDescent="0.4">
      <c r="D1945"/>
    </row>
    <row r="1946" spans="4:4" x14ac:dyDescent="0.4">
      <c r="D1946"/>
    </row>
    <row r="1947" spans="4:4" x14ac:dyDescent="0.4">
      <c r="D1947"/>
    </row>
    <row r="1948" spans="4:4" x14ac:dyDescent="0.4">
      <c r="D1948"/>
    </row>
    <row r="1949" spans="4:4" x14ac:dyDescent="0.4">
      <c r="D1949"/>
    </row>
    <row r="1950" spans="4:4" x14ac:dyDescent="0.4">
      <c r="D1950"/>
    </row>
    <row r="1951" spans="4:4" x14ac:dyDescent="0.4">
      <c r="D1951"/>
    </row>
    <row r="1952" spans="4:4" x14ac:dyDescent="0.4">
      <c r="D1952"/>
    </row>
    <row r="1953" spans="4:4" x14ac:dyDescent="0.4">
      <c r="D1953"/>
    </row>
    <row r="1954" spans="4:4" x14ac:dyDescent="0.4">
      <c r="D1954"/>
    </row>
    <row r="1955" spans="4:4" x14ac:dyDescent="0.4">
      <c r="D1955"/>
    </row>
    <row r="1956" spans="4:4" x14ac:dyDescent="0.4">
      <c r="D1956"/>
    </row>
    <row r="1957" spans="4:4" x14ac:dyDescent="0.4">
      <c r="D1957"/>
    </row>
    <row r="1958" spans="4:4" x14ac:dyDescent="0.4">
      <c r="D1958"/>
    </row>
    <row r="1959" spans="4:4" x14ac:dyDescent="0.4">
      <c r="D1959"/>
    </row>
    <row r="1960" spans="4:4" x14ac:dyDescent="0.4">
      <c r="D1960"/>
    </row>
    <row r="1961" spans="4:4" x14ac:dyDescent="0.4">
      <c r="D1961"/>
    </row>
    <row r="1962" spans="4:4" x14ac:dyDescent="0.4">
      <c r="D1962"/>
    </row>
    <row r="1963" spans="4:4" x14ac:dyDescent="0.4">
      <c r="D1963"/>
    </row>
    <row r="1964" spans="4:4" x14ac:dyDescent="0.4">
      <c r="D1964"/>
    </row>
    <row r="1965" spans="4:4" x14ac:dyDescent="0.4">
      <c r="D1965"/>
    </row>
    <row r="1966" spans="4:4" x14ac:dyDescent="0.4">
      <c r="D1966"/>
    </row>
    <row r="1967" spans="4:4" x14ac:dyDescent="0.4">
      <c r="D1967"/>
    </row>
    <row r="1968" spans="4:4" x14ac:dyDescent="0.4">
      <c r="D1968"/>
    </row>
    <row r="1969" spans="4:4" x14ac:dyDescent="0.4">
      <c r="D1969"/>
    </row>
    <row r="1970" spans="4:4" x14ac:dyDescent="0.4">
      <c r="D1970"/>
    </row>
    <row r="1971" spans="4:4" x14ac:dyDescent="0.4">
      <c r="D1971"/>
    </row>
    <row r="1972" spans="4:4" x14ac:dyDescent="0.4">
      <c r="D1972"/>
    </row>
    <row r="1973" spans="4:4" x14ac:dyDescent="0.4">
      <c r="D1973"/>
    </row>
    <row r="1974" spans="4:4" x14ac:dyDescent="0.4">
      <c r="D1974"/>
    </row>
    <row r="1975" spans="4:4" x14ac:dyDescent="0.4">
      <c r="D1975"/>
    </row>
    <row r="1976" spans="4:4" x14ac:dyDescent="0.4">
      <c r="D1976"/>
    </row>
    <row r="1977" spans="4:4" x14ac:dyDescent="0.4">
      <c r="D1977"/>
    </row>
    <row r="1978" spans="4:4" x14ac:dyDescent="0.4">
      <c r="D1978"/>
    </row>
    <row r="1979" spans="4:4" x14ac:dyDescent="0.4">
      <c r="D1979"/>
    </row>
    <row r="1980" spans="4:4" x14ac:dyDescent="0.4">
      <c r="D1980"/>
    </row>
    <row r="1981" spans="4:4" x14ac:dyDescent="0.4">
      <c r="D1981"/>
    </row>
    <row r="1982" spans="4:4" x14ac:dyDescent="0.4">
      <c r="D1982"/>
    </row>
    <row r="1983" spans="4:4" x14ac:dyDescent="0.4">
      <c r="D1983"/>
    </row>
    <row r="1984" spans="4:4" x14ac:dyDescent="0.4">
      <c r="D1984"/>
    </row>
    <row r="1985" spans="4:4" x14ac:dyDescent="0.4">
      <c r="D1985"/>
    </row>
    <row r="1986" spans="4:4" x14ac:dyDescent="0.4">
      <c r="D1986"/>
    </row>
    <row r="1987" spans="4:4" x14ac:dyDescent="0.4">
      <c r="D1987"/>
    </row>
    <row r="1988" spans="4:4" x14ac:dyDescent="0.4">
      <c r="D1988"/>
    </row>
    <row r="1989" spans="4:4" x14ac:dyDescent="0.4">
      <c r="D1989"/>
    </row>
    <row r="1990" spans="4:4" x14ac:dyDescent="0.4">
      <c r="D1990"/>
    </row>
    <row r="1991" spans="4:4" x14ac:dyDescent="0.4">
      <c r="D1991"/>
    </row>
    <row r="1992" spans="4:4" x14ac:dyDescent="0.4">
      <c r="D1992"/>
    </row>
    <row r="1993" spans="4:4" x14ac:dyDescent="0.4">
      <c r="D1993"/>
    </row>
    <row r="1994" spans="4:4" x14ac:dyDescent="0.4">
      <c r="D1994"/>
    </row>
    <row r="1995" spans="4:4" x14ac:dyDescent="0.4">
      <c r="D1995"/>
    </row>
    <row r="1996" spans="4:4" x14ac:dyDescent="0.4">
      <c r="D1996"/>
    </row>
    <row r="1997" spans="4:4" x14ac:dyDescent="0.4">
      <c r="D1997"/>
    </row>
    <row r="1998" spans="4:4" x14ac:dyDescent="0.4">
      <c r="D1998"/>
    </row>
    <row r="1999" spans="4:4" x14ac:dyDescent="0.4">
      <c r="D1999"/>
    </row>
    <row r="2000" spans="4:4" x14ac:dyDescent="0.4">
      <c r="D2000"/>
    </row>
    <row r="2001" spans="4:4" x14ac:dyDescent="0.4">
      <c r="D2001"/>
    </row>
    <row r="2002" spans="4:4" x14ac:dyDescent="0.4">
      <c r="D2002"/>
    </row>
    <row r="2003" spans="4:4" x14ac:dyDescent="0.4">
      <c r="D2003"/>
    </row>
    <row r="2004" spans="4:4" x14ac:dyDescent="0.4">
      <c r="D2004"/>
    </row>
    <row r="2005" spans="4:4" x14ac:dyDescent="0.4">
      <c r="D2005"/>
    </row>
    <row r="2006" spans="4:4" x14ac:dyDescent="0.4">
      <c r="D2006"/>
    </row>
    <row r="2007" spans="4:4" x14ac:dyDescent="0.4">
      <c r="D2007"/>
    </row>
    <row r="2008" spans="4:4" x14ac:dyDescent="0.4">
      <c r="D2008"/>
    </row>
    <row r="2009" spans="4:4" x14ac:dyDescent="0.4">
      <c r="D2009"/>
    </row>
    <row r="2010" spans="4:4" x14ac:dyDescent="0.4">
      <c r="D2010"/>
    </row>
    <row r="2011" spans="4:4" x14ac:dyDescent="0.4">
      <c r="D2011"/>
    </row>
    <row r="2012" spans="4:4" x14ac:dyDescent="0.4">
      <c r="D2012"/>
    </row>
    <row r="2013" spans="4:4" x14ac:dyDescent="0.4">
      <c r="D2013"/>
    </row>
    <row r="2014" spans="4:4" x14ac:dyDescent="0.4">
      <c r="D2014"/>
    </row>
    <row r="2015" spans="4:4" x14ac:dyDescent="0.4">
      <c r="D2015"/>
    </row>
    <row r="2016" spans="4:4" x14ac:dyDescent="0.4">
      <c r="D2016"/>
    </row>
    <row r="2017" spans="4:4" x14ac:dyDescent="0.4">
      <c r="D2017"/>
    </row>
    <row r="2018" spans="4:4" x14ac:dyDescent="0.4">
      <c r="D2018"/>
    </row>
    <row r="2019" spans="4:4" x14ac:dyDescent="0.4">
      <c r="D2019"/>
    </row>
    <row r="2020" spans="4:4" x14ac:dyDescent="0.4">
      <c r="D2020"/>
    </row>
    <row r="2021" spans="4:4" x14ac:dyDescent="0.4">
      <c r="D2021"/>
    </row>
    <row r="2022" spans="4:4" x14ac:dyDescent="0.4">
      <c r="D2022"/>
    </row>
    <row r="2023" spans="4:4" x14ac:dyDescent="0.4">
      <c r="D2023"/>
    </row>
    <row r="2024" spans="4:4" x14ac:dyDescent="0.4">
      <c r="D2024"/>
    </row>
    <row r="2025" spans="4:4" x14ac:dyDescent="0.4">
      <c r="D2025"/>
    </row>
    <row r="2026" spans="4:4" x14ac:dyDescent="0.4">
      <c r="D2026"/>
    </row>
    <row r="2027" spans="4:4" x14ac:dyDescent="0.4">
      <c r="D2027"/>
    </row>
    <row r="2028" spans="4:4" x14ac:dyDescent="0.4">
      <c r="D2028"/>
    </row>
    <row r="2029" spans="4:4" x14ac:dyDescent="0.4">
      <c r="D2029"/>
    </row>
    <row r="2030" spans="4:4" x14ac:dyDescent="0.4">
      <c r="D2030"/>
    </row>
    <row r="2031" spans="4:4" x14ac:dyDescent="0.4">
      <c r="D2031"/>
    </row>
    <row r="2032" spans="4:4" x14ac:dyDescent="0.4">
      <c r="D2032"/>
    </row>
    <row r="2033" spans="4:4" x14ac:dyDescent="0.4">
      <c r="D2033"/>
    </row>
    <row r="2034" spans="4:4" x14ac:dyDescent="0.4">
      <c r="D2034"/>
    </row>
    <row r="2035" spans="4:4" x14ac:dyDescent="0.4">
      <c r="D2035"/>
    </row>
    <row r="2036" spans="4:4" x14ac:dyDescent="0.4">
      <c r="D2036"/>
    </row>
    <row r="2037" spans="4:4" x14ac:dyDescent="0.4">
      <c r="D2037"/>
    </row>
    <row r="2038" spans="4:4" x14ac:dyDescent="0.4">
      <c r="D2038"/>
    </row>
    <row r="2039" spans="4:4" x14ac:dyDescent="0.4">
      <c r="D2039"/>
    </row>
    <row r="2040" spans="4:4" x14ac:dyDescent="0.4">
      <c r="D2040"/>
    </row>
    <row r="2041" spans="4:4" x14ac:dyDescent="0.4">
      <c r="D2041"/>
    </row>
    <row r="2042" spans="4:4" x14ac:dyDescent="0.4">
      <c r="D2042"/>
    </row>
    <row r="2043" spans="4:4" x14ac:dyDescent="0.4">
      <c r="D2043"/>
    </row>
    <row r="2044" spans="4:4" x14ac:dyDescent="0.4">
      <c r="D2044"/>
    </row>
    <row r="2045" spans="4:4" x14ac:dyDescent="0.4">
      <c r="D2045"/>
    </row>
    <row r="2046" spans="4:4" x14ac:dyDescent="0.4">
      <c r="D2046"/>
    </row>
    <row r="2047" spans="4:4" x14ac:dyDescent="0.4">
      <c r="D2047"/>
    </row>
    <row r="2048" spans="4:4" x14ac:dyDescent="0.4">
      <c r="D2048"/>
    </row>
    <row r="2049" spans="4:4" x14ac:dyDescent="0.4">
      <c r="D2049"/>
    </row>
    <row r="2050" spans="4:4" x14ac:dyDescent="0.4">
      <c r="D2050"/>
    </row>
    <row r="2051" spans="4:4" x14ac:dyDescent="0.4">
      <c r="D2051"/>
    </row>
    <row r="2052" spans="4:4" x14ac:dyDescent="0.4">
      <c r="D2052"/>
    </row>
    <row r="2053" spans="4:4" x14ac:dyDescent="0.4">
      <c r="D2053"/>
    </row>
    <row r="2054" spans="4:4" x14ac:dyDescent="0.4">
      <c r="D2054"/>
    </row>
    <row r="2055" spans="4:4" x14ac:dyDescent="0.4">
      <c r="D2055"/>
    </row>
    <row r="2056" spans="4:4" x14ac:dyDescent="0.4">
      <c r="D2056"/>
    </row>
    <row r="2057" spans="4:4" x14ac:dyDescent="0.4">
      <c r="D2057"/>
    </row>
    <row r="2058" spans="4:4" x14ac:dyDescent="0.4">
      <c r="D2058"/>
    </row>
    <row r="2059" spans="4:4" x14ac:dyDescent="0.4">
      <c r="D2059"/>
    </row>
    <row r="2060" spans="4:4" x14ac:dyDescent="0.4">
      <c r="D2060"/>
    </row>
    <row r="2061" spans="4:4" x14ac:dyDescent="0.4">
      <c r="D2061"/>
    </row>
    <row r="2062" spans="4:4" x14ac:dyDescent="0.4">
      <c r="D2062"/>
    </row>
    <row r="2063" spans="4:4" x14ac:dyDescent="0.4">
      <c r="D2063"/>
    </row>
    <row r="2064" spans="4:4" x14ac:dyDescent="0.4">
      <c r="D2064"/>
    </row>
    <row r="2065" spans="4:4" x14ac:dyDescent="0.4">
      <c r="D2065"/>
    </row>
    <row r="2066" spans="4:4" x14ac:dyDescent="0.4">
      <c r="D2066"/>
    </row>
    <row r="2067" spans="4:4" x14ac:dyDescent="0.4">
      <c r="D2067"/>
    </row>
    <row r="2068" spans="4:4" x14ac:dyDescent="0.4">
      <c r="D2068"/>
    </row>
    <row r="2069" spans="4:4" x14ac:dyDescent="0.4">
      <c r="D2069"/>
    </row>
    <row r="2070" spans="4:4" x14ac:dyDescent="0.4">
      <c r="D2070"/>
    </row>
    <row r="2071" spans="4:4" x14ac:dyDescent="0.4">
      <c r="D2071"/>
    </row>
    <row r="2072" spans="4:4" x14ac:dyDescent="0.4">
      <c r="D2072"/>
    </row>
    <row r="2073" spans="4:4" x14ac:dyDescent="0.4">
      <c r="D2073"/>
    </row>
    <row r="2074" spans="4:4" x14ac:dyDescent="0.4">
      <c r="D2074"/>
    </row>
    <row r="2075" spans="4:4" x14ac:dyDescent="0.4">
      <c r="D2075"/>
    </row>
    <row r="2076" spans="4:4" x14ac:dyDescent="0.4">
      <c r="D2076"/>
    </row>
    <row r="2077" spans="4:4" x14ac:dyDescent="0.4">
      <c r="D2077"/>
    </row>
    <row r="2078" spans="4:4" x14ac:dyDescent="0.4">
      <c r="D2078"/>
    </row>
    <row r="2079" spans="4:4" x14ac:dyDescent="0.4">
      <c r="D2079"/>
    </row>
    <row r="2080" spans="4:4" x14ac:dyDescent="0.4">
      <c r="D2080"/>
    </row>
    <row r="2081" spans="4:4" x14ac:dyDescent="0.4">
      <c r="D2081"/>
    </row>
    <row r="2082" spans="4:4" x14ac:dyDescent="0.4">
      <c r="D2082"/>
    </row>
    <row r="2083" spans="4:4" x14ac:dyDescent="0.4">
      <c r="D2083"/>
    </row>
    <row r="2084" spans="4:4" x14ac:dyDescent="0.4">
      <c r="D2084"/>
    </row>
    <row r="2085" spans="4:4" x14ac:dyDescent="0.4">
      <c r="D2085"/>
    </row>
    <row r="2086" spans="4:4" x14ac:dyDescent="0.4">
      <c r="D2086"/>
    </row>
    <row r="2087" spans="4:4" x14ac:dyDescent="0.4">
      <c r="D2087"/>
    </row>
    <row r="2088" spans="4:4" x14ac:dyDescent="0.4">
      <c r="D2088"/>
    </row>
    <row r="2089" spans="4:4" x14ac:dyDescent="0.4">
      <c r="D2089"/>
    </row>
    <row r="2090" spans="4:4" x14ac:dyDescent="0.4">
      <c r="D2090"/>
    </row>
    <row r="2091" spans="4:4" x14ac:dyDescent="0.4">
      <c r="D2091"/>
    </row>
    <row r="2092" spans="4:4" x14ac:dyDescent="0.4">
      <c r="D2092"/>
    </row>
    <row r="2093" spans="4:4" x14ac:dyDescent="0.4">
      <c r="D2093"/>
    </row>
    <row r="2094" spans="4:4" x14ac:dyDescent="0.4">
      <c r="D2094"/>
    </row>
    <row r="2095" spans="4:4" x14ac:dyDescent="0.4">
      <c r="D2095"/>
    </row>
    <row r="2096" spans="4:4" x14ac:dyDescent="0.4">
      <c r="D2096"/>
    </row>
    <row r="2097" spans="4:4" x14ac:dyDescent="0.4">
      <c r="D2097"/>
    </row>
    <row r="2098" spans="4:4" x14ac:dyDescent="0.4">
      <c r="D2098"/>
    </row>
    <row r="2099" spans="4:4" x14ac:dyDescent="0.4">
      <c r="D2099"/>
    </row>
    <row r="2100" spans="4:4" x14ac:dyDescent="0.4">
      <c r="D2100"/>
    </row>
    <row r="2101" spans="4:4" x14ac:dyDescent="0.4">
      <c r="D2101"/>
    </row>
    <row r="2102" spans="4:4" x14ac:dyDescent="0.4">
      <c r="D2102"/>
    </row>
    <row r="2103" spans="4:4" x14ac:dyDescent="0.4">
      <c r="D2103"/>
    </row>
    <row r="2104" spans="4:4" x14ac:dyDescent="0.4">
      <c r="D2104"/>
    </row>
    <row r="2105" spans="4:4" x14ac:dyDescent="0.4">
      <c r="D2105"/>
    </row>
    <row r="2106" spans="4:4" x14ac:dyDescent="0.4">
      <c r="D2106"/>
    </row>
    <row r="2107" spans="4:4" x14ac:dyDescent="0.4">
      <c r="D2107"/>
    </row>
    <row r="2108" spans="4:4" x14ac:dyDescent="0.4">
      <c r="D2108"/>
    </row>
    <row r="2109" spans="4:4" x14ac:dyDescent="0.4">
      <c r="D2109"/>
    </row>
    <row r="2110" spans="4:4" x14ac:dyDescent="0.4">
      <c r="D2110"/>
    </row>
    <row r="2111" spans="4:4" x14ac:dyDescent="0.4">
      <c r="D2111"/>
    </row>
    <row r="2112" spans="4:4" x14ac:dyDescent="0.4">
      <c r="D2112"/>
    </row>
    <row r="2113" spans="4:4" x14ac:dyDescent="0.4">
      <c r="D2113"/>
    </row>
    <row r="2114" spans="4:4" x14ac:dyDescent="0.4">
      <c r="D2114"/>
    </row>
    <row r="2115" spans="4:4" x14ac:dyDescent="0.4">
      <c r="D2115"/>
    </row>
    <row r="2116" spans="4:4" x14ac:dyDescent="0.4">
      <c r="D2116"/>
    </row>
    <row r="2117" spans="4:4" x14ac:dyDescent="0.4">
      <c r="D2117"/>
    </row>
    <row r="2118" spans="4:4" x14ac:dyDescent="0.4">
      <c r="D2118"/>
    </row>
    <row r="2119" spans="4:4" x14ac:dyDescent="0.4">
      <c r="D2119"/>
    </row>
    <row r="2120" spans="4:4" x14ac:dyDescent="0.4">
      <c r="D2120"/>
    </row>
    <row r="2121" spans="4:4" x14ac:dyDescent="0.4">
      <c r="D2121"/>
    </row>
    <row r="2122" spans="4:4" x14ac:dyDescent="0.4">
      <c r="D2122"/>
    </row>
    <row r="2123" spans="4:4" x14ac:dyDescent="0.4">
      <c r="D2123"/>
    </row>
    <row r="2124" spans="4:4" x14ac:dyDescent="0.4">
      <c r="D2124"/>
    </row>
    <row r="2125" spans="4:4" x14ac:dyDescent="0.4">
      <c r="D2125"/>
    </row>
    <row r="2126" spans="4:4" x14ac:dyDescent="0.4">
      <c r="D2126"/>
    </row>
    <row r="2127" spans="4:4" x14ac:dyDescent="0.4">
      <c r="D2127"/>
    </row>
    <row r="2128" spans="4:4" x14ac:dyDescent="0.4">
      <c r="D2128"/>
    </row>
    <row r="2129" spans="4:4" x14ac:dyDescent="0.4">
      <c r="D2129"/>
    </row>
    <row r="2130" spans="4:4" x14ac:dyDescent="0.4">
      <c r="D2130"/>
    </row>
    <row r="2131" spans="4:4" x14ac:dyDescent="0.4">
      <c r="D2131"/>
    </row>
    <row r="2132" spans="4:4" x14ac:dyDescent="0.4">
      <c r="D2132"/>
    </row>
    <row r="2133" spans="4:4" x14ac:dyDescent="0.4">
      <c r="D2133"/>
    </row>
    <row r="2134" spans="4:4" x14ac:dyDescent="0.4">
      <c r="D2134"/>
    </row>
    <row r="2135" spans="4:4" x14ac:dyDescent="0.4">
      <c r="D2135"/>
    </row>
    <row r="2136" spans="4:4" x14ac:dyDescent="0.4">
      <c r="D2136"/>
    </row>
    <row r="2137" spans="4:4" x14ac:dyDescent="0.4">
      <c r="D2137"/>
    </row>
    <row r="2138" spans="4:4" x14ac:dyDescent="0.4">
      <c r="D2138"/>
    </row>
    <row r="2139" spans="4:4" x14ac:dyDescent="0.4">
      <c r="D2139"/>
    </row>
    <row r="2140" spans="4:4" x14ac:dyDescent="0.4">
      <c r="D2140"/>
    </row>
    <row r="2141" spans="4:4" x14ac:dyDescent="0.4">
      <c r="D2141"/>
    </row>
    <row r="2142" spans="4:4" x14ac:dyDescent="0.4">
      <c r="D2142"/>
    </row>
    <row r="2143" spans="4:4" x14ac:dyDescent="0.4">
      <c r="D2143"/>
    </row>
    <row r="2144" spans="4:4" x14ac:dyDescent="0.4">
      <c r="D2144"/>
    </row>
    <row r="2145" spans="4:4" x14ac:dyDescent="0.4">
      <c r="D2145"/>
    </row>
    <row r="2146" spans="4:4" x14ac:dyDescent="0.4">
      <c r="D2146"/>
    </row>
    <row r="2147" spans="4:4" x14ac:dyDescent="0.4">
      <c r="D2147"/>
    </row>
    <row r="2148" spans="4:4" x14ac:dyDescent="0.4">
      <c r="D2148"/>
    </row>
    <row r="2149" spans="4:4" x14ac:dyDescent="0.4">
      <c r="D2149"/>
    </row>
    <row r="2150" spans="4:4" x14ac:dyDescent="0.4">
      <c r="D2150"/>
    </row>
    <row r="2151" spans="4:4" x14ac:dyDescent="0.4">
      <c r="D2151"/>
    </row>
    <row r="2152" spans="4:4" x14ac:dyDescent="0.4">
      <c r="D2152"/>
    </row>
    <row r="2153" spans="4:4" x14ac:dyDescent="0.4">
      <c r="D2153"/>
    </row>
    <row r="2154" spans="4:4" x14ac:dyDescent="0.4">
      <c r="D2154"/>
    </row>
    <row r="2155" spans="4:4" x14ac:dyDescent="0.4">
      <c r="D2155"/>
    </row>
    <row r="2156" spans="4:4" x14ac:dyDescent="0.4">
      <c r="D2156"/>
    </row>
    <row r="2157" spans="4:4" x14ac:dyDescent="0.4">
      <c r="D2157"/>
    </row>
    <row r="2158" spans="4:4" x14ac:dyDescent="0.4">
      <c r="D2158"/>
    </row>
    <row r="2159" spans="4:4" x14ac:dyDescent="0.4">
      <c r="D2159"/>
    </row>
    <row r="2160" spans="4:4" x14ac:dyDescent="0.4">
      <c r="D2160"/>
    </row>
    <row r="2161" spans="4:4" x14ac:dyDescent="0.4">
      <c r="D2161"/>
    </row>
    <row r="2162" spans="4:4" x14ac:dyDescent="0.4">
      <c r="D2162"/>
    </row>
    <row r="2163" spans="4:4" x14ac:dyDescent="0.4">
      <c r="D2163"/>
    </row>
    <row r="2164" spans="4:4" x14ac:dyDescent="0.4">
      <c r="D2164"/>
    </row>
    <row r="2165" spans="4:4" x14ac:dyDescent="0.4">
      <c r="D2165"/>
    </row>
    <row r="2166" spans="4:4" x14ac:dyDescent="0.4">
      <c r="D2166"/>
    </row>
    <row r="2167" spans="4:4" x14ac:dyDescent="0.4">
      <c r="D2167"/>
    </row>
    <row r="2168" spans="4:4" x14ac:dyDescent="0.4">
      <c r="D2168"/>
    </row>
    <row r="2169" spans="4:4" x14ac:dyDescent="0.4">
      <c r="D2169"/>
    </row>
    <row r="2170" spans="4:4" x14ac:dyDescent="0.4">
      <c r="D2170"/>
    </row>
    <row r="2171" spans="4:4" x14ac:dyDescent="0.4">
      <c r="D2171"/>
    </row>
    <row r="2172" spans="4:4" x14ac:dyDescent="0.4">
      <c r="D2172"/>
    </row>
    <row r="2173" spans="4:4" x14ac:dyDescent="0.4">
      <c r="D2173"/>
    </row>
    <row r="2174" spans="4:4" x14ac:dyDescent="0.4">
      <c r="D2174"/>
    </row>
    <row r="2175" spans="4:4" x14ac:dyDescent="0.4">
      <c r="D2175"/>
    </row>
    <row r="2176" spans="4:4" x14ac:dyDescent="0.4">
      <c r="D2176"/>
    </row>
    <row r="2177" spans="4:4" x14ac:dyDescent="0.4">
      <c r="D2177"/>
    </row>
    <row r="2178" spans="4:4" x14ac:dyDescent="0.4">
      <c r="D2178"/>
    </row>
    <row r="2179" spans="4:4" x14ac:dyDescent="0.4">
      <c r="D2179"/>
    </row>
    <row r="2180" spans="4:4" x14ac:dyDescent="0.4">
      <c r="D2180"/>
    </row>
    <row r="2181" spans="4:4" x14ac:dyDescent="0.4">
      <c r="D2181"/>
    </row>
    <row r="2182" spans="4:4" x14ac:dyDescent="0.4">
      <c r="D2182"/>
    </row>
    <row r="2183" spans="4:4" x14ac:dyDescent="0.4">
      <c r="D2183"/>
    </row>
    <row r="2184" spans="4:4" x14ac:dyDescent="0.4">
      <c r="D2184"/>
    </row>
    <row r="2185" spans="4:4" x14ac:dyDescent="0.4">
      <c r="D2185"/>
    </row>
    <row r="2186" spans="4:4" x14ac:dyDescent="0.4">
      <c r="D2186"/>
    </row>
    <row r="2187" spans="4:4" x14ac:dyDescent="0.4">
      <c r="D2187"/>
    </row>
    <row r="2188" spans="4:4" x14ac:dyDescent="0.4">
      <c r="D2188"/>
    </row>
    <row r="2189" spans="4:4" x14ac:dyDescent="0.4">
      <c r="D2189"/>
    </row>
    <row r="2190" spans="4:4" x14ac:dyDescent="0.4">
      <c r="D2190"/>
    </row>
    <row r="2191" spans="4:4" x14ac:dyDescent="0.4">
      <c r="D2191"/>
    </row>
    <row r="2192" spans="4:4" x14ac:dyDescent="0.4">
      <c r="D2192"/>
    </row>
    <row r="2193" spans="4:4" x14ac:dyDescent="0.4">
      <c r="D2193"/>
    </row>
    <row r="2194" spans="4:4" x14ac:dyDescent="0.4">
      <c r="D2194"/>
    </row>
    <row r="2195" spans="4:4" x14ac:dyDescent="0.4">
      <c r="D2195"/>
    </row>
    <row r="2196" spans="4:4" x14ac:dyDescent="0.4">
      <c r="D2196"/>
    </row>
    <row r="2197" spans="4:4" x14ac:dyDescent="0.4">
      <c r="D2197"/>
    </row>
    <row r="2198" spans="4:4" x14ac:dyDescent="0.4">
      <c r="D2198"/>
    </row>
    <row r="2199" spans="4:4" x14ac:dyDescent="0.4">
      <c r="D2199"/>
    </row>
    <row r="2200" spans="4:4" x14ac:dyDescent="0.4">
      <c r="D2200"/>
    </row>
    <row r="2201" spans="4:4" x14ac:dyDescent="0.4">
      <c r="D2201"/>
    </row>
    <row r="2202" spans="4:4" x14ac:dyDescent="0.4">
      <c r="D2202"/>
    </row>
    <row r="2203" spans="4:4" x14ac:dyDescent="0.4">
      <c r="D2203"/>
    </row>
    <row r="2204" spans="4:4" x14ac:dyDescent="0.4">
      <c r="D2204"/>
    </row>
    <row r="2205" spans="4:4" x14ac:dyDescent="0.4">
      <c r="D2205"/>
    </row>
    <row r="2206" spans="4:4" x14ac:dyDescent="0.4">
      <c r="D2206"/>
    </row>
    <row r="2207" spans="4:4" x14ac:dyDescent="0.4">
      <c r="D2207"/>
    </row>
    <row r="2208" spans="4:4" x14ac:dyDescent="0.4">
      <c r="D2208"/>
    </row>
    <row r="2209" spans="4:4" x14ac:dyDescent="0.4">
      <c r="D2209"/>
    </row>
    <row r="2210" spans="4:4" x14ac:dyDescent="0.4">
      <c r="D2210"/>
    </row>
    <row r="2211" spans="4:4" x14ac:dyDescent="0.4">
      <c r="D2211"/>
    </row>
    <row r="2212" spans="4:4" x14ac:dyDescent="0.4">
      <c r="D2212"/>
    </row>
    <row r="2213" spans="4:4" x14ac:dyDescent="0.4">
      <c r="D2213"/>
    </row>
    <row r="2214" spans="4:4" x14ac:dyDescent="0.4">
      <c r="D2214"/>
    </row>
    <row r="2215" spans="4:4" x14ac:dyDescent="0.4">
      <c r="D2215"/>
    </row>
    <row r="2216" spans="4:4" x14ac:dyDescent="0.4">
      <c r="D2216"/>
    </row>
    <row r="2217" spans="4:4" x14ac:dyDescent="0.4">
      <c r="D2217"/>
    </row>
    <row r="2218" spans="4:4" x14ac:dyDescent="0.4">
      <c r="D2218"/>
    </row>
    <row r="2219" spans="4:4" x14ac:dyDescent="0.4">
      <c r="D2219"/>
    </row>
    <row r="2220" spans="4:4" x14ac:dyDescent="0.4">
      <c r="D2220"/>
    </row>
    <row r="2221" spans="4:4" x14ac:dyDescent="0.4">
      <c r="D2221"/>
    </row>
    <row r="2222" spans="4:4" x14ac:dyDescent="0.4">
      <c r="D2222"/>
    </row>
    <row r="2223" spans="4:4" x14ac:dyDescent="0.4">
      <c r="D2223"/>
    </row>
    <row r="2224" spans="4:4" x14ac:dyDescent="0.4">
      <c r="D2224"/>
    </row>
    <row r="2225" spans="4:4" x14ac:dyDescent="0.4">
      <c r="D2225"/>
    </row>
    <row r="2226" spans="4:4" x14ac:dyDescent="0.4">
      <c r="D2226"/>
    </row>
    <row r="2227" spans="4:4" x14ac:dyDescent="0.4">
      <c r="D2227"/>
    </row>
    <row r="2228" spans="4:4" x14ac:dyDescent="0.4">
      <c r="D2228"/>
    </row>
    <row r="2229" spans="4:4" x14ac:dyDescent="0.4">
      <c r="D2229"/>
    </row>
    <row r="2230" spans="4:4" x14ac:dyDescent="0.4">
      <c r="D2230"/>
    </row>
    <row r="2231" spans="4:4" x14ac:dyDescent="0.4">
      <c r="D2231"/>
    </row>
    <row r="2232" spans="4:4" x14ac:dyDescent="0.4">
      <c r="D2232"/>
    </row>
    <row r="2233" spans="4:4" x14ac:dyDescent="0.4">
      <c r="D2233"/>
    </row>
    <row r="2234" spans="4:4" x14ac:dyDescent="0.4">
      <c r="D2234"/>
    </row>
    <row r="2235" spans="4:4" x14ac:dyDescent="0.4">
      <c r="D2235"/>
    </row>
    <row r="2236" spans="4:4" x14ac:dyDescent="0.4">
      <c r="D2236"/>
    </row>
    <row r="2237" spans="4:4" x14ac:dyDescent="0.4">
      <c r="D2237"/>
    </row>
    <row r="2238" spans="4:4" x14ac:dyDescent="0.4">
      <c r="D2238"/>
    </row>
    <row r="2239" spans="4:4" x14ac:dyDescent="0.4">
      <c r="D2239"/>
    </row>
    <row r="2240" spans="4:4" x14ac:dyDescent="0.4">
      <c r="D2240"/>
    </row>
    <row r="2241" spans="4:4" x14ac:dyDescent="0.4">
      <c r="D2241"/>
    </row>
    <row r="2242" spans="4:4" x14ac:dyDescent="0.4">
      <c r="D2242"/>
    </row>
    <row r="2243" spans="4:4" x14ac:dyDescent="0.4">
      <c r="D2243"/>
    </row>
    <row r="2244" spans="4:4" x14ac:dyDescent="0.4">
      <c r="D2244"/>
    </row>
    <row r="2245" spans="4:4" x14ac:dyDescent="0.4">
      <c r="D2245"/>
    </row>
    <row r="2246" spans="4:4" x14ac:dyDescent="0.4">
      <c r="D2246"/>
    </row>
    <row r="2247" spans="4:4" x14ac:dyDescent="0.4">
      <c r="D2247"/>
    </row>
    <row r="2248" spans="4:4" x14ac:dyDescent="0.4">
      <c r="D2248"/>
    </row>
    <row r="2249" spans="4:4" x14ac:dyDescent="0.4">
      <c r="D2249"/>
    </row>
    <row r="2250" spans="4:4" x14ac:dyDescent="0.4">
      <c r="D2250"/>
    </row>
    <row r="2251" spans="4:4" x14ac:dyDescent="0.4">
      <c r="D2251"/>
    </row>
    <row r="2252" spans="4:4" x14ac:dyDescent="0.4">
      <c r="D2252"/>
    </row>
    <row r="2253" spans="4:4" x14ac:dyDescent="0.4">
      <c r="D2253"/>
    </row>
    <row r="2254" spans="4:4" x14ac:dyDescent="0.4">
      <c r="D2254"/>
    </row>
    <row r="2255" spans="4:4" x14ac:dyDescent="0.4">
      <c r="D2255"/>
    </row>
    <row r="2256" spans="4:4" x14ac:dyDescent="0.4">
      <c r="D2256"/>
    </row>
    <row r="2257" spans="4:4" x14ac:dyDescent="0.4">
      <c r="D2257"/>
    </row>
    <row r="2258" spans="4:4" x14ac:dyDescent="0.4">
      <c r="D2258"/>
    </row>
    <row r="2259" spans="4:4" x14ac:dyDescent="0.4">
      <c r="D2259"/>
    </row>
    <row r="2260" spans="4:4" x14ac:dyDescent="0.4">
      <c r="D2260"/>
    </row>
    <row r="2261" spans="4:4" x14ac:dyDescent="0.4">
      <c r="D2261"/>
    </row>
    <row r="2262" spans="4:4" x14ac:dyDescent="0.4">
      <c r="D2262"/>
    </row>
    <row r="2263" spans="4:4" x14ac:dyDescent="0.4">
      <c r="D2263"/>
    </row>
    <row r="2264" spans="4:4" x14ac:dyDescent="0.4">
      <c r="D2264"/>
    </row>
    <row r="2265" spans="4:4" x14ac:dyDescent="0.4">
      <c r="D2265"/>
    </row>
    <row r="2266" spans="4:4" x14ac:dyDescent="0.4">
      <c r="D2266"/>
    </row>
    <row r="2267" spans="4:4" x14ac:dyDescent="0.4">
      <c r="D2267"/>
    </row>
    <row r="2268" spans="4:4" x14ac:dyDescent="0.4">
      <c r="D2268"/>
    </row>
    <row r="2269" spans="4:4" x14ac:dyDescent="0.4">
      <c r="D2269"/>
    </row>
    <row r="2270" spans="4:4" x14ac:dyDescent="0.4">
      <c r="D2270"/>
    </row>
    <row r="2271" spans="4:4" x14ac:dyDescent="0.4">
      <c r="D2271"/>
    </row>
    <row r="2272" spans="4:4" x14ac:dyDescent="0.4">
      <c r="D2272"/>
    </row>
    <row r="2273" spans="4:4" x14ac:dyDescent="0.4">
      <c r="D2273"/>
    </row>
    <row r="2274" spans="4:4" x14ac:dyDescent="0.4">
      <c r="D2274"/>
    </row>
    <row r="2275" spans="4:4" x14ac:dyDescent="0.4">
      <c r="D2275"/>
    </row>
    <row r="2276" spans="4:4" x14ac:dyDescent="0.4">
      <c r="D2276"/>
    </row>
    <row r="2277" spans="4:4" x14ac:dyDescent="0.4">
      <c r="D2277"/>
    </row>
    <row r="2278" spans="4:4" x14ac:dyDescent="0.4">
      <c r="D2278"/>
    </row>
    <row r="2279" spans="4:4" x14ac:dyDescent="0.4">
      <c r="D2279"/>
    </row>
    <row r="2280" spans="4:4" x14ac:dyDescent="0.4">
      <c r="D2280"/>
    </row>
    <row r="2281" spans="4:4" x14ac:dyDescent="0.4">
      <c r="D2281"/>
    </row>
    <row r="2282" spans="4:4" x14ac:dyDescent="0.4">
      <c r="D2282"/>
    </row>
    <row r="2283" spans="4:4" x14ac:dyDescent="0.4">
      <c r="D2283"/>
    </row>
    <row r="2284" spans="4:4" x14ac:dyDescent="0.4">
      <c r="D2284"/>
    </row>
    <row r="2285" spans="4:4" x14ac:dyDescent="0.4">
      <c r="D2285"/>
    </row>
    <row r="2286" spans="4:4" x14ac:dyDescent="0.4">
      <c r="D2286"/>
    </row>
    <row r="2287" spans="4:4" x14ac:dyDescent="0.4">
      <c r="D2287"/>
    </row>
    <row r="2288" spans="4:4" x14ac:dyDescent="0.4">
      <c r="D2288"/>
    </row>
    <row r="2289" spans="4:4" x14ac:dyDescent="0.4">
      <c r="D2289"/>
    </row>
    <row r="2290" spans="4:4" x14ac:dyDescent="0.4">
      <c r="D2290"/>
    </row>
    <row r="2291" spans="4:4" x14ac:dyDescent="0.4">
      <c r="D2291"/>
    </row>
    <row r="2292" spans="4:4" x14ac:dyDescent="0.4">
      <c r="D2292"/>
    </row>
    <row r="2293" spans="4:4" x14ac:dyDescent="0.4">
      <c r="D2293"/>
    </row>
    <row r="2294" spans="4:4" x14ac:dyDescent="0.4">
      <c r="D2294"/>
    </row>
    <row r="2295" spans="4:4" x14ac:dyDescent="0.4">
      <c r="D2295"/>
    </row>
    <row r="2296" spans="4:4" x14ac:dyDescent="0.4">
      <c r="D2296"/>
    </row>
    <row r="2297" spans="4:4" x14ac:dyDescent="0.4">
      <c r="D2297"/>
    </row>
    <row r="2298" spans="4:4" x14ac:dyDescent="0.4">
      <c r="D2298"/>
    </row>
    <row r="2299" spans="4:4" x14ac:dyDescent="0.4">
      <c r="D2299"/>
    </row>
    <row r="2300" spans="4:4" x14ac:dyDescent="0.4">
      <c r="D2300"/>
    </row>
    <row r="2301" spans="4:4" x14ac:dyDescent="0.4">
      <c r="D2301"/>
    </row>
    <row r="2302" spans="4:4" x14ac:dyDescent="0.4">
      <c r="D2302"/>
    </row>
    <row r="2303" spans="4:4" x14ac:dyDescent="0.4">
      <c r="D2303"/>
    </row>
    <row r="2304" spans="4:4" x14ac:dyDescent="0.4">
      <c r="D2304"/>
    </row>
    <row r="2305" spans="4:4" x14ac:dyDescent="0.4">
      <c r="D2305"/>
    </row>
    <row r="2306" spans="4:4" x14ac:dyDescent="0.4">
      <c r="D2306"/>
    </row>
    <row r="2307" spans="4:4" x14ac:dyDescent="0.4">
      <c r="D2307"/>
    </row>
    <row r="2308" spans="4:4" x14ac:dyDescent="0.4">
      <c r="D2308"/>
    </row>
    <row r="2309" spans="4:4" x14ac:dyDescent="0.4">
      <c r="D2309"/>
    </row>
    <row r="2310" spans="4:4" x14ac:dyDescent="0.4">
      <c r="D2310"/>
    </row>
    <row r="2311" spans="4:4" x14ac:dyDescent="0.4">
      <c r="D2311"/>
    </row>
    <row r="2312" spans="4:4" x14ac:dyDescent="0.4">
      <c r="D2312"/>
    </row>
    <row r="2313" spans="4:4" x14ac:dyDescent="0.4">
      <c r="D2313"/>
    </row>
    <row r="2314" spans="4:4" x14ac:dyDescent="0.4">
      <c r="D2314"/>
    </row>
    <row r="2315" spans="4:4" x14ac:dyDescent="0.4">
      <c r="D2315"/>
    </row>
    <row r="2316" spans="4:4" x14ac:dyDescent="0.4">
      <c r="D2316"/>
    </row>
    <row r="2317" spans="4:4" x14ac:dyDescent="0.4">
      <c r="D2317"/>
    </row>
    <row r="2318" spans="4:4" x14ac:dyDescent="0.4">
      <c r="D2318"/>
    </row>
    <row r="2319" spans="4:4" x14ac:dyDescent="0.4">
      <c r="D2319"/>
    </row>
    <row r="2320" spans="4:4" x14ac:dyDescent="0.4">
      <c r="D2320"/>
    </row>
    <row r="2321" spans="4:4" x14ac:dyDescent="0.4">
      <c r="D2321"/>
    </row>
    <row r="2322" spans="4:4" x14ac:dyDescent="0.4">
      <c r="D2322"/>
    </row>
    <row r="2323" spans="4:4" x14ac:dyDescent="0.4">
      <c r="D2323"/>
    </row>
    <row r="2324" spans="4:4" x14ac:dyDescent="0.4">
      <c r="D2324"/>
    </row>
    <row r="2325" spans="4:4" x14ac:dyDescent="0.4">
      <c r="D2325"/>
    </row>
    <row r="2326" spans="4:4" x14ac:dyDescent="0.4">
      <c r="D2326"/>
    </row>
    <row r="2327" spans="4:4" x14ac:dyDescent="0.4">
      <c r="D2327"/>
    </row>
    <row r="2328" spans="4:4" x14ac:dyDescent="0.4">
      <c r="D2328"/>
    </row>
    <row r="2329" spans="4:4" x14ac:dyDescent="0.4">
      <c r="D2329"/>
    </row>
    <row r="2330" spans="4:4" x14ac:dyDescent="0.4">
      <c r="D2330"/>
    </row>
    <row r="2331" spans="4:4" x14ac:dyDescent="0.4">
      <c r="D2331"/>
    </row>
    <row r="2332" spans="4:4" x14ac:dyDescent="0.4">
      <c r="D2332"/>
    </row>
    <row r="2333" spans="4:4" x14ac:dyDescent="0.4">
      <c r="D2333"/>
    </row>
    <row r="2334" spans="4:4" x14ac:dyDescent="0.4">
      <c r="D2334"/>
    </row>
    <row r="2335" spans="4:4" x14ac:dyDescent="0.4">
      <c r="D2335"/>
    </row>
    <row r="2336" spans="4:4" x14ac:dyDescent="0.4">
      <c r="D2336"/>
    </row>
    <row r="2337" spans="4:4" x14ac:dyDescent="0.4">
      <c r="D2337"/>
    </row>
    <row r="2338" spans="4:4" x14ac:dyDescent="0.4">
      <c r="D2338"/>
    </row>
    <row r="2339" spans="4:4" x14ac:dyDescent="0.4">
      <c r="D2339"/>
    </row>
    <row r="2340" spans="4:4" x14ac:dyDescent="0.4">
      <c r="D2340"/>
    </row>
    <row r="2341" spans="4:4" x14ac:dyDescent="0.4">
      <c r="D2341"/>
    </row>
    <row r="2342" spans="4:4" x14ac:dyDescent="0.4">
      <c r="D2342"/>
    </row>
    <row r="2343" spans="4:4" x14ac:dyDescent="0.4">
      <c r="D2343"/>
    </row>
    <row r="2344" spans="4:4" x14ac:dyDescent="0.4">
      <c r="D2344"/>
    </row>
    <row r="2345" spans="4:4" x14ac:dyDescent="0.4">
      <c r="D2345"/>
    </row>
    <row r="2346" spans="4:4" x14ac:dyDescent="0.4">
      <c r="D2346"/>
    </row>
    <row r="2347" spans="4:4" x14ac:dyDescent="0.4">
      <c r="D2347"/>
    </row>
    <row r="2348" spans="4:4" x14ac:dyDescent="0.4">
      <c r="D2348"/>
    </row>
    <row r="2349" spans="4:4" x14ac:dyDescent="0.4">
      <c r="D2349"/>
    </row>
    <row r="2350" spans="4:4" x14ac:dyDescent="0.4">
      <c r="D2350"/>
    </row>
    <row r="2351" spans="4:4" x14ac:dyDescent="0.4">
      <c r="D2351"/>
    </row>
    <row r="2352" spans="4:4" x14ac:dyDescent="0.4">
      <c r="D2352"/>
    </row>
    <row r="2353" spans="4:4" x14ac:dyDescent="0.4">
      <c r="D2353"/>
    </row>
    <row r="2354" spans="4:4" x14ac:dyDescent="0.4">
      <c r="D2354"/>
    </row>
    <row r="2355" spans="4:4" x14ac:dyDescent="0.4">
      <c r="D2355"/>
    </row>
    <row r="2356" spans="4:4" x14ac:dyDescent="0.4">
      <c r="D2356"/>
    </row>
    <row r="2357" spans="4:4" x14ac:dyDescent="0.4">
      <c r="D2357"/>
    </row>
    <row r="2358" spans="4:4" x14ac:dyDescent="0.4">
      <c r="D2358"/>
    </row>
    <row r="2359" spans="4:4" x14ac:dyDescent="0.4">
      <c r="D2359"/>
    </row>
    <row r="2360" spans="4:4" x14ac:dyDescent="0.4">
      <c r="D2360"/>
    </row>
    <row r="2361" spans="4:4" x14ac:dyDescent="0.4">
      <c r="D2361"/>
    </row>
    <row r="2362" spans="4:4" x14ac:dyDescent="0.4">
      <c r="D2362"/>
    </row>
    <row r="2363" spans="4:4" x14ac:dyDescent="0.4">
      <c r="D2363"/>
    </row>
    <row r="2364" spans="4:4" x14ac:dyDescent="0.4">
      <c r="D2364"/>
    </row>
    <row r="2365" spans="4:4" x14ac:dyDescent="0.4">
      <c r="D2365"/>
    </row>
    <row r="2366" spans="4:4" x14ac:dyDescent="0.4">
      <c r="D2366"/>
    </row>
    <row r="2367" spans="4:4" x14ac:dyDescent="0.4">
      <c r="D2367"/>
    </row>
    <row r="2368" spans="4:4" x14ac:dyDescent="0.4">
      <c r="D2368"/>
    </row>
    <row r="2369" spans="4:4" x14ac:dyDescent="0.4">
      <c r="D2369"/>
    </row>
    <row r="2370" spans="4:4" x14ac:dyDescent="0.4">
      <c r="D2370"/>
    </row>
    <row r="2371" spans="4:4" x14ac:dyDescent="0.4">
      <c r="D2371"/>
    </row>
    <row r="2372" spans="4:4" x14ac:dyDescent="0.4">
      <c r="D2372"/>
    </row>
    <row r="2373" spans="4:4" x14ac:dyDescent="0.4">
      <c r="D2373"/>
    </row>
    <row r="2374" spans="4:4" x14ac:dyDescent="0.4">
      <c r="D2374"/>
    </row>
    <row r="2375" spans="4:4" x14ac:dyDescent="0.4">
      <c r="D2375"/>
    </row>
    <row r="2376" spans="4:4" x14ac:dyDescent="0.4">
      <c r="D2376"/>
    </row>
    <row r="2377" spans="4:4" x14ac:dyDescent="0.4">
      <c r="D2377"/>
    </row>
    <row r="2378" spans="4:4" x14ac:dyDescent="0.4">
      <c r="D2378"/>
    </row>
    <row r="2379" spans="4:4" x14ac:dyDescent="0.4">
      <c r="D2379"/>
    </row>
    <row r="2380" spans="4:4" x14ac:dyDescent="0.4">
      <c r="D2380"/>
    </row>
    <row r="2381" spans="4:4" x14ac:dyDescent="0.4">
      <c r="D2381"/>
    </row>
    <row r="2382" spans="4:4" x14ac:dyDescent="0.4">
      <c r="D2382"/>
    </row>
    <row r="2383" spans="4:4" x14ac:dyDescent="0.4">
      <c r="D2383"/>
    </row>
    <row r="2384" spans="4:4" x14ac:dyDescent="0.4">
      <c r="D2384"/>
    </row>
    <row r="2385" spans="4:4" x14ac:dyDescent="0.4">
      <c r="D2385"/>
    </row>
    <row r="2386" spans="4:4" x14ac:dyDescent="0.4">
      <c r="D2386"/>
    </row>
    <row r="2387" spans="4:4" x14ac:dyDescent="0.4">
      <c r="D2387"/>
    </row>
    <row r="2388" spans="4:4" x14ac:dyDescent="0.4">
      <c r="D2388"/>
    </row>
    <row r="2389" spans="4:4" x14ac:dyDescent="0.4">
      <c r="D2389"/>
    </row>
    <row r="2390" spans="4:4" x14ac:dyDescent="0.4">
      <c r="D2390"/>
    </row>
    <row r="2391" spans="4:4" x14ac:dyDescent="0.4">
      <c r="D2391"/>
    </row>
    <row r="2392" spans="4:4" x14ac:dyDescent="0.4">
      <c r="D2392"/>
    </row>
    <row r="2393" spans="4:4" x14ac:dyDescent="0.4">
      <c r="D2393"/>
    </row>
    <row r="2394" spans="4:4" x14ac:dyDescent="0.4">
      <c r="D2394"/>
    </row>
    <row r="2395" spans="4:4" x14ac:dyDescent="0.4">
      <c r="D2395"/>
    </row>
    <row r="2396" spans="4:4" x14ac:dyDescent="0.4">
      <c r="D2396"/>
    </row>
    <row r="2397" spans="4:4" x14ac:dyDescent="0.4">
      <c r="D2397"/>
    </row>
    <row r="2398" spans="4:4" x14ac:dyDescent="0.4">
      <c r="D2398"/>
    </row>
    <row r="2399" spans="4:4" x14ac:dyDescent="0.4">
      <c r="D2399"/>
    </row>
    <row r="2400" spans="4:4" x14ac:dyDescent="0.4">
      <c r="D2400"/>
    </row>
    <row r="2401" spans="4:4" x14ac:dyDescent="0.4">
      <c r="D2401"/>
    </row>
    <row r="2402" spans="4:4" x14ac:dyDescent="0.4">
      <c r="D2402"/>
    </row>
    <row r="2403" spans="4:4" x14ac:dyDescent="0.4">
      <c r="D2403"/>
    </row>
    <row r="2404" spans="4:4" x14ac:dyDescent="0.4">
      <c r="D2404"/>
    </row>
    <row r="2405" spans="4:4" x14ac:dyDescent="0.4">
      <c r="D2405"/>
    </row>
    <row r="2406" spans="4:4" x14ac:dyDescent="0.4">
      <c r="D2406"/>
    </row>
    <row r="2407" spans="4:4" x14ac:dyDescent="0.4">
      <c r="D2407"/>
    </row>
    <row r="2408" spans="4:4" x14ac:dyDescent="0.4">
      <c r="D2408"/>
    </row>
    <row r="2409" spans="4:4" x14ac:dyDescent="0.4">
      <c r="D2409"/>
    </row>
    <row r="2410" spans="4:4" x14ac:dyDescent="0.4">
      <c r="D2410"/>
    </row>
    <row r="2411" spans="4:4" x14ac:dyDescent="0.4">
      <c r="D2411"/>
    </row>
    <row r="2412" spans="4:4" x14ac:dyDescent="0.4">
      <c r="D2412"/>
    </row>
    <row r="2413" spans="4:4" x14ac:dyDescent="0.4">
      <c r="D2413"/>
    </row>
    <row r="2414" spans="4:4" x14ac:dyDescent="0.4">
      <c r="D2414"/>
    </row>
    <row r="2415" spans="4:4" x14ac:dyDescent="0.4">
      <c r="D2415"/>
    </row>
    <row r="2416" spans="4:4" x14ac:dyDescent="0.4">
      <c r="D2416"/>
    </row>
    <row r="2417" spans="4:4" x14ac:dyDescent="0.4">
      <c r="D2417"/>
    </row>
    <row r="2418" spans="4:4" x14ac:dyDescent="0.4">
      <c r="D2418"/>
    </row>
    <row r="2419" spans="4:4" x14ac:dyDescent="0.4">
      <c r="D2419"/>
    </row>
    <row r="2420" spans="4:4" x14ac:dyDescent="0.4">
      <c r="D2420"/>
    </row>
    <row r="2421" spans="4:4" x14ac:dyDescent="0.4">
      <c r="D2421"/>
    </row>
    <row r="2422" spans="4:4" x14ac:dyDescent="0.4">
      <c r="D2422"/>
    </row>
    <row r="2423" spans="4:4" x14ac:dyDescent="0.4">
      <c r="D2423"/>
    </row>
    <row r="2424" spans="4:4" x14ac:dyDescent="0.4">
      <c r="D2424"/>
    </row>
    <row r="2425" spans="4:4" x14ac:dyDescent="0.4">
      <c r="D2425"/>
    </row>
    <row r="2426" spans="4:4" x14ac:dyDescent="0.4">
      <c r="D2426"/>
    </row>
    <row r="2427" spans="4:4" x14ac:dyDescent="0.4">
      <c r="D2427"/>
    </row>
    <row r="2428" spans="4:4" x14ac:dyDescent="0.4">
      <c r="D2428"/>
    </row>
    <row r="2429" spans="4:4" x14ac:dyDescent="0.4">
      <c r="D2429"/>
    </row>
    <row r="2430" spans="4:4" x14ac:dyDescent="0.4">
      <c r="D2430"/>
    </row>
    <row r="2431" spans="4:4" x14ac:dyDescent="0.4">
      <c r="D2431"/>
    </row>
    <row r="2432" spans="4:4" x14ac:dyDescent="0.4">
      <c r="D2432"/>
    </row>
    <row r="2433" spans="4:4" x14ac:dyDescent="0.4">
      <c r="D2433"/>
    </row>
    <row r="2434" spans="4:4" x14ac:dyDescent="0.4">
      <c r="D2434"/>
    </row>
    <row r="2435" spans="4:4" x14ac:dyDescent="0.4">
      <c r="D2435"/>
    </row>
    <row r="2436" spans="4:4" x14ac:dyDescent="0.4">
      <c r="D2436"/>
    </row>
    <row r="2437" spans="4:4" x14ac:dyDescent="0.4">
      <c r="D2437"/>
    </row>
    <row r="2438" spans="4:4" x14ac:dyDescent="0.4">
      <c r="D2438"/>
    </row>
    <row r="2439" spans="4:4" x14ac:dyDescent="0.4">
      <c r="D2439"/>
    </row>
    <row r="2440" spans="4:4" x14ac:dyDescent="0.4">
      <c r="D2440"/>
    </row>
    <row r="2441" spans="4:4" x14ac:dyDescent="0.4">
      <c r="D2441"/>
    </row>
    <row r="2442" spans="4:4" x14ac:dyDescent="0.4">
      <c r="D2442"/>
    </row>
    <row r="2443" spans="4:4" x14ac:dyDescent="0.4">
      <c r="D2443"/>
    </row>
    <row r="2444" spans="4:4" x14ac:dyDescent="0.4">
      <c r="D2444"/>
    </row>
    <row r="2445" spans="4:4" x14ac:dyDescent="0.4">
      <c r="D2445"/>
    </row>
    <row r="2446" spans="4:4" x14ac:dyDescent="0.4">
      <c r="D2446"/>
    </row>
    <row r="2447" spans="4:4" x14ac:dyDescent="0.4">
      <c r="D2447"/>
    </row>
    <row r="2448" spans="4:4" x14ac:dyDescent="0.4">
      <c r="D2448"/>
    </row>
    <row r="2449" spans="4:4" x14ac:dyDescent="0.4">
      <c r="D2449"/>
    </row>
    <row r="2450" spans="4:4" x14ac:dyDescent="0.4">
      <c r="D2450"/>
    </row>
    <row r="2451" spans="4:4" x14ac:dyDescent="0.4">
      <c r="D2451"/>
    </row>
    <row r="2452" spans="4:4" x14ac:dyDescent="0.4">
      <c r="D2452"/>
    </row>
    <row r="2453" spans="4:4" x14ac:dyDescent="0.4">
      <c r="D2453"/>
    </row>
    <row r="2454" spans="4:4" x14ac:dyDescent="0.4">
      <c r="D2454"/>
    </row>
    <row r="2455" spans="4:4" x14ac:dyDescent="0.4">
      <c r="D2455"/>
    </row>
    <row r="2456" spans="4:4" x14ac:dyDescent="0.4">
      <c r="D2456"/>
    </row>
    <row r="2457" spans="4:4" x14ac:dyDescent="0.4">
      <c r="D2457"/>
    </row>
    <row r="2458" spans="4:4" x14ac:dyDescent="0.4">
      <c r="D2458"/>
    </row>
    <row r="2459" spans="4:4" x14ac:dyDescent="0.4">
      <c r="D2459"/>
    </row>
    <row r="2460" spans="4:4" x14ac:dyDescent="0.4">
      <c r="D2460"/>
    </row>
    <row r="2461" spans="4:4" x14ac:dyDescent="0.4">
      <c r="D2461"/>
    </row>
    <row r="2462" spans="4:4" x14ac:dyDescent="0.4">
      <c r="D2462"/>
    </row>
    <row r="2463" spans="4:4" x14ac:dyDescent="0.4">
      <c r="D2463"/>
    </row>
    <row r="2464" spans="4:4" x14ac:dyDescent="0.4">
      <c r="D2464"/>
    </row>
    <row r="2465" spans="4:4" x14ac:dyDescent="0.4">
      <c r="D2465"/>
    </row>
    <row r="2466" spans="4:4" x14ac:dyDescent="0.4">
      <c r="D2466"/>
    </row>
    <row r="2467" spans="4:4" x14ac:dyDescent="0.4">
      <c r="D2467"/>
    </row>
    <row r="2468" spans="4:4" x14ac:dyDescent="0.4">
      <c r="D2468"/>
    </row>
    <row r="2469" spans="4:4" x14ac:dyDescent="0.4">
      <c r="D2469"/>
    </row>
    <row r="2470" spans="4:4" x14ac:dyDescent="0.4">
      <c r="D2470"/>
    </row>
    <row r="2471" spans="4:4" x14ac:dyDescent="0.4">
      <c r="D2471"/>
    </row>
    <row r="2472" spans="4:4" x14ac:dyDescent="0.4">
      <c r="D2472"/>
    </row>
    <row r="2473" spans="4:4" x14ac:dyDescent="0.4">
      <c r="D2473"/>
    </row>
    <row r="2474" spans="4:4" x14ac:dyDescent="0.4">
      <c r="D2474"/>
    </row>
    <row r="2475" spans="4:4" x14ac:dyDescent="0.4">
      <c r="D2475"/>
    </row>
    <row r="2476" spans="4:4" x14ac:dyDescent="0.4">
      <c r="D2476"/>
    </row>
    <row r="2477" spans="4:4" x14ac:dyDescent="0.4">
      <c r="D2477"/>
    </row>
    <row r="2478" spans="4:4" x14ac:dyDescent="0.4">
      <c r="D2478"/>
    </row>
    <row r="2479" spans="4:4" x14ac:dyDescent="0.4">
      <c r="D2479"/>
    </row>
    <row r="2480" spans="4:4" x14ac:dyDescent="0.4">
      <c r="D2480"/>
    </row>
    <row r="2481" spans="4:4" x14ac:dyDescent="0.4">
      <c r="D2481"/>
    </row>
    <row r="2482" spans="4:4" x14ac:dyDescent="0.4">
      <c r="D2482"/>
    </row>
    <row r="2483" spans="4:4" x14ac:dyDescent="0.4">
      <c r="D2483"/>
    </row>
    <row r="2484" spans="4:4" x14ac:dyDescent="0.4">
      <c r="D2484"/>
    </row>
    <row r="2485" spans="4:4" x14ac:dyDescent="0.4">
      <c r="D2485"/>
    </row>
    <row r="2486" spans="4:4" x14ac:dyDescent="0.4">
      <c r="D2486"/>
    </row>
    <row r="2487" spans="4:4" x14ac:dyDescent="0.4">
      <c r="D2487"/>
    </row>
    <row r="2488" spans="4:4" x14ac:dyDescent="0.4">
      <c r="D2488"/>
    </row>
    <row r="2489" spans="4:4" x14ac:dyDescent="0.4">
      <c r="D2489"/>
    </row>
    <row r="2490" spans="4:4" x14ac:dyDescent="0.4">
      <c r="D2490"/>
    </row>
    <row r="2491" spans="4:4" x14ac:dyDescent="0.4">
      <c r="D2491"/>
    </row>
    <row r="2492" spans="4:4" x14ac:dyDescent="0.4">
      <c r="D2492"/>
    </row>
    <row r="2493" spans="4:4" x14ac:dyDescent="0.4">
      <c r="D2493"/>
    </row>
    <row r="2494" spans="4:4" x14ac:dyDescent="0.4">
      <c r="D2494"/>
    </row>
    <row r="2495" spans="4:4" x14ac:dyDescent="0.4">
      <c r="D2495"/>
    </row>
    <row r="2496" spans="4:4" x14ac:dyDescent="0.4">
      <c r="D2496"/>
    </row>
    <row r="2497" spans="4:4" x14ac:dyDescent="0.4">
      <c r="D2497"/>
    </row>
    <row r="2498" spans="4:4" x14ac:dyDescent="0.4">
      <c r="D2498"/>
    </row>
    <row r="2499" spans="4:4" x14ac:dyDescent="0.4">
      <c r="D2499"/>
    </row>
    <row r="2500" spans="4:4" x14ac:dyDescent="0.4">
      <c r="D2500"/>
    </row>
    <row r="2501" spans="4:4" x14ac:dyDescent="0.4">
      <c r="D2501"/>
    </row>
    <row r="2502" spans="4:4" x14ac:dyDescent="0.4">
      <c r="D2502"/>
    </row>
    <row r="2503" spans="4:4" x14ac:dyDescent="0.4">
      <c r="D2503"/>
    </row>
    <row r="2504" spans="4:4" x14ac:dyDescent="0.4">
      <c r="D2504"/>
    </row>
    <row r="2505" spans="4:4" x14ac:dyDescent="0.4">
      <c r="D2505"/>
    </row>
    <row r="2506" spans="4:4" x14ac:dyDescent="0.4">
      <c r="D2506"/>
    </row>
    <row r="2507" spans="4:4" x14ac:dyDescent="0.4">
      <c r="D2507"/>
    </row>
    <row r="2508" spans="4:4" x14ac:dyDescent="0.4">
      <c r="D2508"/>
    </row>
    <row r="2509" spans="4:4" x14ac:dyDescent="0.4">
      <c r="D2509"/>
    </row>
    <row r="2510" spans="4:4" x14ac:dyDescent="0.4">
      <c r="D2510"/>
    </row>
    <row r="2511" spans="4:4" x14ac:dyDescent="0.4">
      <c r="D2511"/>
    </row>
    <row r="2512" spans="4:4" x14ac:dyDescent="0.4">
      <c r="D2512"/>
    </row>
    <row r="2513" spans="4:4" x14ac:dyDescent="0.4">
      <c r="D2513"/>
    </row>
    <row r="2514" spans="4:4" x14ac:dyDescent="0.4">
      <c r="D2514"/>
    </row>
    <row r="2515" spans="4:4" x14ac:dyDescent="0.4">
      <c r="D2515"/>
    </row>
    <row r="2516" spans="4:4" x14ac:dyDescent="0.4">
      <c r="D2516"/>
    </row>
    <row r="2517" spans="4:4" x14ac:dyDescent="0.4">
      <c r="D2517"/>
    </row>
    <row r="2518" spans="4:4" x14ac:dyDescent="0.4">
      <c r="D2518"/>
    </row>
    <row r="2519" spans="4:4" x14ac:dyDescent="0.4">
      <c r="D2519"/>
    </row>
    <row r="2520" spans="4:4" x14ac:dyDescent="0.4">
      <c r="D2520"/>
    </row>
    <row r="2521" spans="4:4" x14ac:dyDescent="0.4">
      <c r="D2521"/>
    </row>
    <row r="2522" spans="4:4" x14ac:dyDescent="0.4">
      <c r="D2522"/>
    </row>
    <row r="2523" spans="4:4" x14ac:dyDescent="0.4">
      <c r="D2523"/>
    </row>
    <row r="2524" spans="4:4" x14ac:dyDescent="0.4">
      <c r="D2524"/>
    </row>
    <row r="2525" spans="4:4" x14ac:dyDescent="0.4">
      <c r="D2525"/>
    </row>
    <row r="2526" spans="4:4" x14ac:dyDescent="0.4">
      <c r="D2526"/>
    </row>
    <row r="2527" spans="4:4" x14ac:dyDescent="0.4">
      <c r="D2527"/>
    </row>
    <row r="2528" spans="4:4" x14ac:dyDescent="0.4">
      <c r="D2528"/>
    </row>
    <row r="2529" spans="4:4" x14ac:dyDescent="0.4">
      <c r="D2529"/>
    </row>
    <row r="2530" spans="4:4" x14ac:dyDescent="0.4">
      <c r="D2530"/>
    </row>
    <row r="2531" spans="4:4" x14ac:dyDescent="0.4">
      <c r="D2531"/>
    </row>
    <row r="2532" spans="4:4" x14ac:dyDescent="0.4">
      <c r="D2532"/>
    </row>
    <row r="2533" spans="4:4" x14ac:dyDescent="0.4">
      <c r="D2533"/>
    </row>
    <row r="2534" spans="4:4" x14ac:dyDescent="0.4">
      <c r="D2534"/>
    </row>
    <row r="2535" spans="4:4" x14ac:dyDescent="0.4">
      <c r="D2535"/>
    </row>
    <row r="2536" spans="4:4" x14ac:dyDescent="0.4">
      <c r="D2536"/>
    </row>
    <row r="2537" spans="4:4" x14ac:dyDescent="0.4">
      <c r="D2537"/>
    </row>
    <row r="2538" spans="4:4" x14ac:dyDescent="0.4">
      <c r="D2538"/>
    </row>
    <row r="2539" spans="4:4" x14ac:dyDescent="0.4">
      <c r="D2539"/>
    </row>
    <row r="2540" spans="4:4" x14ac:dyDescent="0.4">
      <c r="D2540"/>
    </row>
    <row r="2541" spans="4:4" x14ac:dyDescent="0.4">
      <c r="D2541"/>
    </row>
    <row r="2542" spans="4:4" x14ac:dyDescent="0.4">
      <c r="D2542"/>
    </row>
    <row r="2543" spans="4:4" x14ac:dyDescent="0.4">
      <c r="D2543"/>
    </row>
    <row r="2544" spans="4:4" x14ac:dyDescent="0.4">
      <c r="D2544"/>
    </row>
    <row r="2545" spans="4:4" x14ac:dyDescent="0.4">
      <c r="D2545"/>
    </row>
    <row r="2546" spans="4:4" x14ac:dyDescent="0.4">
      <c r="D2546"/>
    </row>
    <row r="2547" spans="4:4" x14ac:dyDescent="0.4">
      <c r="D2547"/>
    </row>
    <row r="2548" spans="4:4" x14ac:dyDescent="0.4">
      <c r="D2548"/>
    </row>
    <row r="2549" spans="4:4" x14ac:dyDescent="0.4">
      <c r="D2549"/>
    </row>
    <row r="2550" spans="4:4" x14ac:dyDescent="0.4">
      <c r="D2550"/>
    </row>
    <row r="2551" spans="4:4" x14ac:dyDescent="0.4">
      <c r="D2551"/>
    </row>
    <row r="2552" spans="4:4" x14ac:dyDescent="0.4">
      <c r="D2552"/>
    </row>
    <row r="2553" spans="4:4" x14ac:dyDescent="0.4">
      <c r="D2553"/>
    </row>
    <row r="2554" spans="4:4" x14ac:dyDescent="0.4">
      <c r="D2554"/>
    </row>
    <row r="2555" spans="4:4" x14ac:dyDescent="0.4">
      <c r="D2555"/>
    </row>
    <row r="2556" spans="4:4" x14ac:dyDescent="0.4">
      <c r="D2556"/>
    </row>
    <row r="2557" spans="4:4" x14ac:dyDescent="0.4">
      <c r="D2557"/>
    </row>
    <row r="2558" spans="4:4" x14ac:dyDescent="0.4">
      <c r="D2558"/>
    </row>
    <row r="2559" spans="4:4" x14ac:dyDescent="0.4">
      <c r="D2559"/>
    </row>
    <row r="2560" spans="4:4" x14ac:dyDescent="0.4">
      <c r="D2560"/>
    </row>
    <row r="2561" spans="4:4" x14ac:dyDescent="0.4">
      <c r="D2561"/>
    </row>
    <row r="2562" spans="4:4" x14ac:dyDescent="0.4">
      <c r="D2562"/>
    </row>
    <row r="2563" spans="4:4" x14ac:dyDescent="0.4">
      <c r="D2563"/>
    </row>
    <row r="2564" spans="4:4" x14ac:dyDescent="0.4">
      <c r="D2564"/>
    </row>
    <row r="2565" spans="4:4" x14ac:dyDescent="0.4">
      <c r="D2565"/>
    </row>
    <row r="2566" spans="4:4" x14ac:dyDescent="0.4">
      <c r="D2566"/>
    </row>
    <row r="2567" spans="4:4" x14ac:dyDescent="0.4">
      <c r="D2567"/>
    </row>
    <row r="2568" spans="4:4" x14ac:dyDescent="0.4">
      <c r="D2568"/>
    </row>
    <row r="2569" spans="4:4" x14ac:dyDescent="0.4">
      <c r="D2569"/>
    </row>
    <row r="2570" spans="4:4" x14ac:dyDescent="0.4">
      <c r="D2570"/>
    </row>
    <row r="2571" spans="4:4" x14ac:dyDescent="0.4">
      <c r="D2571"/>
    </row>
    <row r="2572" spans="4:4" x14ac:dyDescent="0.4">
      <c r="D2572"/>
    </row>
    <row r="2573" spans="4:4" x14ac:dyDescent="0.4">
      <c r="D2573"/>
    </row>
    <row r="2574" spans="4:4" x14ac:dyDescent="0.4">
      <c r="D2574"/>
    </row>
    <row r="2575" spans="4:4" x14ac:dyDescent="0.4">
      <c r="D2575"/>
    </row>
    <row r="2576" spans="4:4" x14ac:dyDescent="0.4">
      <c r="D2576"/>
    </row>
    <row r="2577" spans="4:4" x14ac:dyDescent="0.4">
      <c r="D2577"/>
    </row>
    <row r="2578" spans="4:4" x14ac:dyDescent="0.4">
      <c r="D2578"/>
    </row>
    <row r="2579" spans="4:4" x14ac:dyDescent="0.4">
      <c r="D2579"/>
    </row>
    <row r="2580" spans="4:4" x14ac:dyDescent="0.4">
      <c r="D2580"/>
    </row>
    <row r="2581" spans="4:4" x14ac:dyDescent="0.4">
      <c r="D2581"/>
    </row>
    <row r="2582" spans="4:4" x14ac:dyDescent="0.4">
      <c r="D2582"/>
    </row>
    <row r="2583" spans="4:4" x14ac:dyDescent="0.4">
      <c r="D2583"/>
    </row>
    <row r="2584" spans="4:4" x14ac:dyDescent="0.4">
      <c r="D2584"/>
    </row>
    <row r="2585" spans="4:4" x14ac:dyDescent="0.4">
      <c r="D2585"/>
    </row>
    <row r="2586" spans="4:4" x14ac:dyDescent="0.4">
      <c r="D2586"/>
    </row>
    <row r="2587" spans="4:4" x14ac:dyDescent="0.4">
      <c r="D2587"/>
    </row>
    <row r="2588" spans="4:4" x14ac:dyDescent="0.4">
      <c r="D2588"/>
    </row>
    <row r="2589" spans="4:4" x14ac:dyDescent="0.4">
      <c r="D2589"/>
    </row>
    <row r="2590" spans="4:4" x14ac:dyDescent="0.4">
      <c r="D2590"/>
    </row>
    <row r="2591" spans="4:4" x14ac:dyDescent="0.4">
      <c r="D2591"/>
    </row>
    <row r="2592" spans="4:4" x14ac:dyDescent="0.4">
      <c r="D2592"/>
    </row>
    <row r="2593" spans="4:4" x14ac:dyDescent="0.4">
      <c r="D2593"/>
    </row>
    <row r="2594" spans="4:4" x14ac:dyDescent="0.4">
      <c r="D2594"/>
    </row>
    <row r="2595" spans="4:4" x14ac:dyDescent="0.4">
      <c r="D2595"/>
    </row>
    <row r="2596" spans="4:4" x14ac:dyDescent="0.4">
      <c r="D2596"/>
    </row>
    <row r="2597" spans="4:4" x14ac:dyDescent="0.4">
      <c r="D2597"/>
    </row>
    <row r="2598" spans="4:4" x14ac:dyDescent="0.4">
      <c r="D2598"/>
    </row>
    <row r="2599" spans="4:4" x14ac:dyDescent="0.4">
      <c r="D2599"/>
    </row>
    <row r="2600" spans="4:4" x14ac:dyDescent="0.4">
      <c r="D2600"/>
    </row>
    <row r="2601" spans="4:4" x14ac:dyDescent="0.4">
      <c r="D2601"/>
    </row>
    <row r="2602" spans="4:4" x14ac:dyDescent="0.4">
      <c r="D2602"/>
    </row>
    <row r="2603" spans="4:4" x14ac:dyDescent="0.4">
      <c r="D2603"/>
    </row>
    <row r="2604" spans="4:4" x14ac:dyDescent="0.4">
      <c r="D2604"/>
    </row>
    <row r="2605" spans="4:4" x14ac:dyDescent="0.4">
      <c r="D2605"/>
    </row>
    <row r="2606" spans="4:4" x14ac:dyDescent="0.4">
      <c r="D2606"/>
    </row>
    <row r="2607" spans="4:4" x14ac:dyDescent="0.4">
      <c r="D2607"/>
    </row>
    <row r="2608" spans="4:4" x14ac:dyDescent="0.4">
      <c r="D2608"/>
    </row>
    <row r="2609" spans="4:4" x14ac:dyDescent="0.4">
      <c r="D2609"/>
    </row>
    <row r="2610" spans="4:4" x14ac:dyDescent="0.4">
      <c r="D2610"/>
    </row>
    <row r="2611" spans="4:4" x14ac:dyDescent="0.4">
      <c r="D2611"/>
    </row>
    <row r="2612" spans="4:4" x14ac:dyDescent="0.4">
      <c r="D2612"/>
    </row>
    <row r="2613" spans="4:4" x14ac:dyDescent="0.4">
      <c r="D2613"/>
    </row>
    <row r="2614" spans="4:4" x14ac:dyDescent="0.4">
      <c r="D2614"/>
    </row>
    <row r="2615" spans="4:4" x14ac:dyDescent="0.4">
      <c r="D2615"/>
    </row>
    <row r="2616" spans="4:4" x14ac:dyDescent="0.4">
      <c r="D2616"/>
    </row>
    <row r="2617" spans="4:4" x14ac:dyDescent="0.4">
      <c r="D2617"/>
    </row>
    <row r="2618" spans="4:4" x14ac:dyDescent="0.4">
      <c r="D2618"/>
    </row>
    <row r="2619" spans="4:4" x14ac:dyDescent="0.4">
      <c r="D2619"/>
    </row>
    <row r="2620" spans="4:4" x14ac:dyDescent="0.4">
      <c r="D2620"/>
    </row>
    <row r="2621" spans="4:4" x14ac:dyDescent="0.4">
      <c r="D2621"/>
    </row>
    <row r="2622" spans="4:4" x14ac:dyDescent="0.4">
      <c r="D2622"/>
    </row>
    <row r="2623" spans="4:4" x14ac:dyDescent="0.4">
      <c r="D2623"/>
    </row>
    <row r="2624" spans="4:4" x14ac:dyDescent="0.4">
      <c r="D2624"/>
    </row>
    <row r="2625" spans="4:4" x14ac:dyDescent="0.4">
      <c r="D2625"/>
    </row>
    <row r="2626" spans="4:4" x14ac:dyDescent="0.4">
      <c r="D2626"/>
    </row>
    <row r="2627" spans="4:4" x14ac:dyDescent="0.4">
      <c r="D2627"/>
    </row>
    <row r="2628" spans="4:4" x14ac:dyDescent="0.4">
      <c r="D2628"/>
    </row>
    <row r="2629" spans="4:4" x14ac:dyDescent="0.4">
      <c r="D2629"/>
    </row>
    <row r="2630" spans="4:4" x14ac:dyDescent="0.4">
      <c r="D2630"/>
    </row>
    <row r="2631" spans="4:4" x14ac:dyDescent="0.4">
      <c r="D2631"/>
    </row>
    <row r="2632" spans="4:4" x14ac:dyDescent="0.4">
      <c r="D2632"/>
    </row>
    <row r="2633" spans="4:4" x14ac:dyDescent="0.4">
      <c r="D2633"/>
    </row>
    <row r="2634" spans="4:4" x14ac:dyDescent="0.4">
      <c r="D2634"/>
    </row>
    <row r="2635" spans="4:4" x14ac:dyDescent="0.4">
      <c r="D2635"/>
    </row>
    <row r="2636" spans="4:4" x14ac:dyDescent="0.4">
      <c r="D2636"/>
    </row>
    <row r="2637" spans="4:4" x14ac:dyDescent="0.4">
      <c r="D2637"/>
    </row>
    <row r="2638" spans="4:4" x14ac:dyDescent="0.4">
      <c r="D2638"/>
    </row>
    <row r="2639" spans="4:4" x14ac:dyDescent="0.4">
      <c r="D2639"/>
    </row>
    <row r="2640" spans="4:4" x14ac:dyDescent="0.4">
      <c r="D2640"/>
    </row>
    <row r="2641" spans="4:4" x14ac:dyDescent="0.4">
      <c r="D2641"/>
    </row>
    <row r="2642" spans="4:4" x14ac:dyDescent="0.4">
      <c r="D2642"/>
    </row>
    <row r="2643" spans="4:4" x14ac:dyDescent="0.4">
      <c r="D2643"/>
    </row>
    <row r="2644" spans="4:4" x14ac:dyDescent="0.4">
      <c r="D2644"/>
    </row>
    <row r="2645" spans="4:4" x14ac:dyDescent="0.4">
      <c r="D2645"/>
    </row>
    <row r="2646" spans="4:4" x14ac:dyDescent="0.4">
      <c r="D2646"/>
    </row>
    <row r="2647" spans="4:4" x14ac:dyDescent="0.4">
      <c r="D2647"/>
    </row>
    <row r="2648" spans="4:4" x14ac:dyDescent="0.4">
      <c r="D2648"/>
    </row>
    <row r="2649" spans="4:4" x14ac:dyDescent="0.4">
      <c r="D2649"/>
    </row>
    <row r="2650" spans="4:4" x14ac:dyDescent="0.4">
      <c r="D2650"/>
    </row>
    <row r="2651" spans="4:4" x14ac:dyDescent="0.4">
      <c r="D2651"/>
    </row>
    <row r="2652" spans="4:4" x14ac:dyDescent="0.4">
      <c r="D2652"/>
    </row>
    <row r="2653" spans="4:4" x14ac:dyDescent="0.4">
      <c r="D2653"/>
    </row>
    <row r="2654" spans="4:4" x14ac:dyDescent="0.4">
      <c r="D2654"/>
    </row>
    <row r="2655" spans="4:4" x14ac:dyDescent="0.4">
      <c r="D2655"/>
    </row>
    <row r="2656" spans="4:4" x14ac:dyDescent="0.4">
      <c r="D2656"/>
    </row>
    <row r="2657" spans="4:4" x14ac:dyDescent="0.4">
      <c r="D2657"/>
    </row>
    <row r="2658" spans="4:4" x14ac:dyDescent="0.4">
      <c r="D2658"/>
    </row>
    <row r="2659" spans="4:4" x14ac:dyDescent="0.4">
      <c r="D2659"/>
    </row>
    <row r="2660" spans="4:4" x14ac:dyDescent="0.4">
      <c r="D2660"/>
    </row>
    <row r="2661" spans="4:4" x14ac:dyDescent="0.4">
      <c r="D2661"/>
    </row>
    <row r="2662" spans="4:4" x14ac:dyDescent="0.4">
      <c r="D2662"/>
    </row>
    <row r="2663" spans="4:4" x14ac:dyDescent="0.4">
      <c r="D2663"/>
    </row>
    <row r="2664" spans="4:4" x14ac:dyDescent="0.4">
      <c r="D2664"/>
    </row>
    <row r="2665" spans="4:4" x14ac:dyDescent="0.4">
      <c r="D2665"/>
    </row>
    <row r="2666" spans="4:4" x14ac:dyDescent="0.4">
      <c r="D2666"/>
    </row>
    <row r="2667" spans="4:4" x14ac:dyDescent="0.4">
      <c r="D2667"/>
    </row>
    <row r="2668" spans="4:4" x14ac:dyDescent="0.4">
      <c r="D2668"/>
    </row>
    <row r="2669" spans="4:4" x14ac:dyDescent="0.4">
      <c r="D2669"/>
    </row>
    <row r="2670" spans="4:4" x14ac:dyDescent="0.4">
      <c r="D2670"/>
    </row>
    <row r="2671" spans="4:4" x14ac:dyDescent="0.4">
      <c r="D2671"/>
    </row>
    <row r="2672" spans="4:4" x14ac:dyDescent="0.4">
      <c r="D2672"/>
    </row>
    <row r="2673" spans="4:4" x14ac:dyDescent="0.4">
      <c r="D2673"/>
    </row>
    <row r="2674" spans="4:4" x14ac:dyDescent="0.4">
      <c r="D2674"/>
    </row>
    <row r="2675" spans="4:4" x14ac:dyDescent="0.4">
      <c r="D2675"/>
    </row>
    <row r="2676" spans="4:4" x14ac:dyDescent="0.4">
      <c r="D2676"/>
    </row>
    <row r="2677" spans="4:4" x14ac:dyDescent="0.4">
      <c r="D2677"/>
    </row>
    <row r="2678" spans="4:4" x14ac:dyDescent="0.4">
      <c r="D2678"/>
    </row>
    <row r="2679" spans="4:4" x14ac:dyDescent="0.4">
      <c r="D2679"/>
    </row>
    <row r="2680" spans="4:4" x14ac:dyDescent="0.4">
      <c r="D2680"/>
    </row>
    <row r="2681" spans="4:4" x14ac:dyDescent="0.4">
      <c r="D2681"/>
    </row>
    <row r="2682" spans="4:4" x14ac:dyDescent="0.4">
      <c r="D2682"/>
    </row>
    <row r="2683" spans="4:4" x14ac:dyDescent="0.4">
      <c r="D2683"/>
    </row>
    <row r="2684" spans="4:4" x14ac:dyDescent="0.4">
      <c r="D2684"/>
    </row>
    <row r="2685" spans="4:4" x14ac:dyDescent="0.4">
      <c r="D2685"/>
    </row>
    <row r="2686" spans="4:4" x14ac:dyDescent="0.4">
      <c r="D2686"/>
    </row>
    <row r="2687" spans="4:4" x14ac:dyDescent="0.4">
      <c r="D2687"/>
    </row>
    <row r="2688" spans="4:4" x14ac:dyDescent="0.4">
      <c r="D2688"/>
    </row>
    <row r="2689" spans="4:4" x14ac:dyDescent="0.4">
      <c r="D2689"/>
    </row>
    <row r="2690" spans="4:4" x14ac:dyDescent="0.4">
      <c r="D2690"/>
    </row>
    <row r="2691" spans="4:4" x14ac:dyDescent="0.4">
      <c r="D2691"/>
    </row>
    <row r="2692" spans="4:4" x14ac:dyDescent="0.4">
      <c r="D2692"/>
    </row>
    <row r="2693" spans="4:4" x14ac:dyDescent="0.4">
      <c r="D2693"/>
    </row>
    <row r="2694" spans="4:4" x14ac:dyDescent="0.4">
      <c r="D2694"/>
    </row>
    <row r="2695" spans="4:4" x14ac:dyDescent="0.4">
      <c r="D2695"/>
    </row>
    <row r="2696" spans="4:4" x14ac:dyDescent="0.4">
      <c r="D2696"/>
    </row>
    <row r="2697" spans="4:4" x14ac:dyDescent="0.4">
      <c r="D2697"/>
    </row>
    <row r="2698" spans="4:4" x14ac:dyDescent="0.4">
      <c r="D2698"/>
    </row>
    <row r="2699" spans="4:4" x14ac:dyDescent="0.4">
      <c r="D2699"/>
    </row>
    <row r="2700" spans="4:4" x14ac:dyDescent="0.4">
      <c r="D2700"/>
    </row>
    <row r="2701" spans="4:4" x14ac:dyDescent="0.4">
      <c r="D2701"/>
    </row>
    <row r="2702" spans="4:4" x14ac:dyDescent="0.4">
      <c r="D2702"/>
    </row>
    <row r="2703" spans="4:4" x14ac:dyDescent="0.4">
      <c r="D2703"/>
    </row>
    <row r="2704" spans="4:4" x14ac:dyDescent="0.4">
      <c r="D2704"/>
    </row>
    <row r="2705" spans="4:4" x14ac:dyDescent="0.4">
      <c r="D2705"/>
    </row>
    <row r="2706" spans="4:4" x14ac:dyDescent="0.4">
      <c r="D2706"/>
    </row>
    <row r="2707" spans="4:4" x14ac:dyDescent="0.4">
      <c r="D2707"/>
    </row>
    <row r="2708" spans="4:4" x14ac:dyDescent="0.4">
      <c r="D2708"/>
    </row>
    <row r="2709" spans="4:4" x14ac:dyDescent="0.4">
      <c r="D2709"/>
    </row>
    <row r="2710" spans="4:4" x14ac:dyDescent="0.4">
      <c r="D2710"/>
    </row>
    <row r="2711" spans="4:4" x14ac:dyDescent="0.4">
      <c r="D2711"/>
    </row>
    <row r="2712" spans="4:4" x14ac:dyDescent="0.4">
      <c r="D2712"/>
    </row>
    <row r="2713" spans="4:4" x14ac:dyDescent="0.4">
      <c r="D2713"/>
    </row>
    <row r="2714" spans="4:4" x14ac:dyDescent="0.4">
      <c r="D2714"/>
    </row>
    <row r="2715" spans="4:4" x14ac:dyDescent="0.4">
      <c r="D2715"/>
    </row>
    <row r="2716" spans="4:4" x14ac:dyDescent="0.4">
      <c r="D2716"/>
    </row>
    <row r="2717" spans="4:4" x14ac:dyDescent="0.4">
      <c r="D2717"/>
    </row>
    <row r="2718" spans="4:4" x14ac:dyDescent="0.4">
      <c r="D2718"/>
    </row>
    <row r="2719" spans="4:4" x14ac:dyDescent="0.4">
      <c r="D2719"/>
    </row>
    <row r="2720" spans="4:4" x14ac:dyDescent="0.4">
      <c r="D2720"/>
    </row>
    <row r="2721" spans="4:4" x14ac:dyDescent="0.4">
      <c r="D2721"/>
    </row>
    <row r="2722" spans="4:4" x14ac:dyDescent="0.4">
      <c r="D2722"/>
    </row>
    <row r="2723" spans="4:4" x14ac:dyDescent="0.4">
      <c r="D2723"/>
    </row>
    <row r="2724" spans="4:4" x14ac:dyDescent="0.4">
      <c r="D2724"/>
    </row>
    <row r="2725" spans="4:4" x14ac:dyDescent="0.4">
      <c r="D2725"/>
    </row>
    <row r="2726" spans="4:4" x14ac:dyDescent="0.4">
      <c r="D2726"/>
    </row>
    <row r="2727" spans="4:4" x14ac:dyDescent="0.4">
      <c r="D2727"/>
    </row>
    <row r="2728" spans="4:4" x14ac:dyDescent="0.4">
      <c r="D2728"/>
    </row>
    <row r="2729" spans="4:4" x14ac:dyDescent="0.4">
      <c r="D2729"/>
    </row>
    <row r="2730" spans="4:4" x14ac:dyDescent="0.4">
      <c r="D2730"/>
    </row>
    <row r="2731" spans="4:4" x14ac:dyDescent="0.4">
      <c r="D2731"/>
    </row>
    <row r="2732" spans="4:4" x14ac:dyDescent="0.4">
      <c r="D2732"/>
    </row>
    <row r="2733" spans="4:4" x14ac:dyDescent="0.4">
      <c r="D2733"/>
    </row>
    <row r="2734" spans="4:4" x14ac:dyDescent="0.4">
      <c r="D2734"/>
    </row>
    <row r="2735" spans="4:4" x14ac:dyDescent="0.4">
      <c r="D2735"/>
    </row>
    <row r="2736" spans="4:4" x14ac:dyDescent="0.4">
      <c r="D2736"/>
    </row>
    <row r="2737" spans="4:4" x14ac:dyDescent="0.4">
      <c r="D2737"/>
    </row>
    <row r="2738" spans="4:4" x14ac:dyDescent="0.4">
      <c r="D2738"/>
    </row>
    <row r="2739" spans="4:4" x14ac:dyDescent="0.4">
      <c r="D2739"/>
    </row>
    <row r="2740" spans="4:4" x14ac:dyDescent="0.4">
      <c r="D2740"/>
    </row>
    <row r="2741" spans="4:4" x14ac:dyDescent="0.4">
      <c r="D2741"/>
    </row>
    <row r="2742" spans="4:4" x14ac:dyDescent="0.4">
      <c r="D2742"/>
    </row>
    <row r="2743" spans="4:4" x14ac:dyDescent="0.4">
      <c r="D2743"/>
    </row>
    <row r="2744" spans="4:4" x14ac:dyDescent="0.4">
      <c r="D2744"/>
    </row>
    <row r="2745" spans="4:4" x14ac:dyDescent="0.4">
      <c r="D2745"/>
    </row>
    <row r="2746" spans="4:4" x14ac:dyDescent="0.4">
      <c r="D2746"/>
    </row>
    <row r="2747" spans="4:4" x14ac:dyDescent="0.4">
      <c r="D2747"/>
    </row>
    <row r="2748" spans="4:4" x14ac:dyDescent="0.4">
      <c r="D2748"/>
    </row>
    <row r="2749" spans="4:4" x14ac:dyDescent="0.4">
      <c r="D2749"/>
    </row>
    <row r="2750" spans="4:4" x14ac:dyDescent="0.4">
      <c r="D2750"/>
    </row>
    <row r="2751" spans="4:4" x14ac:dyDescent="0.4">
      <c r="D2751"/>
    </row>
    <row r="2752" spans="4:4" x14ac:dyDescent="0.4">
      <c r="D2752"/>
    </row>
    <row r="2753" spans="4:4" x14ac:dyDescent="0.4">
      <c r="D2753"/>
    </row>
    <row r="2754" spans="4:4" x14ac:dyDescent="0.4">
      <c r="D2754"/>
    </row>
    <row r="2755" spans="4:4" x14ac:dyDescent="0.4">
      <c r="D2755"/>
    </row>
    <row r="2756" spans="4:4" x14ac:dyDescent="0.4">
      <c r="D2756"/>
    </row>
    <row r="2757" spans="4:4" x14ac:dyDescent="0.4">
      <c r="D2757"/>
    </row>
    <row r="2758" spans="4:4" x14ac:dyDescent="0.4">
      <c r="D2758"/>
    </row>
    <row r="2759" spans="4:4" x14ac:dyDescent="0.4">
      <c r="D2759"/>
    </row>
    <row r="2760" spans="4:4" x14ac:dyDescent="0.4">
      <c r="D2760"/>
    </row>
    <row r="2761" spans="4:4" x14ac:dyDescent="0.4">
      <c r="D2761"/>
    </row>
    <row r="2762" spans="4:4" x14ac:dyDescent="0.4">
      <c r="D2762"/>
    </row>
    <row r="2763" spans="4:4" x14ac:dyDescent="0.4">
      <c r="D2763"/>
    </row>
    <row r="2764" spans="4:4" x14ac:dyDescent="0.4">
      <c r="D2764"/>
    </row>
    <row r="2765" spans="4:4" x14ac:dyDescent="0.4">
      <c r="D2765"/>
    </row>
    <row r="2766" spans="4:4" x14ac:dyDescent="0.4">
      <c r="D2766"/>
    </row>
    <row r="2767" spans="4:4" x14ac:dyDescent="0.4">
      <c r="D2767"/>
    </row>
    <row r="2768" spans="4:4" x14ac:dyDescent="0.4">
      <c r="D2768"/>
    </row>
    <row r="2769" spans="4:4" x14ac:dyDescent="0.4">
      <c r="D2769"/>
    </row>
    <row r="2770" spans="4:4" x14ac:dyDescent="0.4">
      <c r="D2770"/>
    </row>
    <row r="2771" spans="4:4" x14ac:dyDescent="0.4">
      <c r="D2771"/>
    </row>
    <row r="2772" spans="4:4" x14ac:dyDescent="0.4">
      <c r="D2772"/>
    </row>
    <row r="2773" spans="4:4" x14ac:dyDescent="0.4">
      <c r="D2773"/>
    </row>
    <row r="2774" spans="4:4" x14ac:dyDescent="0.4">
      <c r="D2774"/>
    </row>
    <row r="2775" spans="4:4" x14ac:dyDescent="0.4">
      <c r="D2775"/>
    </row>
    <row r="2776" spans="4:4" x14ac:dyDescent="0.4">
      <c r="D2776"/>
    </row>
    <row r="2777" spans="4:4" x14ac:dyDescent="0.4">
      <c r="D2777"/>
    </row>
    <row r="2778" spans="4:4" x14ac:dyDescent="0.4">
      <c r="D2778"/>
    </row>
    <row r="2779" spans="4:4" x14ac:dyDescent="0.4">
      <c r="D2779"/>
    </row>
    <row r="2780" spans="4:4" x14ac:dyDescent="0.4">
      <c r="D2780"/>
    </row>
    <row r="2781" spans="4:4" x14ac:dyDescent="0.4">
      <c r="D2781"/>
    </row>
    <row r="2782" spans="4:4" x14ac:dyDescent="0.4">
      <c r="D2782"/>
    </row>
    <row r="2783" spans="4:4" x14ac:dyDescent="0.4">
      <c r="D2783"/>
    </row>
    <row r="2784" spans="4:4" x14ac:dyDescent="0.4">
      <c r="D2784"/>
    </row>
    <row r="2785" spans="4:4" x14ac:dyDescent="0.4">
      <c r="D2785"/>
    </row>
    <row r="2786" spans="4:4" x14ac:dyDescent="0.4">
      <c r="D2786"/>
    </row>
    <row r="2787" spans="4:4" x14ac:dyDescent="0.4">
      <c r="D2787"/>
    </row>
    <row r="2788" spans="4:4" x14ac:dyDescent="0.4">
      <c r="D2788"/>
    </row>
    <row r="2789" spans="4:4" x14ac:dyDescent="0.4">
      <c r="D2789"/>
    </row>
    <row r="2790" spans="4:4" x14ac:dyDescent="0.4">
      <c r="D2790"/>
    </row>
    <row r="2791" spans="4:4" x14ac:dyDescent="0.4">
      <c r="D2791"/>
    </row>
    <row r="2792" spans="4:4" x14ac:dyDescent="0.4">
      <c r="D2792"/>
    </row>
    <row r="2793" spans="4:4" x14ac:dyDescent="0.4">
      <c r="D2793"/>
    </row>
    <row r="2794" spans="4:4" x14ac:dyDescent="0.4">
      <c r="D2794"/>
    </row>
    <row r="2795" spans="4:4" x14ac:dyDescent="0.4">
      <c r="D2795"/>
    </row>
    <row r="2796" spans="4:4" x14ac:dyDescent="0.4">
      <c r="D2796"/>
    </row>
    <row r="2797" spans="4:4" x14ac:dyDescent="0.4">
      <c r="D2797"/>
    </row>
    <row r="2798" spans="4:4" x14ac:dyDescent="0.4">
      <c r="D2798"/>
    </row>
    <row r="2799" spans="4:4" x14ac:dyDescent="0.4">
      <c r="D2799"/>
    </row>
    <row r="2800" spans="4:4" x14ac:dyDescent="0.4">
      <c r="D2800"/>
    </row>
    <row r="2801" spans="4:4" x14ac:dyDescent="0.4">
      <c r="D2801"/>
    </row>
    <row r="2802" spans="4:4" x14ac:dyDescent="0.4">
      <c r="D2802"/>
    </row>
    <row r="2803" spans="4:4" x14ac:dyDescent="0.4">
      <c r="D2803"/>
    </row>
    <row r="2804" spans="4:4" x14ac:dyDescent="0.4">
      <c r="D2804"/>
    </row>
    <row r="2805" spans="4:4" x14ac:dyDescent="0.4">
      <c r="D2805"/>
    </row>
    <row r="2806" spans="4:4" x14ac:dyDescent="0.4">
      <c r="D2806"/>
    </row>
    <row r="2807" spans="4:4" x14ac:dyDescent="0.4">
      <c r="D2807"/>
    </row>
    <row r="2808" spans="4:4" x14ac:dyDescent="0.4">
      <c r="D2808"/>
    </row>
    <row r="2809" spans="4:4" x14ac:dyDescent="0.4">
      <c r="D2809"/>
    </row>
    <row r="2810" spans="4:4" x14ac:dyDescent="0.4">
      <c r="D2810"/>
    </row>
    <row r="2811" spans="4:4" x14ac:dyDescent="0.4">
      <c r="D2811"/>
    </row>
    <row r="2812" spans="4:4" x14ac:dyDescent="0.4">
      <c r="D2812"/>
    </row>
    <row r="2813" spans="4:4" x14ac:dyDescent="0.4">
      <c r="D2813"/>
    </row>
    <row r="2814" spans="4:4" x14ac:dyDescent="0.4">
      <c r="D2814"/>
    </row>
    <row r="2815" spans="4:4" x14ac:dyDescent="0.4">
      <c r="D2815"/>
    </row>
    <row r="2816" spans="4:4" x14ac:dyDescent="0.4">
      <c r="D2816"/>
    </row>
    <row r="2817" spans="4:4" x14ac:dyDescent="0.4">
      <c r="D2817"/>
    </row>
    <row r="2818" spans="4:4" x14ac:dyDescent="0.4">
      <c r="D2818"/>
    </row>
    <row r="2819" spans="4:4" x14ac:dyDescent="0.4">
      <c r="D2819"/>
    </row>
    <row r="2820" spans="4:4" x14ac:dyDescent="0.4">
      <c r="D2820"/>
    </row>
    <row r="2821" spans="4:4" x14ac:dyDescent="0.4">
      <c r="D2821"/>
    </row>
    <row r="2822" spans="4:4" x14ac:dyDescent="0.4">
      <c r="D2822"/>
    </row>
    <row r="2823" spans="4:4" x14ac:dyDescent="0.4">
      <c r="D2823"/>
    </row>
    <row r="2824" spans="4:4" x14ac:dyDescent="0.4">
      <c r="D2824"/>
    </row>
    <row r="2825" spans="4:4" x14ac:dyDescent="0.4">
      <c r="D2825"/>
    </row>
    <row r="2826" spans="4:4" x14ac:dyDescent="0.4">
      <c r="D2826"/>
    </row>
    <row r="2827" spans="4:4" x14ac:dyDescent="0.4">
      <c r="D2827"/>
    </row>
    <row r="2828" spans="4:4" x14ac:dyDescent="0.4">
      <c r="D2828"/>
    </row>
    <row r="2829" spans="4:4" x14ac:dyDescent="0.4">
      <c r="D2829"/>
    </row>
    <row r="2830" spans="4:4" x14ac:dyDescent="0.4">
      <c r="D2830"/>
    </row>
    <row r="2831" spans="4:4" x14ac:dyDescent="0.4">
      <c r="D2831"/>
    </row>
    <row r="2832" spans="4:4" x14ac:dyDescent="0.4">
      <c r="D2832"/>
    </row>
    <row r="2833" spans="4:4" x14ac:dyDescent="0.4">
      <c r="D2833"/>
    </row>
    <row r="2834" spans="4:4" x14ac:dyDescent="0.4">
      <c r="D2834"/>
    </row>
    <row r="2835" spans="4:4" x14ac:dyDescent="0.4">
      <c r="D2835"/>
    </row>
    <row r="2836" spans="4:4" x14ac:dyDescent="0.4">
      <c r="D2836"/>
    </row>
    <row r="2837" spans="4:4" x14ac:dyDescent="0.4">
      <c r="D2837"/>
    </row>
    <row r="2838" spans="4:4" x14ac:dyDescent="0.4">
      <c r="D2838"/>
    </row>
    <row r="2839" spans="4:4" x14ac:dyDescent="0.4">
      <c r="D2839"/>
    </row>
    <row r="2840" spans="4:4" x14ac:dyDescent="0.4">
      <c r="D2840"/>
    </row>
    <row r="2841" spans="4:4" x14ac:dyDescent="0.4">
      <c r="D2841"/>
    </row>
    <row r="2842" spans="4:4" x14ac:dyDescent="0.4">
      <c r="D2842"/>
    </row>
    <row r="2843" spans="4:4" x14ac:dyDescent="0.4">
      <c r="D2843"/>
    </row>
    <row r="2844" spans="4:4" x14ac:dyDescent="0.4">
      <c r="D2844"/>
    </row>
    <row r="2845" spans="4:4" x14ac:dyDescent="0.4">
      <c r="D2845"/>
    </row>
    <row r="2846" spans="4:4" x14ac:dyDescent="0.4">
      <c r="D2846"/>
    </row>
    <row r="2847" spans="4:4" x14ac:dyDescent="0.4">
      <c r="D2847"/>
    </row>
    <row r="2848" spans="4:4" x14ac:dyDescent="0.4">
      <c r="D2848"/>
    </row>
    <row r="2849" spans="4:4" x14ac:dyDescent="0.4">
      <c r="D2849"/>
    </row>
    <row r="2850" spans="4:4" x14ac:dyDescent="0.4">
      <c r="D2850"/>
    </row>
    <row r="2851" spans="4:4" x14ac:dyDescent="0.4">
      <c r="D2851"/>
    </row>
    <row r="2852" spans="4:4" x14ac:dyDescent="0.4">
      <c r="D2852"/>
    </row>
    <row r="2853" spans="4:4" x14ac:dyDescent="0.4">
      <c r="D2853"/>
    </row>
    <row r="2854" spans="4:4" x14ac:dyDescent="0.4">
      <c r="D2854"/>
    </row>
    <row r="2855" spans="4:4" x14ac:dyDescent="0.4">
      <c r="D2855"/>
    </row>
    <row r="2856" spans="4:4" x14ac:dyDescent="0.4">
      <c r="D2856"/>
    </row>
    <row r="2857" spans="4:4" x14ac:dyDescent="0.4">
      <c r="D2857"/>
    </row>
    <row r="2858" spans="4:4" x14ac:dyDescent="0.4">
      <c r="D2858"/>
    </row>
    <row r="2859" spans="4:4" x14ac:dyDescent="0.4">
      <c r="D2859"/>
    </row>
    <row r="2860" spans="4:4" x14ac:dyDescent="0.4">
      <c r="D2860"/>
    </row>
    <row r="2861" spans="4:4" x14ac:dyDescent="0.4">
      <c r="D2861"/>
    </row>
    <row r="2862" spans="4:4" x14ac:dyDescent="0.4">
      <c r="D2862"/>
    </row>
    <row r="2863" spans="4:4" x14ac:dyDescent="0.4">
      <c r="D2863"/>
    </row>
    <row r="2864" spans="4:4" x14ac:dyDescent="0.4">
      <c r="D2864"/>
    </row>
    <row r="2865" spans="4:4" x14ac:dyDescent="0.4">
      <c r="D2865"/>
    </row>
    <row r="2866" spans="4:4" x14ac:dyDescent="0.4">
      <c r="D2866"/>
    </row>
    <row r="2867" spans="4:4" x14ac:dyDescent="0.4">
      <c r="D2867"/>
    </row>
    <row r="2868" spans="4:4" x14ac:dyDescent="0.4">
      <c r="D2868"/>
    </row>
    <row r="2869" spans="4:4" x14ac:dyDescent="0.4">
      <c r="D2869"/>
    </row>
    <row r="2870" spans="4:4" x14ac:dyDescent="0.4">
      <c r="D2870"/>
    </row>
    <row r="2871" spans="4:4" x14ac:dyDescent="0.4">
      <c r="D2871"/>
    </row>
    <row r="2872" spans="4:4" x14ac:dyDescent="0.4">
      <c r="D2872"/>
    </row>
    <row r="2873" spans="4:4" x14ac:dyDescent="0.4">
      <c r="D2873"/>
    </row>
    <row r="2874" spans="4:4" x14ac:dyDescent="0.4">
      <c r="D2874"/>
    </row>
    <row r="2875" spans="4:4" x14ac:dyDescent="0.4">
      <c r="D2875"/>
    </row>
    <row r="2876" spans="4:4" x14ac:dyDescent="0.4">
      <c r="D2876"/>
    </row>
    <row r="2877" spans="4:4" x14ac:dyDescent="0.4">
      <c r="D2877"/>
    </row>
    <row r="2878" spans="4:4" x14ac:dyDescent="0.4">
      <c r="D2878"/>
    </row>
    <row r="2879" spans="4:4" x14ac:dyDescent="0.4">
      <c r="D2879"/>
    </row>
    <row r="2880" spans="4:4" x14ac:dyDescent="0.4">
      <c r="D2880"/>
    </row>
    <row r="2881" spans="4:4" x14ac:dyDescent="0.4">
      <c r="D2881"/>
    </row>
    <row r="2882" spans="4:4" x14ac:dyDescent="0.4">
      <c r="D2882"/>
    </row>
    <row r="2883" spans="4:4" x14ac:dyDescent="0.4">
      <c r="D2883"/>
    </row>
    <row r="2884" spans="4:4" x14ac:dyDescent="0.4">
      <c r="D2884"/>
    </row>
    <row r="2885" spans="4:4" x14ac:dyDescent="0.4">
      <c r="D2885"/>
    </row>
    <row r="2886" spans="4:4" x14ac:dyDescent="0.4">
      <c r="D2886"/>
    </row>
    <row r="2887" spans="4:4" x14ac:dyDescent="0.4">
      <c r="D2887"/>
    </row>
    <row r="2888" spans="4:4" x14ac:dyDescent="0.4">
      <c r="D2888"/>
    </row>
    <row r="2889" spans="4:4" x14ac:dyDescent="0.4">
      <c r="D2889"/>
    </row>
    <row r="2890" spans="4:4" x14ac:dyDescent="0.4">
      <c r="D2890"/>
    </row>
    <row r="2891" spans="4:4" x14ac:dyDescent="0.4">
      <c r="D2891"/>
    </row>
    <row r="2892" spans="4:4" x14ac:dyDescent="0.4">
      <c r="D2892"/>
    </row>
    <row r="2893" spans="4:4" x14ac:dyDescent="0.4">
      <c r="D2893"/>
    </row>
    <row r="2894" spans="4:4" x14ac:dyDescent="0.4">
      <c r="D2894"/>
    </row>
    <row r="2895" spans="4:4" x14ac:dyDescent="0.4">
      <c r="D2895"/>
    </row>
    <row r="2896" spans="4:4" x14ac:dyDescent="0.4">
      <c r="D2896"/>
    </row>
    <row r="2897" spans="4:4" x14ac:dyDescent="0.4">
      <c r="D2897"/>
    </row>
    <row r="2898" spans="4:4" x14ac:dyDescent="0.4">
      <c r="D2898"/>
    </row>
    <row r="2899" spans="4:4" x14ac:dyDescent="0.4">
      <c r="D2899"/>
    </row>
    <row r="2900" spans="4:4" x14ac:dyDescent="0.4">
      <c r="D2900"/>
    </row>
    <row r="2901" spans="4:4" x14ac:dyDescent="0.4">
      <c r="D2901"/>
    </row>
    <row r="2902" spans="4:4" x14ac:dyDescent="0.4">
      <c r="D2902"/>
    </row>
    <row r="2903" spans="4:4" x14ac:dyDescent="0.4">
      <c r="D2903"/>
    </row>
    <row r="2904" spans="4:4" x14ac:dyDescent="0.4">
      <c r="D2904"/>
    </row>
    <row r="2905" spans="4:4" x14ac:dyDescent="0.4">
      <c r="D2905"/>
    </row>
    <row r="2906" spans="4:4" x14ac:dyDescent="0.4">
      <c r="D2906"/>
    </row>
    <row r="2907" spans="4:4" x14ac:dyDescent="0.4">
      <c r="D2907"/>
    </row>
    <row r="2908" spans="4:4" x14ac:dyDescent="0.4">
      <c r="D2908"/>
    </row>
    <row r="2909" spans="4:4" x14ac:dyDescent="0.4">
      <c r="D2909"/>
    </row>
    <row r="2910" spans="4:4" x14ac:dyDescent="0.4">
      <c r="D2910"/>
    </row>
    <row r="2911" spans="4:4" x14ac:dyDescent="0.4">
      <c r="D2911"/>
    </row>
    <row r="2912" spans="4:4" x14ac:dyDescent="0.4">
      <c r="D2912"/>
    </row>
    <row r="2913" spans="4:4" x14ac:dyDescent="0.4">
      <c r="D2913"/>
    </row>
    <row r="2914" spans="4:4" x14ac:dyDescent="0.4">
      <c r="D2914"/>
    </row>
    <row r="2915" spans="4:4" x14ac:dyDescent="0.4">
      <c r="D2915"/>
    </row>
    <row r="2916" spans="4:4" x14ac:dyDescent="0.4">
      <c r="D2916"/>
    </row>
    <row r="2917" spans="4:4" x14ac:dyDescent="0.4">
      <c r="D2917"/>
    </row>
    <row r="2918" spans="4:4" x14ac:dyDescent="0.4">
      <c r="D2918"/>
    </row>
    <row r="2919" spans="4:4" x14ac:dyDescent="0.4">
      <c r="D2919"/>
    </row>
    <row r="2920" spans="4:4" x14ac:dyDescent="0.4">
      <c r="D2920"/>
    </row>
    <row r="2921" spans="4:4" x14ac:dyDescent="0.4">
      <c r="D2921"/>
    </row>
    <row r="2922" spans="4:4" x14ac:dyDescent="0.4">
      <c r="D2922"/>
    </row>
    <row r="2923" spans="4:4" x14ac:dyDescent="0.4">
      <c r="D2923"/>
    </row>
    <row r="2924" spans="4:4" x14ac:dyDescent="0.4">
      <c r="D2924"/>
    </row>
    <row r="2925" spans="4:4" x14ac:dyDescent="0.4">
      <c r="D2925"/>
    </row>
    <row r="2926" spans="4:4" x14ac:dyDescent="0.4">
      <c r="D2926"/>
    </row>
    <row r="2927" spans="4:4" x14ac:dyDescent="0.4">
      <c r="D2927"/>
    </row>
    <row r="2928" spans="4:4" x14ac:dyDescent="0.4">
      <c r="D2928"/>
    </row>
    <row r="2929" spans="4:4" x14ac:dyDescent="0.4">
      <c r="D2929"/>
    </row>
    <row r="2930" spans="4:4" x14ac:dyDescent="0.4">
      <c r="D2930"/>
    </row>
    <row r="2931" spans="4:4" x14ac:dyDescent="0.4">
      <c r="D2931"/>
    </row>
    <row r="2932" spans="4:4" x14ac:dyDescent="0.4">
      <c r="D2932"/>
    </row>
    <row r="2933" spans="4:4" x14ac:dyDescent="0.4">
      <c r="D2933"/>
    </row>
    <row r="2934" spans="4:4" x14ac:dyDescent="0.4">
      <c r="D2934"/>
    </row>
    <row r="2935" spans="4:4" x14ac:dyDescent="0.4">
      <c r="D2935"/>
    </row>
    <row r="2936" spans="4:4" x14ac:dyDescent="0.4">
      <c r="D2936"/>
    </row>
    <row r="2937" spans="4:4" x14ac:dyDescent="0.4">
      <c r="D2937"/>
    </row>
    <row r="2938" spans="4:4" x14ac:dyDescent="0.4">
      <c r="D2938"/>
    </row>
    <row r="2939" spans="4:4" x14ac:dyDescent="0.4">
      <c r="D2939"/>
    </row>
    <row r="2940" spans="4:4" x14ac:dyDescent="0.4">
      <c r="D2940"/>
    </row>
    <row r="2941" spans="4:4" x14ac:dyDescent="0.4">
      <c r="D2941"/>
    </row>
    <row r="2942" spans="4:4" x14ac:dyDescent="0.4">
      <c r="D2942"/>
    </row>
    <row r="2943" spans="4:4" x14ac:dyDescent="0.4">
      <c r="D2943"/>
    </row>
    <row r="2944" spans="4:4" x14ac:dyDescent="0.4">
      <c r="D2944"/>
    </row>
    <row r="2945" spans="4:4" x14ac:dyDescent="0.4">
      <c r="D2945"/>
    </row>
    <row r="2946" spans="4:4" x14ac:dyDescent="0.4">
      <c r="D2946"/>
    </row>
    <row r="2947" spans="4:4" x14ac:dyDescent="0.4">
      <c r="D2947"/>
    </row>
    <row r="2948" spans="4:4" x14ac:dyDescent="0.4">
      <c r="D2948"/>
    </row>
    <row r="2949" spans="4:4" x14ac:dyDescent="0.4">
      <c r="D2949"/>
    </row>
    <row r="2950" spans="4:4" x14ac:dyDescent="0.4">
      <c r="D2950"/>
    </row>
    <row r="2951" spans="4:4" x14ac:dyDescent="0.4">
      <c r="D2951"/>
    </row>
    <row r="2952" spans="4:4" x14ac:dyDescent="0.4">
      <c r="D2952"/>
    </row>
    <row r="2953" spans="4:4" x14ac:dyDescent="0.4">
      <c r="D2953"/>
    </row>
    <row r="2954" spans="4:4" x14ac:dyDescent="0.4">
      <c r="D2954"/>
    </row>
    <row r="2955" spans="4:4" x14ac:dyDescent="0.4">
      <c r="D2955"/>
    </row>
    <row r="2956" spans="4:4" x14ac:dyDescent="0.4">
      <c r="D2956"/>
    </row>
    <row r="2957" spans="4:4" x14ac:dyDescent="0.4">
      <c r="D2957"/>
    </row>
    <row r="2958" spans="4:4" x14ac:dyDescent="0.4">
      <c r="D2958"/>
    </row>
    <row r="2959" spans="4:4" x14ac:dyDescent="0.4">
      <c r="D2959"/>
    </row>
    <row r="2960" spans="4:4" x14ac:dyDescent="0.4">
      <c r="D2960"/>
    </row>
    <row r="2961" spans="4:4" x14ac:dyDescent="0.4">
      <c r="D2961"/>
    </row>
    <row r="2962" spans="4:4" x14ac:dyDescent="0.4">
      <c r="D2962"/>
    </row>
    <row r="2963" spans="4:4" x14ac:dyDescent="0.4">
      <c r="D2963"/>
    </row>
    <row r="2964" spans="4:4" x14ac:dyDescent="0.4">
      <c r="D2964"/>
    </row>
    <row r="2965" spans="4:4" x14ac:dyDescent="0.4">
      <c r="D2965"/>
    </row>
    <row r="2966" spans="4:4" x14ac:dyDescent="0.4">
      <c r="D2966"/>
    </row>
    <row r="2967" spans="4:4" x14ac:dyDescent="0.4">
      <c r="D2967"/>
    </row>
    <row r="2968" spans="4:4" x14ac:dyDescent="0.4">
      <c r="D2968"/>
    </row>
    <row r="2969" spans="4:4" x14ac:dyDescent="0.4">
      <c r="D2969"/>
    </row>
    <row r="2970" spans="4:4" x14ac:dyDescent="0.4">
      <c r="D2970"/>
    </row>
    <row r="2971" spans="4:4" x14ac:dyDescent="0.4">
      <c r="D2971"/>
    </row>
    <row r="2972" spans="4:4" x14ac:dyDescent="0.4">
      <c r="D2972"/>
    </row>
    <row r="2973" spans="4:4" x14ac:dyDescent="0.4">
      <c r="D2973"/>
    </row>
    <row r="2974" spans="4:4" x14ac:dyDescent="0.4">
      <c r="D2974"/>
    </row>
    <row r="2975" spans="4:4" x14ac:dyDescent="0.4">
      <c r="D2975"/>
    </row>
    <row r="2976" spans="4:4" x14ac:dyDescent="0.4">
      <c r="D2976"/>
    </row>
    <row r="2977" spans="4:4" x14ac:dyDescent="0.4">
      <c r="D2977"/>
    </row>
    <row r="2978" spans="4:4" x14ac:dyDescent="0.4">
      <c r="D2978"/>
    </row>
    <row r="2979" spans="4:4" x14ac:dyDescent="0.4">
      <c r="D2979"/>
    </row>
    <row r="2980" spans="4:4" x14ac:dyDescent="0.4">
      <c r="D2980"/>
    </row>
    <row r="2981" spans="4:4" x14ac:dyDescent="0.4">
      <c r="D2981"/>
    </row>
    <row r="2982" spans="4:4" x14ac:dyDescent="0.4">
      <c r="D2982"/>
    </row>
    <row r="2983" spans="4:4" x14ac:dyDescent="0.4">
      <c r="D2983"/>
    </row>
    <row r="2984" spans="4:4" x14ac:dyDescent="0.4">
      <c r="D2984"/>
    </row>
    <row r="2985" spans="4:4" x14ac:dyDescent="0.4">
      <c r="D2985"/>
    </row>
    <row r="2986" spans="4:4" x14ac:dyDescent="0.4">
      <c r="D2986"/>
    </row>
    <row r="2987" spans="4:4" x14ac:dyDescent="0.4">
      <c r="D2987"/>
    </row>
    <row r="2988" spans="4:4" x14ac:dyDescent="0.4">
      <c r="D2988"/>
    </row>
    <row r="2989" spans="4:4" x14ac:dyDescent="0.4">
      <c r="D2989"/>
    </row>
    <row r="2990" spans="4:4" x14ac:dyDescent="0.4">
      <c r="D2990"/>
    </row>
    <row r="2991" spans="4:4" x14ac:dyDescent="0.4">
      <c r="D2991"/>
    </row>
    <row r="2992" spans="4:4" x14ac:dyDescent="0.4">
      <c r="D2992"/>
    </row>
    <row r="2993" spans="4:4" x14ac:dyDescent="0.4">
      <c r="D2993"/>
    </row>
    <row r="2994" spans="4:4" x14ac:dyDescent="0.4">
      <c r="D2994"/>
    </row>
    <row r="2995" spans="4:4" x14ac:dyDescent="0.4">
      <c r="D2995"/>
    </row>
    <row r="2996" spans="4:4" x14ac:dyDescent="0.4">
      <c r="D2996"/>
    </row>
    <row r="2997" spans="4:4" x14ac:dyDescent="0.4">
      <c r="D2997"/>
    </row>
    <row r="2998" spans="4:4" x14ac:dyDescent="0.4">
      <c r="D2998"/>
    </row>
    <row r="2999" spans="4:4" x14ac:dyDescent="0.4">
      <c r="D2999"/>
    </row>
    <row r="3000" spans="4:4" x14ac:dyDescent="0.4">
      <c r="D3000"/>
    </row>
    <row r="3001" spans="4:4" x14ac:dyDescent="0.4">
      <c r="D3001"/>
    </row>
    <row r="3002" spans="4:4" x14ac:dyDescent="0.4">
      <c r="D3002"/>
    </row>
    <row r="3003" spans="4:4" x14ac:dyDescent="0.4">
      <c r="D3003"/>
    </row>
    <row r="3004" spans="4:4" x14ac:dyDescent="0.4">
      <c r="D3004"/>
    </row>
    <row r="3005" spans="4:4" x14ac:dyDescent="0.4">
      <c r="D3005"/>
    </row>
    <row r="3006" spans="4:4" x14ac:dyDescent="0.4">
      <c r="D3006"/>
    </row>
    <row r="3007" spans="4:4" x14ac:dyDescent="0.4">
      <c r="D3007"/>
    </row>
    <row r="3008" spans="4:4" x14ac:dyDescent="0.4">
      <c r="D3008"/>
    </row>
    <row r="3009" spans="4:4" x14ac:dyDescent="0.4">
      <c r="D3009"/>
    </row>
    <row r="3010" spans="4:4" x14ac:dyDescent="0.4">
      <c r="D3010"/>
    </row>
    <row r="3011" spans="4:4" x14ac:dyDescent="0.4">
      <c r="D3011"/>
    </row>
    <row r="3012" spans="4:4" x14ac:dyDescent="0.4">
      <c r="D3012"/>
    </row>
    <row r="3013" spans="4:4" x14ac:dyDescent="0.4">
      <c r="D3013"/>
    </row>
    <row r="3014" spans="4:4" x14ac:dyDescent="0.4">
      <c r="D3014"/>
    </row>
    <row r="3015" spans="4:4" x14ac:dyDescent="0.4">
      <c r="D3015"/>
    </row>
    <row r="3016" spans="4:4" x14ac:dyDescent="0.4">
      <c r="D3016"/>
    </row>
    <row r="3017" spans="4:4" x14ac:dyDescent="0.4">
      <c r="D3017"/>
    </row>
    <row r="3018" spans="4:4" x14ac:dyDescent="0.4">
      <c r="D3018"/>
    </row>
    <row r="3019" spans="4:4" x14ac:dyDescent="0.4">
      <c r="D3019"/>
    </row>
    <row r="3020" spans="4:4" x14ac:dyDescent="0.4">
      <c r="D3020"/>
    </row>
    <row r="3021" spans="4:4" x14ac:dyDescent="0.4">
      <c r="D3021"/>
    </row>
    <row r="3022" spans="4:4" x14ac:dyDescent="0.4">
      <c r="D3022"/>
    </row>
    <row r="3023" spans="4:4" x14ac:dyDescent="0.4">
      <c r="D3023"/>
    </row>
    <row r="3024" spans="4:4" x14ac:dyDescent="0.4">
      <c r="D3024"/>
    </row>
    <row r="3025" spans="4:4" x14ac:dyDescent="0.4">
      <c r="D3025"/>
    </row>
    <row r="3026" spans="4:4" x14ac:dyDescent="0.4">
      <c r="D3026"/>
    </row>
    <row r="3027" spans="4:4" x14ac:dyDescent="0.4">
      <c r="D3027"/>
    </row>
    <row r="3028" spans="4:4" x14ac:dyDescent="0.4">
      <c r="D3028"/>
    </row>
    <row r="3029" spans="4:4" x14ac:dyDescent="0.4">
      <c r="D3029"/>
    </row>
    <row r="3030" spans="4:4" x14ac:dyDescent="0.4">
      <c r="D3030"/>
    </row>
    <row r="3031" spans="4:4" x14ac:dyDescent="0.4">
      <c r="D3031"/>
    </row>
    <row r="3032" spans="4:4" x14ac:dyDescent="0.4">
      <c r="D3032"/>
    </row>
    <row r="3033" spans="4:4" x14ac:dyDescent="0.4">
      <c r="D3033"/>
    </row>
    <row r="3034" spans="4:4" x14ac:dyDescent="0.4">
      <c r="D3034"/>
    </row>
    <row r="3035" spans="4:4" x14ac:dyDescent="0.4">
      <c r="D3035"/>
    </row>
    <row r="3036" spans="4:4" x14ac:dyDescent="0.4">
      <c r="D3036"/>
    </row>
    <row r="3037" spans="4:4" x14ac:dyDescent="0.4">
      <c r="D3037"/>
    </row>
    <row r="3038" spans="4:4" x14ac:dyDescent="0.4">
      <c r="D3038"/>
    </row>
    <row r="3039" spans="4:4" x14ac:dyDescent="0.4">
      <c r="D3039"/>
    </row>
    <row r="3040" spans="4:4" x14ac:dyDescent="0.4">
      <c r="D3040"/>
    </row>
    <row r="3041" spans="4:4" x14ac:dyDescent="0.4">
      <c r="D3041"/>
    </row>
    <row r="3042" spans="4:4" x14ac:dyDescent="0.4">
      <c r="D3042"/>
    </row>
    <row r="3043" spans="4:4" x14ac:dyDescent="0.4">
      <c r="D3043"/>
    </row>
    <row r="3044" spans="4:4" x14ac:dyDescent="0.4">
      <c r="D3044"/>
    </row>
    <row r="3045" spans="4:4" x14ac:dyDescent="0.4">
      <c r="D3045"/>
    </row>
    <row r="3046" spans="4:4" x14ac:dyDescent="0.4">
      <c r="D3046"/>
    </row>
    <row r="3047" spans="4:4" x14ac:dyDescent="0.4">
      <c r="D3047"/>
    </row>
    <row r="3048" spans="4:4" x14ac:dyDescent="0.4">
      <c r="D3048"/>
    </row>
    <row r="3049" spans="4:4" x14ac:dyDescent="0.4">
      <c r="D3049"/>
    </row>
    <row r="3050" spans="4:4" x14ac:dyDescent="0.4">
      <c r="D3050"/>
    </row>
    <row r="3051" spans="4:4" x14ac:dyDescent="0.4">
      <c r="D3051"/>
    </row>
    <row r="3052" spans="4:4" x14ac:dyDescent="0.4">
      <c r="D3052"/>
    </row>
    <row r="3053" spans="4:4" x14ac:dyDescent="0.4">
      <c r="D3053"/>
    </row>
    <row r="3054" spans="4:4" x14ac:dyDescent="0.4">
      <c r="D3054"/>
    </row>
    <row r="3055" spans="4:4" x14ac:dyDescent="0.4">
      <c r="D3055"/>
    </row>
    <row r="3056" spans="4:4" x14ac:dyDescent="0.4">
      <c r="D3056"/>
    </row>
    <row r="3057" spans="4:4" x14ac:dyDescent="0.4">
      <c r="D3057"/>
    </row>
    <row r="3058" spans="4:4" x14ac:dyDescent="0.4">
      <c r="D3058"/>
    </row>
    <row r="3059" spans="4:4" x14ac:dyDescent="0.4">
      <c r="D3059"/>
    </row>
    <row r="3060" spans="4:4" x14ac:dyDescent="0.4">
      <c r="D3060"/>
    </row>
    <row r="3061" spans="4:4" x14ac:dyDescent="0.4">
      <c r="D3061"/>
    </row>
    <row r="3062" spans="4:4" x14ac:dyDescent="0.4">
      <c r="D3062"/>
    </row>
    <row r="3063" spans="4:4" x14ac:dyDescent="0.4">
      <c r="D3063"/>
    </row>
    <row r="3064" spans="4:4" x14ac:dyDescent="0.4">
      <c r="D3064"/>
    </row>
    <row r="3065" spans="4:4" x14ac:dyDescent="0.4">
      <c r="D3065"/>
    </row>
    <row r="3066" spans="4:4" x14ac:dyDescent="0.4">
      <c r="D3066"/>
    </row>
    <row r="3067" spans="4:4" x14ac:dyDescent="0.4">
      <c r="D3067"/>
    </row>
    <row r="3068" spans="4:4" x14ac:dyDescent="0.4">
      <c r="D3068"/>
    </row>
    <row r="3069" spans="4:4" x14ac:dyDescent="0.4">
      <c r="D3069"/>
    </row>
    <row r="3070" spans="4:4" x14ac:dyDescent="0.4">
      <c r="D3070"/>
    </row>
    <row r="3071" spans="4:4" x14ac:dyDescent="0.4">
      <c r="D3071"/>
    </row>
    <row r="3072" spans="4:4" x14ac:dyDescent="0.4">
      <c r="D3072"/>
    </row>
    <row r="3073" spans="4:4" x14ac:dyDescent="0.4">
      <c r="D3073"/>
    </row>
    <row r="3074" spans="4:4" x14ac:dyDescent="0.4">
      <c r="D3074"/>
    </row>
    <row r="3075" spans="4:4" x14ac:dyDescent="0.4">
      <c r="D3075"/>
    </row>
    <row r="3076" spans="4:4" x14ac:dyDescent="0.4">
      <c r="D3076"/>
    </row>
    <row r="3077" spans="4:4" x14ac:dyDescent="0.4">
      <c r="D3077"/>
    </row>
    <row r="3078" spans="4:4" x14ac:dyDescent="0.4">
      <c r="D3078"/>
    </row>
    <row r="3079" spans="4:4" x14ac:dyDescent="0.4">
      <c r="D3079"/>
    </row>
    <row r="3080" spans="4:4" x14ac:dyDescent="0.4">
      <c r="D3080"/>
    </row>
    <row r="3081" spans="4:4" x14ac:dyDescent="0.4">
      <c r="D3081"/>
    </row>
    <row r="3082" spans="4:4" x14ac:dyDescent="0.4">
      <c r="D3082"/>
    </row>
    <row r="3083" spans="4:4" x14ac:dyDescent="0.4">
      <c r="D3083"/>
    </row>
    <row r="3084" spans="4:4" x14ac:dyDescent="0.4">
      <c r="D3084"/>
    </row>
    <row r="3085" spans="4:4" x14ac:dyDescent="0.4">
      <c r="D3085"/>
    </row>
    <row r="3086" spans="4:4" x14ac:dyDescent="0.4">
      <c r="D3086"/>
    </row>
    <row r="3087" spans="4:4" x14ac:dyDescent="0.4">
      <c r="D3087"/>
    </row>
    <row r="3088" spans="4:4" x14ac:dyDescent="0.4">
      <c r="D3088"/>
    </row>
    <row r="3089" spans="4:4" x14ac:dyDescent="0.4">
      <c r="D3089"/>
    </row>
    <row r="3090" spans="4:4" x14ac:dyDescent="0.4">
      <c r="D3090"/>
    </row>
    <row r="3091" spans="4:4" x14ac:dyDescent="0.4">
      <c r="D3091"/>
    </row>
    <row r="3092" spans="4:4" x14ac:dyDescent="0.4">
      <c r="D3092"/>
    </row>
    <row r="3093" spans="4:4" x14ac:dyDescent="0.4">
      <c r="D3093"/>
    </row>
    <row r="3094" spans="4:4" x14ac:dyDescent="0.4">
      <c r="D3094"/>
    </row>
    <row r="3095" spans="4:4" x14ac:dyDescent="0.4">
      <c r="D3095"/>
    </row>
    <row r="3096" spans="4:4" x14ac:dyDescent="0.4">
      <c r="D3096"/>
    </row>
    <row r="3097" spans="4:4" x14ac:dyDescent="0.4">
      <c r="D3097"/>
    </row>
    <row r="3098" spans="4:4" x14ac:dyDescent="0.4">
      <c r="D3098"/>
    </row>
    <row r="3099" spans="4:4" x14ac:dyDescent="0.4">
      <c r="D3099"/>
    </row>
    <row r="3100" spans="4:4" x14ac:dyDescent="0.4">
      <c r="D3100"/>
    </row>
    <row r="3101" spans="4:4" x14ac:dyDescent="0.4">
      <c r="D3101"/>
    </row>
    <row r="3102" spans="4:4" x14ac:dyDescent="0.4">
      <c r="D3102"/>
    </row>
    <row r="3103" spans="4:4" x14ac:dyDescent="0.4">
      <c r="D3103"/>
    </row>
    <row r="3104" spans="4:4" x14ac:dyDescent="0.4">
      <c r="D3104"/>
    </row>
    <row r="3105" spans="4:4" x14ac:dyDescent="0.4">
      <c r="D3105"/>
    </row>
    <row r="3106" spans="4:4" x14ac:dyDescent="0.4">
      <c r="D3106"/>
    </row>
    <row r="3107" spans="4:4" x14ac:dyDescent="0.4">
      <c r="D3107"/>
    </row>
    <row r="3108" spans="4:4" x14ac:dyDescent="0.4">
      <c r="D3108"/>
    </row>
    <row r="3109" spans="4:4" x14ac:dyDescent="0.4">
      <c r="D3109"/>
    </row>
    <row r="3110" spans="4:4" x14ac:dyDescent="0.4">
      <c r="D3110"/>
    </row>
    <row r="3111" spans="4:4" x14ac:dyDescent="0.4">
      <c r="D3111"/>
    </row>
    <row r="3112" spans="4:4" x14ac:dyDescent="0.4">
      <c r="D3112"/>
    </row>
    <row r="3113" spans="4:4" x14ac:dyDescent="0.4">
      <c r="D3113"/>
    </row>
    <row r="3114" spans="4:4" x14ac:dyDescent="0.4">
      <c r="D3114"/>
    </row>
    <row r="3115" spans="4:4" x14ac:dyDescent="0.4">
      <c r="D3115"/>
    </row>
    <row r="3116" spans="4:4" x14ac:dyDescent="0.4">
      <c r="D3116"/>
    </row>
    <row r="3117" spans="4:4" x14ac:dyDescent="0.4">
      <c r="D3117"/>
    </row>
    <row r="3118" spans="4:4" x14ac:dyDescent="0.4">
      <c r="D3118"/>
    </row>
    <row r="3119" spans="4:4" x14ac:dyDescent="0.4">
      <c r="D3119"/>
    </row>
    <row r="3120" spans="4:4" x14ac:dyDescent="0.4">
      <c r="D3120"/>
    </row>
    <row r="3121" spans="4:4" x14ac:dyDescent="0.4">
      <c r="D3121"/>
    </row>
    <row r="3122" spans="4:4" x14ac:dyDescent="0.4">
      <c r="D3122"/>
    </row>
    <row r="3123" spans="4:4" x14ac:dyDescent="0.4">
      <c r="D3123"/>
    </row>
    <row r="3124" spans="4:4" x14ac:dyDescent="0.4">
      <c r="D3124"/>
    </row>
    <row r="3125" spans="4:4" x14ac:dyDescent="0.4">
      <c r="D3125"/>
    </row>
    <row r="3126" spans="4:4" x14ac:dyDescent="0.4">
      <c r="D3126"/>
    </row>
    <row r="3127" spans="4:4" x14ac:dyDescent="0.4">
      <c r="D3127"/>
    </row>
    <row r="3128" spans="4:4" x14ac:dyDescent="0.4">
      <c r="D3128"/>
    </row>
    <row r="3129" spans="4:4" x14ac:dyDescent="0.4">
      <c r="D3129"/>
    </row>
    <row r="3130" spans="4:4" x14ac:dyDescent="0.4">
      <c r="D3130"/>
    </row>
    <row r="3131" spans="4:4" x14ac:dyDescent="0.4">
      <c r="D3131"/>
    </row>
    <row r="3132" spans="4:4" x14ac:dyDescent="0.4">
      <c r="D3132"/>
    </row>
    <row r="3133" spans="4:4" x14ac:dyDescent="0.4">
      <c r="D3133"/>
    </row>
    <row r="3134" spans="4:4" x14ac:dyDescent="0.4">
      <c r="D3134"/>
    </row>
    <row r="3135" spans="4:4" x14ac:dyDescent="0.4">
      <c r="D3135"/>
    </row>
    <row r="3136" spans="4:4" x14ac:dyDescent="0.4">
      <c r="D3136"/>
    </row>
    <row r="3137" spans="4:4" x14ac:dyDescent="0.4">
      <c r="D3137"/>
    </row>
    <row r="3138" spans="4:4" x14ac:dyDescent="0.4">
      <c r="D3138"/>
    </row>
    <row r="3139" spans="4:4" x14ac:dyDescent="0.4">
      <c r="D3139"/>
    </row>
    <row r="3140" spans="4:4" x14ac:dyDescent="0.4">
      <c r="D3140"/>
    </row>
    <row r="3141" spans="4:4" x14ac:dyDescent="0.4">
      <c r="D3141"/>
    </row>
    <row r="3142" spans="4:4" x14ac:dyDescent="0.4">
      <c r="D3142"/>
    </row>
    <row r="3143" spans="4:4" x14ac:dyDescent="0.4">
      <c r="D3143"/>
    </row>
    <row r="3144" spans="4:4" x14ac:dyDescent="0.4">
      <c r="D3144"/>
    </row>
    <row r="3145" spans="4:4" x14ac:dyDescent="0.4">
      <c r="D3145"/>
    </row>
    <row r="3146" spans="4:4" x14ac:dyDescent="0.4">
      <c r="D3146"/>
    </row>
    <row r="3147" spans="4:4" x14ac:dyDescent="0.4">
      <c r="D3147"/>
    </row>
    <row r="3148" spans="4:4" x14ac:dyDescent="0.4">
      <c r="D3148"/>
    </row>
    <row r="3149" spans="4:4" x14ac:dyDescent="0.4">
      <c r="D3149"/>
    </row>
    <row r="3150" spans="4:4" x14ac:dyDescent="0.4">
      <c r="D3150"/>
    </row>
    <row r="3151" spans="4:4" x14ac:dyDescent="0.4">
      <c r="D3151"/>
    </row>
    <row r="3152" spans="4:4" x14ac:dyDescent="0.4">
      <c r="D3152"/>
    </row>
    <row r="3153" spans="4:4" x14ac:dyDescent="0.4">
      <c r="D3153"/>
    </row>
    <row r="3154" spans="4:4" x14ac:dyDescent="0.4">
      <c r="D3154"/>
    </row>
    <row r="3155" spans="4:4" x14ac:dyDescent="0.4">
      <c r="D3155"/>
    </row>
    <row r="3156" spans="4:4" x14ac:dyDescent="0.4">
      <c r="D3156"/>
    </row>
    <row r="3157" spans="4:4" x14ac:dyDescent="0.4">
      <c r="D3157"/>
    </row>
    <row r="3158" spans="4:4" x14ac:dyDescent="0.4">
      <c r="D3158"/>
    </row>
    <row r="3159" spans="4:4" x14ac:dyDescent="0.4">
      <c r="D3159"/>
    </row>
    <row r="3160" spans="4:4" x14ac:dyDescent="0.4">
      <c r="D3160"/>
    </row>
    <row r="3161" spans="4:4" x14ac:dyDescent="0.4">
      <c r="D3161"/>
    </row>
    <row r="3162" spans="4:4" x14ac:dyDescent="0.4">
      <c r="D3162"/>
    </row>
    <row r="3163" spans="4:4" x14ac:dyDescent="0.4">
      <c r="D3163"/>
    </row>
    <row r="3164" spans="4:4" x14ac:dyDescent="0.4">
      <c r="D3164"/>
    </row>
    <row r="3165" spans="4:4" x14ac:dyDescent="0.4">
      <c r="D3165"/>
    </row>
    <row r="3166" spans="4:4" x14ac:dyDescent="0.4">
      <c r="D3166"/>
    </row>
    <row r="3167" spans="4:4" x14ac:dyDescent="0.4">
      <c r="D3167"/>
    </row>
    <row r="3168" spans="4:4" x14ac:dyDescent="0.4">
      <c r="D3168"/>
    </row>
    <row r="3169" spans="4:4" x14ac:dyDescent="0.4">
      <c r="D3169"/>
    </row>
    <row r="3170" spans="4:4" x14ac:dyDescent="0.4">
      <c r="D3170"/>
    </row>
    <row r="3171" spans="4:4" x14ac:dyDescent="0.4">
      <c r="D3171"/>
    </row>
    <row r="3172" spans="4:4" x14ac:dyDescent="0.4">
      <c r="D3172"/>
    </row>
    <row r="3173" spans="4:4" x14ac:dyDescent="0.4">
      <c r="D3173"/>
    </row>
    <row r="3174" spans="4:4" x14ac:dyDescent="0.4">
      <c r="D3174"/>
    </row>
    <row r="3175" spans="4:4" x14ac:dyDescent="0.4">
      <c r="D3175"/>
    </row>
    <row r="3176" spans="4:4" x14ac:dyDescent="0.4">
      <c r="D3176"/>
    </row>
    <row r="3177" spans="4:4" x14ac:dyDescent="0.4">
      <c r="D3177"/>
    </row>
    <row r="3178" spans="4:4" x14ac:dyDescent="0.4">
      <c r="D3178"/>
    </row>
    <row r="3179" spans="4:4" x14ac:dyDescent="0.4">
      <c r="D3179"/>
    </row>
    <row r="3180" spans="4:4" x14ac:dyDescent="0.4">
      <c r="D3180"/>
    </row>
    <row r="3181" spans="4:4" x14ac:dyDescent="0.4">
      <c r="D3181"/>
    </row>
    <row r="3182" spans="4:4" x14ac:dyDescent="0.4">
      <c r="D3182"/>
    </row>
    <row r="3183" spans="4:4" x14ac:dyDescent="0.4">
      <c r="D3183"/>
    </row>
    <row r="3184" spans="4:4" x14ac:dyDescent="0.4">
      <c r="D3184"/>
    </row>
    <row r="3185" spans="4:4" x14ac:dyDescent="0.4">
      <c r="D3185"/>
    </row>
    <row r="3186" spans="4:4" x14ac:dyDescent="0.4">
      <c r="D3186"/>
    </row>
    <row r="3187" spans="4:4" x14ac:dyDescent="0.4">
      <c r="D3187"/>
    </row>
    <row r="3188" spans="4:4" x14ac:dyDescent="0.4">
      <c r="D3188"/>
    </row>
    <row r="3189" spans="4:4" x14ac:dyDescent="0.4">
      <c r="D3189"/>
    </row>
    <row r="3190" spans="4:4" x14ac:dyDescent="0.4">
      <c r="D3190"/>
    </row>
    <row r="3191" spans="4:4" x14ac:dyDescent="0.4">
      <c r="D3191"/>
    </row>
    <row r="3192" spans="4:4" x14ac:dyDescent="0.4">
      <c r="D3192"/>
    </row>
    <row r="3193" spans="4:4" x14ac:dyDescent="0.4">
      <c r="D3193"/>
    </row>
    <row r="3194" spans="4:4" x14ac:dyDescent="0.4">
      <c r="D3194"/>
    </row>
    <row r="3195" spans="4:4" x14ac:dyDescent="0.4">
      <c r="D3195"/>
    </row>
    <row r="3196" spans="4:4" x14ac:dyDescent="0.4">
      <c r="D3196"/>
    </row>
    <row r="3197" spans="4:4" x14ac:dyDescent="0.4">
      <c r="D3197"/>
    </row>
    <row r="3198" spans="4:4" x14ac:dyDescent="0.4">
      <c r="D3198"/>
    </row>
    <row r="3199" spans="4:4" x14ac:dyDescent="0.4">
      <c r="D3199"/>
    </row>
    <row r="3200" spans="4:4" x14ac:dyDescent="0.4">
      <c r="D3200"/>
    </row>
    <row r="3201" spans="4:4" x14ac:dyDescent="0.4">
      <c r="D3201"/>
    </row>
    <row r="3202" spans="4:4" x14ac:dyDescent="0.4">
      <c r="D3202"/>
    </row>
    <row r="3203" spans="4:4" x14ac:dyDescent="0.4">
      <c r="D3203"/>
    </row>
    <row r="3204" spans="4:4" x14ac:dyDescent="0.4">
      <c r="D3204"/>
    </row>
    <row r="3205" spans="4:4" x14ac:dyDescent="0.4">
      <c r="D3205"/>
    </row>
    <row r="3206" spans="4:4" x14ac:dyDescent="0.4">
      <c r="D3206"/>
    </row>
    <row r="3207" spans="4:4" x14ac:dyDescent="0.4">
      <c r="D3207"/>
    </row>
    <row r="3208" spans="4:4" x14ac:dyDescent="0.4">
      <c r="D3208"/>
    </row>
    <row r="3209" spans="4:4" x14ac:dyDescent="0.4">
      <c r="D3209"/>
    </row>
    <row r="3210" spans="4:4" x14ac:dyDescent="0.4">
      <c r="D3210"/>
    </row>
    <row r="3211" spans="4:4" x14ac:dyDescent="0.4">
      <c r="D3211"/>
    </row>
    <row r="3212" spans="4:4" x14ac:dyDescent="0.4">
      <c r="D3212"/>
    </row>
    <row r="3213" spans="4:4" x14ac:dyDescent="0.4">
      <c r="D3213"/>
    </row>
    <row r="3214" spans="4:4" x14ac:dyDescent="0.4">
      <c r="D3214"/>
    </row>
    <row r="3215" spans="4:4" x14ac:dyDescent="0.4">
      <c r="D3215"/>
    </row>
    <row r="3216" spans="4:4" x14ac:dyDescent="0.4">
      <c r="D3216"/>
    </row>
    <row r="3217" spans="4:4" x14ac:dyDescent="0.4">
      <c r="D3217"/>
    </row>
    <row r="3218" spans="4:4" x14ac:dyDescent="0.4">
      <c r="D3218"/>
    </row>
    <row r="3219" spans="4:4" x14ac:dyDescent="0.4">
      <c r="D3219"/>
    </row>
    <row r="3220" spans="4:4" x14ac:dyDescent="0.4">
      <c r="D3220"/>
    </row>
    <row r="3221" spans="4:4" x14ac:dyDescent="0.4">
      <c r="D3221"/>
    </row>
    <row r="3222" spans="4:4" x14ac:dyDescent="0.4">
      <c r="D3222"/>
    </row>
    <row r="3223" spans="4:4" x14ac:dyDescent="0.4">
      <c r="D3223"/>
    </row>
    <row r="3224" spans="4:4" x14ac:dyDescent="0.4">
      <c r="D3224"/>
    </row>
    <row r="3225" spans="4:4" x14ac:dyDescent="0.4">
      <c r="D3225"/>
    </row>
    <row r="3226" spans="4:4" x14ac:dyDescent="0.4">
      <c r="D3226"/>
    </row>
    <row r="3227" spans="4:4" x14ac:dyDescent="0.4">
      <c r="D3227"/>
    </row>
    <row r="3228" spans="4:4" x14ac:dyDescent="0.4">
      <c r="D3228"/>
    </row>
    <row r="3229" spans="4:4" x14ac:dyDescent="0.4">
      <c r="D3229"/>
    </row>
    <row r="3230" spans="4:4" x14ac:dyDescent="0.4">
      <c r="D3230"/>
    </row>
    <row r="3231" spans="4:4" x14ac:dyDescent="0.4">
      <c r="D3231"/>
    </row>
    <row r="3232" spans="4:4" x14ac:dyDescent="0.4">
      <c r="D3232"/>
    </row>
    <row r="3233" spans="4:4" x14ac:dyDescent="0.4">
      <c r="D3233"/>
    </row>
    <row r="3234" spans="4:4" x14ac:dyDescent="0.4">
      <c r="D3234"/>
    </row>
    <row r="3235" spans="4:4" x14ac:dyDescent="0.4">
      <c r="D3235"/>
    </row>
    <row r="3236" spans="4:4" x14ac:dyDescent="0.4">
      <c r="D3236"/>
    </row>
    <row r="3237" spans="4:4" x14ac:dyDescent="0.4">
      <c r="D3237"/>
    </row>
    <row r="3238" spans="4:4" x14ac:dyDescent="0.4">
      <c r="D3238"/>
    </row>
    <row r="3239" spans="4:4" x14ac:dyDescent="0.4">
      <c r="D3239"/>
    </row>
    <row r="3240" spans="4:4" x14ac:dyDescent="0.4">
      <c r="D3240"/>
    </row>
    <row r="3241" spans="4:4" x14ac:dyDescent="0.4">
      <c r="D3241"/>
    </row>
    <row r="3242" spans="4:4" x14ac:dyDescent="0.4">
      <c r="D3242"/>
    </row>
    <row r="3243" spans="4:4" x14ac:dyDescent="0.4">
      <c r="D3243"/>
    </row>
    <row r="3244" spans="4:4" x14ac:dyDescent="0.4">
      <c r="D3244"/>
    </row>
    <row r="3245" spans="4:4" x14ac:dyDescent="0.4">
      <c r="D3245"/>
    </row>
    <row r="3246" spans="4:4" x14ac:dyDescent="0.4">
      <c r="D3246"/>
    </row>
    <row r="3247" spans="4:4" x14ac:dyDescent="0.4">
      <c r="D3247"/>
    </row>
    <row r="3248" spans="4:4" x14ac:dyDescent="0.4">
      <c r="D3248"/>
    </row>
    <row r="3249" spans="4:4" x14ac:dyDescent="0.4">
      <c r="D3249"/>
    </row>
    <row r="3250" spans="4:4" x14ac:dyDescent="0.4">
      <c r="D3250"/>
    </row>
    <row r="3251" spans="4:4" x14ac:dyDescent="0.4">
      <c r="D3251"/>
    </row>
    <row r="3252" spans="4:4" x14ac:dyDescent="0.4">
      <c r="D3252"/>
    </row>
    <row r="3253" spans="4:4" x14ac:dyDescent="0.4">
      <c r="D3253"/>
    </row>
    <row r="3254" spans="4:4" x14ac:dyDescent="0.4">
      <c r="D3254"/>
    </row>
    <row r="3255" spans="4:4" x14ac:dyDescent="0.4">
      <c r="D3255"/>
    </row>
    <row r="3256" spans="4:4" x14ac:dyDescent="0.4">
      <c r="D3256"/>
    </row>
    <row r="3257" spans="4:4" x14ac:dyDescent="0.4">
      <c r="D3257"/>
    </row>
    <row r="3258" spans="4:4" x14ac:dyDescent="0.4">
      <c r="D3258"/>
    </row>
    <row r="3259" spans="4:4" x14ac:dyDescent="0.4">
      <c r="D3259"/>
    </row>
    <row r="3260" spans="4:4" x14ac:dyDescent="0.4">
      <c r="D3260"/>
    </row>
    <row r="3261" spans="4:4" x14ac:dyDescent="0.4">
      <c r="D3261"/>
    </row>
    <row r="3262" spans="4:4" x14ac:dyDescent="0.4">
      <c r="D3262"/>
    </row>
    <row r="3263" spans="4:4" x14ac:dyDescent="0.4">
      <c r="D3263"/>
    </row>
    <row r="3264" spans="4:4" x14ac:dyDescent="0.4">
      <c r="D3264"/>
    </row>
    <row r="3265" spans="4:4" x14ac:dyDescent="0.4">
      <c r="D3265"/>
    </row>
    <row r="3266" spans="4:4" x14ac:dyDescent="0.4">
      <c r="D3266"/>
    </row>
    <row r="3267" spans="4:4" x14ac:dyDescent="0.4">
      <c r="D3267"/>
    </row>
    <row r="3268" spans="4:4" x14ac:dyDescent="0.4">
      <c r="D3268"/>
    </row>
    <row r="3269" spans="4:4" x14ac:dyDescent="0.4">
      <c r="D3269"/>
    </row>
    <row r="3270" spans="4:4" x14ac:dyDescent="0.4">
      <c r="D3270"/>
    </row>
    <row r="3271" spans="4:4" x14ac:dyDescent="0.4">
      <c r="D3271"/>
    </row>
    <row r="3272" spans="4:4" x14ac:dyDescent="0.4">
      <c r="D3272"/>
    </row>
    <row r="3273" spans="4:4" x14ac:dyDescent="0.4">
      <c r="D3273"/>
    </row>
    <row r="3274" spans="4:4" x14ac:dyDescent="0.4">
      <c r="D3274"/>
    </row>
    <row r="3275" spans="4:4" x14ac:dyDescent="0.4">
      <c r="D3275"/>
    </row>
    <row r="3276" spans="4:4" x14ac:dyDescent="0.4">
      <c r="D3276"/>
    </row>
    <row r="3277" spans="4:4" x14ac:dyDescent="0.4">
      <c r="D3277"/>
    </row>
    <row r="3278" spans="4:4" x14ac:dyDescent="0.4">
      <c r="D3278"/>
    </row>
    <row r="3279" spans="4:4" x14ac:dyDescent="0.4">
      <c r="D3279"/>
    </row>
    <row r="3280" spans="4:4" x14ac:dyDescent="0.4">
      <c r="D3280"/>
    </row>
    <row r="3281" spans="4:4" x14ac:dyDescent="0.4">
      <c r="D3281"/>
    </row>
    <row r="3282" spans="4:4" x14ac:dyDescent="0.4">
      <c r="D3282"/>
    </row>
    <row r="3283" spans="4:4" x14ac:dyDescent="0.4">
      <c r="D3283"/>
    </row>
    <row r="3284" spans="4:4" x14ac:dyDescent="0.4">
      <c r="D3284"/>
    </row>
    <row r="3285" spans="4:4" x14ac:dyDescent="0.4">
      <c r="D3285"/>
    </row>
    <row r="3286" spans="4:4" x14ac:dyDescent="0.4">
      <c r="D3286"/>
    </row>
    <row r="3287" spans="4:4" x14ac:dyDescent="0.4">
      <c r="D3287"/>
    </row>
    <row r="3288" spans="4:4" x14ac:dyDescent="0.4">
      <c r="D3288"/>
    </row>
    <row r="3289" spans="4:4" x14ac:dyDescent="0.4">
      <c r="D3289"/>
    </row>
    <row r="3290" spans="4:4" x14ac:dyDescent="0.4">
      <c r="D3290"/>
    </row>
    <row r="3291" spans="4:4" x14ac:dyDescent="0.4">
      <c r="D3291"/>
    </row>
    <row r="3292" spans="4:4" x14ac:dyDescent="0.4">
      <c r="D3292"/>
    </row>
    <row r="3293" spans="4:4" x14ac:dyDescent="0.4">
      <c r="D3293"/>
    </row>
    <row r="3294" spans="4:4" x14ac:dyDescent="0.4">
      <c r="D3294"/>
    </row>
    <row r="3295" spans="4:4" x14ac:dyDescent="0.4">
      <c r="D3295"/>
    </row>
    <row r="3296" spans="4:4" x14ac:dyDescent="0.4">
      <c r="D3296"/>
    </row>
    <row r="3297" spans="4:4" x14ac:dyDescent="0.4">
      <c r="D3297"/>
    </row>
    <row r="3298" spans="4:4" x14ac:dyDescent="0.4">
      <c r="D3298"/>
    </row>
    <row r="3299" spans="4:4" x14ac:dyDescent="0.4">
      <c r="D3299"/>
    </row>
    <row r="3300" spans="4:4" x14ac:dyDescent="0.4">
      <c r="D3300"/>
    </row>
    <row r="3301" spans="4:4" x14ac:dyDescent="0.4">
      <c r="D3301"/>
    </row>
    <row r="3302" spans="4:4" x14ac:dyDescent="0.4">
      <c r="D3302"/>
    </row>
    <row r="3303" spans="4:4" x14ac:dyDescent="0.4">
      <c r="D3303"/>
    </row>
    <row r="3304" spans="4:4" x14ac:dyDescent="0.4">
      <c r="D3304"/>
    </row>
    <row r="3305" spans="4:4" x14ac:dyDescent="0.4">
      <c r="D3305"/>
    </row>
    <row r="3306" spans="4:4" x14ac:dyDescent="0.4">
      <c r="D3306"/>
    </row>
    <row r="3307" spans="4:4" x14ac:dyDescent="0.4">
      <c r="D3307"/>
    </row>
    <row r="3308" spans="4:4" x14ac:dyDescent="0.4">
      <c r="D3308"/>
    </row>
    <row r="3309" spans="4:4" x14ac:dyDescent="0.4">
      <c r="D3309"/>
    </row>
    <row r="3310" spans="4:4" x14ac:dyDescent="0.4">
      <c r="D3310"/>
    </row>
    <row r="3311" spans="4:4" x14ac:dyDescent="0.4">
      <c r="D3311"/>
    </row>
    <row r="3312" spans="4:4" x14ac:dyDescent="0.4">
      <c r="D3312"/>
    </row>
    <row r="3313" spans="4:4" x14ac:dyDescent="0.4">
      <c r="D3313"/>
    </row>
    <row r="3314" spans="4:4" x14ac:dyDescent="0.4">
      <c r="D3314"/>
    </row>
    <row r="3315" spans="4:4" x14ac:dyDescent="0.4">
      <c r="D3315"/>
    </row>
    <row r="3316" spans="4:4" x14ac:dyDescent="0.4">
      <c r="D3316"/>
    </row>
    <row r="3317" spans="4:4" x14ac:dyDescent="0.4">
      <c r="D3317"/>
    </row>
    <row r="3318" spans="4:4" x14ac:dyDescent="0.4">
      <c r="D3318"/>
    </row>
    <row r="3319" spans="4:4" x14ac:dyDescent="0.4">
      <c r="D3319"/>
    </row>
    <row r="3320" spans="4:4" x14ac:dyDescent="0.4">
      <c r="D3320"/>
    </row>
    <row r="3321" spans="4:4" x14ac:dyDescent="0.4">
      <c r="D3321"/>
    </row>
    <row r="3322" spans="4:4" x14ac:dyDescent="0.4">
      <c r="D3322"/>
    </row>
    <row r="3323" spans="4:4" x14ac:dyDescent="0.4">
      <c r="D3323"/>
    </row>
    <row r="3324" spans="4:4" x14ac:dyDescent="0.4">
      <c r="D3324"/>
    </row>
    <row r="3325" spans="4:4" x14ac:dyDescent="0.4">
      <c r="D3325"/>
    </row>
    <row r="3326" spans="4:4" x14ac:dyDescent="0.4">
      <c r="D3326"/>
    </row>
    <row r="3327" spans="4:4" x14ac:dyDescent="0.4">
      <c r="D3327"/>
    </row>
    <row r="3328" spans="4:4" x14ac:dyDescent="0.4">
      <c r="D3328"/>
    </row>
    <row r="3329" spans="4:4" x14ac:dyDescent="0.4">
      <c r="D3329"/>
    </row>
    <row r="3330" spans="4:4" x14ac:dyDescent="0.4">
      <c r="D3330"/>
    </row>
    <row r="3331" spans="4:4" x14ac:dyDescent="0.4">
      <c r="D3331"/>
    </row>
    <row r="3332" spans="4:4" x14ac:dyDescent="0.4">
      <c r="D3332"/>
    </row>
    <row r="3333" spans="4:4" x14ac:dyDescent="0.4">
      <c r="D3333"/>
    </row>
    <row r="3334" spans="4:4" x14ac:dyDescent="0.4">
      <c r="D3334"/>
    </row>
    <row r="3335" spans="4:4" x14ac:dyDescent="0.4">
      <c r="D3335"/>
    </row>
    <row r="3336" spans="4:4" x14ac:dyDescent="0.4">
      <c r="D3336"/>
    </row>
    <row r="3337" spans="4:4" x14ac:dyDescent="0.4">
      <c r="D3337"/>
    </row>
    <row r="3338" spans="4:4" x14ac:dyDescent="0.4">
      <c r="D3338"/>
    </row>
    <row r="3339" spans="4:4" x14ac:dyDescent="0.4">
      <c r="D3339"/>
    </row>
    <row r="3340" spans="4:4" x14ac:dyDescent="0.4">
      <c r="D3340"/>
    </row>
    <row r="3341" spans="4:4" x14ac:dyDescent="0.4">
      <c r="D3341"/>
    </row>
    <row r="3342" spans="4:4" x14ac:dyDescent="0.4">
      <c r="D3342"/>
    </row>
    <row r="3343" spans="4:4" x14ac:dyDescent="0.4">
      <c r="D3343"/>
    </row>
    <row r="3344" spans="4:4" x14ac:dyDescent="0.4">
      <c r="D3344"/>
    </row>
    <row r="3345" spans="4:4" x14ac:dyDescent="0.4">
      <c r="D3345"/>
    </row>
    <row r="3346" spans="4:4" x14ac:dyDescent="0.4">
      <c r="D3346"/>
    </row>
    <row r="3347" spans="4:4" x14ac:dyDescent="0.4">
      <c r="D3347"/>
    </row>
    <row r="3348" spans="4:4" x14ac:dyDescent="0.4">
      <c r="D3348"/>
    </row>
    <row r="3349" spans="4:4" x14ac:dyDescent="0.4">
      <c r="D3349"/>
    </row>
    <row r="3350" spans="4:4" x14ac:dyDescent="0.4">
      <c r="D3350"/>
    </row>
    <row r="3351" spans="4:4" x14ac:dyDescent="0.4">
      <c r="D3351"/>
    </row>
    <row r="3352" spans="4:4" x14ac:dyDescent="0.4">
      <c r="D3352"/>
    </row>
    <row r="3353" spans="4:4" x14ac:dyDescent="0.4">
      <c r="D3353"/>
    </row>
    <row r="3354" spans="4:4" x14ac:dyDescent="0.4">
      <c r="D3354"/>
    </row>
    <row r="3355" spans="4:4" x14ac:dyDescent="0.4">
      <c r="D3355"/>
    </row>
    <row r="3356" spans="4:4" x14ac:dyDescent="0.4">
      <c r="D3356"/>
    </row>
    <row r="3357" spans="4:4" x14ac:dyDescent="0.4">
      <c r="D3357"/>
    </row>
    <row r="3358" spans="4:4" x14ac:dyDescent="0.4">
      <c r="D3358"/>
    </row>
    <row r="3359" spans="4:4" x14ac:dyDescent="0.4">
      <c r="D3359"/>
    </row>
    <row r="3360" spans="4:4" x14ac:dyDescent="0.4">
      <c r="D3360"/>
    </row>
    <row r="3361" spans="4:4" x14ac:dyDescent="0.4">
      <c r="D3361"/>
    </row>
    <row r="3362" spans="4:4" x14ac:dyDescent="0.4">
      <c r="D3362"/>
    </row>
    <row r="3363" spans="4:4" x14ac:dyDescent="0.4">
      <c r="D3363"/>
    </row>
    <row r="3364" spans="4:4" x14ac:dyDescent="0.4">
      <c r="D3364"/>
    </row>
    <row r="3365" spans="4:4" x14ac:dyDescent="0.4">
      <c r="D3365"/>
    </row>
    <row r="3366" spans="4:4" x14ac:dyDescent="0.4">
      <c r="D3366"/>
    </row>
    <row r="3367" spans="4:4" x14ac:dyDescent="0.4">
      <c r="D3367"/>
    </row>
    <row r="3368" spans="4:4" x14ac:dyDescent="0.4">
      <c r="D3368"/>
    </row>
    <row r="3369" spans="4:4" x14ac:dyDescent="0.4">
      <c r="D3369"/>
    </row>
    <row r="3370" spans="4:4" x14ac:dyDescent="0.4">
      <c r="D3370"/>
    </row>
    <row r="3371" spans="4:4" x14ac:dyDescent="0.4">
      <c r="D3371"/>
    </row>
    <row r="3372" spans="4:4" x14ac:dyDescent="0.4">
      <c r="D3372"/>
    </row>
    <row r="3373" spans="4:4" x14ac:dyDescent="0.4">
      <c r="D3373"/>
    </row>
    <row r="3374" spans="4:4" x14ac:dyDescent="0.4">
      <c r="D3374"/>
    </row>
    <row r="3375" spans="4:4" x14ac:dyDescent="0.4">
      <c r="D3375"/>
    </row>
    <row r="3376" spans="4:4" x14ac:dyDescent="0.4">
      <c r="D3376"/>
    </row>
    <row r="3377" spans="4:4" x14ac:dyDescent="0.4">
      <c r="D3377"/>
    </row>
    <row r="3378" spans="4:4" x14ac:dyDescent="0.4">
      <c r="D3378"/>
    </row>
    <row r="3379" spans="4:4" x14ac:dyDescent="0.4">
      <c r="D3379"/>
    </row>
    <row r="3380" spans="4:4" x14ac:dyDescent="0.4">
      <c r="D3380"/>
    </row>
    <row r="3381" spans="4:4" x14ac:dyDescent="0.4">
      <c r="D3381"/>
    </row>
    <row r="3382" spans="4:4" x14ac:dyDescent="0.4">
      <c r="D3382"/>
    </row>
    <row r="3383" spans="4:4" x14ac:dyDescent="0.4">
      <c r="D3383"/>
    </row>
    <row r="3384" spans="4:4" x14ac:dyDescent="0.4">
      <c r="D3384"/>
    </row>
    <row r="3385" spans="4:4" x14ac:dyDescent="0.4">
      <c r="D3385"/>
    </row>
    <row r="3386" spans="4:4" x14ac:dyDescent="0.4">
      <c r="D3386"/>
    </row>
    <row r="3387" spans="4:4" x14ac:dyDescent="0.4">
      <c r="D3387"/>
    </row>
    <row r="3388" spans="4:4" x14ac:dyDescent="0.4">
      <c r="D3388"/>
    </row>
    <row r="3389" spans="4:4" x14ac:dyDescent="0.4">
      <c r="D3389"/>
    </row>
    <row r="3390" spans="4:4" x14ac:dyDescent="0.4">
      <c r="D3390"/>
    </row>
    <row r="3391" spans="4:4" x14ac:dyDescent="0.4">
      <c r="D3391"/>
    </row>
    <row r="3392" spans="4:4" x14ac:dyDescent="0.4">
      <c r="D3392"/>
    </row>
    <row r="3393" spans="4:4" x14ac:dyDescent="0.4">
      <c r="D3393"/>
    </row>
    <row r="3394" spans="4:4" x14ac:dyDescent="0.4">
      <c r="D3394"/>
    </row>
    <row r="3395" spans="4:4" x14ac:dyDescent="0.4">
      <c r="D3395"/>
    </row>
    <row r="3396" spans="4:4" x14ac:dyDescent="0.4">
      <c r="D3396"/>
    </row>
    <row r="3397" spans="4:4" x14ac:dyDescent="0.4">
      <c r="D3397"/>
    </row>
    <row r="3398" spans="4:4" x14ac:dyDescent="0.4">
      <c r="D3398"/>
    </row>
    <row r="3399" spans="4:4" x14ac:dyDescent="0.4">
      <c r="D3399"/>
    </row>
    <row r="3400" spans="4:4" x14ac:dyDescent="0.4">
      <c r="D3400"/>
    </row>
    <row r="3401" spans="4:4" x14ac:dyDescent="0.4">
      <c r="D3401"/>
    </row>
    <row r="3402" spans="4:4" x14ac:dyDescent="0.4">
      <c r="D3402"/>
    </row>
    <row r="3403" spans="4:4" x14ac:dyDescent="0.4">
      <c r="D3403"/>
    </row>
    <row r="3404" spans="4:4" x14ac:dyDescent="0.4">
      <c r="D3404"/>
    </row>
    <row r="3405" spans="4:4" x14ac:dyDescent="0.4">
      <c r="D3405"/>
    </row>
    <row r="3406" spans="4:4" x14ac:dyDescent="0.4">
      <c r="D3406"/>
    </row>
    <row r="3407" spans="4:4" x14ac:dyDescent="0.4">
      <c r="D3407"/>
    </row>
    <row r="3408" spans="4:4" x14ac:dyDescent="0.4">
      <c r="D3408"/>
    </row>
    <row r="3409" spans="4:4" x14ac:dyDescent="0.4">
      <c r="D3409"/>
    </row>
    <row r="3410" spans="4:4" x14ac:dyDescent="0.4">
      <c r="D3410"/>
    </row>
    <row r="3411" spans="4:4" x14ac:dyDescent="0.4">
      <c r="D3411"/>
    </row>
    <row r="3412" spans="4:4" x14ac:dyDescent="0.4">
      <c r="D3412"/>
    </row>
    <row r="3413" spans="4:4" x14ac:dyDescent="0.4">
      <c r="D3413"/>
    </row>
    <row r="3414" spans="4:4" x14ac:dyDescent="0.4">
      <c r="D3414"/>
    </row>
    <row r="3415" spans="4:4" x14ac:dyDescent="0.4">
      <c r="D3415"/>
    </row>
    <row r="3416" spans="4:4" x14ac:dyDescent="0.4">
      <c r="D3416"/>
    </row>
    <row r="3417" spans="4:4" x14ac:dyDescent="0.4">
      <c r="D3417"/>
    </row>
    <row r="3418" spans="4:4" x14ac:dyDescent="0.4">
      <c r="D3418"/>
    </row>
    <row r="3419" spans="4:4" x14ac:dyDescent="0.4">
      <c r="D3419"/>
    </row>
    <row r="3420" spans="4:4" x14ac:dyDescent="0.4">
      <c r="D3420"/>
    </row>
    <row r="3421" spans="4:4" x14ac:dyDescent="0.4">
      <c r="D3421"/>
    </row>
    <row r="3422" spans="4:4" x14ac:dyDescent="0.4">
      <c r="D3422"/>
    </row>
    <row r="3423" spans="4:4" x14ac:dyDescent="0.4">
      <c r="D3423"/>
    </row>
    <row r="3424" spans="4:4" x14ac:dyDescent="0.4">
      <c r="D3424"/>
    </row>
    <row r="3425" spans="4:4" x14ac:dyDescent="0.4">
      <c r="D3425"/>
    </row>
    <row r="3426" spans="4:4" x14ac:dyDescent="0.4">
      <c r="D3426"/>
    </row>
    <row r="3427" spans="4:4" x14ac:dyDescent="0.4">
      <c r="D3427"/>
    </row>
    <row r="3428" spans="4:4" x14ac:dyDescent="0.4">
      <c r="D3428"/>
    </row>
    <row r="3429" spans="4:4" x14ac:dyDescent="0.4">
      <c r="D3429"/>
    </row>
    <row r="3430" spans="4:4" x14ac:dyDescent="0.4">
      <c r="D3430"/>
    </row>
    <row r="3431" spans="4:4" x14ac:dyDescent="0.4">
      <c r="D3431"/>
    </row>
    <row r="3432" spans="4:4" x14ac:dyDescent="0.4">
      <c r="D3432"/>
    </row>
    <row r="3433" spans="4:4" x14ac:dyDescent="0.4">
      <c r="D3433"/>
    </row>
    <row r="3434" spans="4:4" x14ac:dyDescent="0.4">
      <c r="D3434"/>
    </row>
    <row r="3435" spans="4:4" x14ac:dyDescent="0.4">
      <c r="D3435"/>
    </row>
    <row r="3436" spans="4:4" x14ac:dyDescent="0.4">
      <c r="D3436"/>
    </row>
    <row r="3437" spans="4:4" x14ac:dyDescent="0.4">
      <c r="D3437"/>
    </row>
    <row r="3438" spans="4:4" x14ac:dyDescent="0.4">
      <c r="D3438"/>
    </row>
    <row r="3439" spans="4:4" x14ac:dyDescent="0.4">
      <c r="D3439"/>
    </row>
    <row r="3440" spans="4:4" x14ac:dyDescent="0.4">
      <c r="D3440"/>
    </row>
    <row r="3441" spans="4:4" x14ac:dyDescent="0.4">
      <c r="D3441"/>
    </row>
    <row r="3442" spans="4:4" x14ac:dyDescent="0.4">
      <c r="D3442"/>
    </row>
    <row r="3443" spans="4:4" x14ac:dyDescent="0.4">
      <c r="D3443"/>
    </row>
    <row r="3444" spans="4:4" x14ac:dyDescent="0.4">
      <c r="D3444"/>
    </row>
    <row r="3445" spans="4:4" x14ac:dyDescent="0.4">
      <c r="D3445"/>
    </row>
    <row r="3446" spans="4:4" x14ac:dyDescent="0.4">
      <c r="D3446"/>
    </row>
    <row r="3447" spans="4:4" x14ac:dyDescent="0.4">
      <c r="D3447"/>
    </row>
    <row r="3448" spans="4:4" x14ac:dyDescent="0.4">
      <c r="D3448"/>
    </row>
    <row r="3449" spans="4:4" x14ac:dyDescent="0.4">
      <c r="D3449"/>
    </row>
    <row r="3450" spans="4:4" x14ac:dyDescent="0.4">
      <c r="D3450"/>
    </row>
    <row r="3451" spans="4:4" x14ac:dyDescent="0.4">
      <c r="D3451"/>
    </row>
    <row r="3452" spans="4:4" x14ac:dyDescent="0.4">
      <c r="D3452"/>
    </row>
    <row r="3453" spans="4:4" x14ac:dyDescent="0.4">
      <c r="D3453"/>
    </row>
    <row r="3454" spans="4:4" x14ac:dyDescent="0.4">
      <c r="D3454"/>
    </row>
    <row r="3455" spans="4:4" x14ac:dyDescent="0.4">
      <c r="D3455"/>
    </row>
    <row r="3456" spans="4:4" x14ac:dyDescent="0.4">
      <c r="D3456"/>
    </row>
    <row r="3457" spans="4:4" x14ac:dyDescent="0.4">
      <c r="D3457"/>
    </row>
    <row r="3458" spans="4:4" x14ac:dyDescent="0.4">
      <c r="D3458"/>
    </row>
    <row r="3459" spans="4:4" x14ac:dyDescent="0.4">
      <c r="D3459"/>
    </row>
    <row r="3460" spans="4:4" x14ac:dyDescent="0.4">
      <c r="D3460"/>
    </row>
    <row r="3461" spans="4:4" x14ac:dyDescent="0.4">
      <c r="D3461"/>
    </row>
    <row r="3462" spans="4:4" x14ac:dyDescent="0.4">
      <c r="D3462"/>
    </row>
    <row r="3463" spans="4:4" x14ac:dyDescent="0.4">
      <c r="D3463"/>
    </row>
    <row r="3464" spans="4:4" x14ac:dyDescent="0.4">
      <c r="D3464"/>
    </row>
    <row r="3465" spans="4:4" x14ac:dyDescent="0.4">
      <c r="D3465"/>
    </row>
    <row r="3466" spans="4:4" x14ac:dyDescent="0.4">
      <c r="D3466"/>
    </row>
    <row r="3467" spans="4:4" x14ac:dyDescent="0.4">
      <c r="D3467"/>
    </row>
    <row r="3468" spans="4:4" x14ac:dyDescent="0.4">
      <c r="D3468"/>
    </row>
    <row r="3469" spans="4:4" x14ac:dyDescent="0.4">
      <c r="D3469"/>
    </row>
    <row r="3470" spans="4:4" x14ac:dyDescent="0.4">
      <c r="D3470"/>
    </row>
    <row r="3471" spans="4:4" x14ac:dyDescent="0.4">
      <c r="D3471"/>
    </row>
    <row r="3472" spans="4:4" x14ac:dyDescent="0.4">
      <c r="D3472"/>
    </row>
    <row r="3473" spans="4:4" x14ac:dyDescent="0.4">
      <c r="D3473"/>
    </row>
    <row r="3474" spans="4:4" x14ac:dyDescent="0.4">
      <c r="D3474"/>
    </row>
    <row r="3475" spans="4:4" x14ac:dyDescent="0.4">
      <c r="D3475"/>
    </row>
    <row r="3476" spans="4:4" x14ac:dyDescent="0.4">
      <c r="D3476"/>
    </row>
    <row r="3477" spans="4:4" x14ac:dyDescent="0.4">
      <c r="D3477"/>
    </row>
    <row r="3478" spans="4:4" x14ac:dyDescent="0.4">
      <c r="D3478"/>
    </row>
    <row r="3479" spans="4:4" x14ac:dyDescent="0.4">
      <c r="D3479"/>
    </row>
    <row r="3480" spans="4:4" x14ac:dyDescent="0.4">
      <c r="D3480"/>
    </row>
    <row r="3481" spans="4:4" x14ac:dyDescent="0.4">
      <c r="D3481"/>
    </row>
    <row r="3482" spans="4:4" x14ac:dyDescent="0.4">
      <c r="D3482"/>
    </row>
    <row r="3483" spans="4:4" x14ac:dyDescent="0.4">
      <c r="D3483"/>
    </row>
    <row r="3484" spans="4:4" x14ac:dyDescent="0.4">
      <c r="D3484"/>
    </row>
    <row r="3485" spans="4:4" x14ac:dyDescent="0.4">
      <c r="D3485"/>
    </row>
    <row r="3486" spans="4:4" x14ac:dyDescent="0.4">
      <c r="D3486"/>
    </row>
    <row r="3487" spans="4:4" x14ac:dyDescent="0.4">
      <c r="D3487"/>
    </row>
    <row r="3488" spans="4:4" x14ac:dyDescent="0.4">
      <c r="D3488"/>
    </row>
    <row r="3489" spans="4:4" x14ac:dyDescent="0.4">
      <c r="D3489"/>
    </row>
    <row r="3490" spans="4:4" x14ac:dyDescent="0.4">
      <c r="D3490"/>
    </row>
    <row r="3491" spans="4:4" x14ac:dyDescent="0.4">
      <c r="D3491"/>
    </row>
    <row r="3492" spans="4:4" x14ac:dyDescent="0.4">
      <c r="D3492"/>
    </row>
    <row r="3493" spans="4:4" x14ac:dyDescent="0.4">
      <c r="D3493"/>
    </row>
    <row r="3494" spans="4:4" x14ac:dyDescent="0.4">
      <c r="D3494"/>
    </row>
    <row r="3495" spans="4:4" x14ac:dyDescent="0.4">
      <c r="D3495"/>
    </row>
    <row r="3496" spans="4:4" x14ac:dyDescent="0.4">
      <c r="D3496"/>
    </row>
    <row r="3497" spans="4:4" x14ac:dyDescent="0.4">
      <c r="D3497"/>
    </row>
    <row r="3498" spans="4:4" x14ac:dyDescent="0.4">
      <c r="D3498"/>
    </row>
    <row r="3499" spans="4:4" x14ac:dyDescent="0.4">
      <c r="D3499"/>
    </row>
    <row r="3500" spans="4:4" x14ac:dyDescent="0.4">
      <c r="D3500"/>
    </row>
    <row r="3501" spans="4:4" x14ac:dyDescent="0.4">
      <c r="D3501"/>
    </row>
    <row r="3502" spans="4:4" x14ac:dyDescent="0.4">
      <c r="D3502"/>
    </row>
    <row r="3503" spans="4:4" x14ac:dyDescent="0.4">
      <c r="D3503"/>
    </row>
    <row r="3504" spans="4:4" x14ac:dyDescent="0.4">
      <c r="D3504"/>
    </row>
    <row r="3505" spans="4:4" x14ac:dyDescent="0.4">
      <c r="D3505"/>
    </row>
    <row r="3506" spans="4:4" x14ac:dyDescent="0.4">
      <c r="D3506"/>
    </row>
    <row r="3507" spans="4:4" x14ac:dyDescent="0.4">
      <c r="D3507"/>
    </row>
    <row r="3508" spans="4:4" x14ac:dyDescent="0.4">
      <c r="D3508"/>
    </row>
    <row r="3509" spans="4:4" x14ac:dyDescent="0.4">
      <c r="D3509"/>
    </row>
    <row r="3510" spans="4:4" x14ac:dyDescent="0.4">
      <c r="D3510"/>
    </row>
    <row r="3511" spans="4:4" x14ac:dyDescent="0.4">
      <c r="D3511"/>
    </row>
    <row r="3512" spans="4:4" x14ac:dyDescent="0.4">
      <c r="D3512"/>
    </row>
    <row r="3513" spans="4:4" x14ac:dyDescent="0.4">
      <c r="D3513"/>
    </row>
    <row r="3514" spans="4:4" x14ac:dyDescent="0.4">
      <c r="D3514"/>
    </row>
    <row r="3515" spans="4:4" x14ac:dyDescent="0.4">
      <c r="D3515"/>
    </row>
    <row r="3516" spans="4:4" x14ac:dyDescent="0.4">
      <c r="D3516"/>
    </row>
    <row r="3517" spans="4:4" x14ac:dyDescent="0.4">
      <c r="D3517"/>
    </row>
    <row r="3518" spans="4:4" x14ac:dyDescent="0.4">
      <c r="D3518"/>
    </row>
    <row r="3519" spans="4:4" x14ac:dyDescent="0.4">
      <c r="D3519"/>
    </row>
    <row r="3520" spans="4:4" x14ac:dyDescent="0.4">
      <c r="D3520"/>
    </row>
    <row r="3521" spans="4:4" x14ac:dyDescent="0.4">
      <c r="D3521"/>
    </row>
    <row r="3522" spans="4:4" x14ac:dyDescent="0.4">
      <c r="D3522"/>
    </row>
    <row r="3523" spans="4:4" x14ac:dyDescent="0.4">
      <c r="D3523"/>
    </row>
    <row r="3524" spans="4:4" x14ac:dyDescent="0.4">
      <c r="D3524"/>
    </row>
    <row r="3525" spans="4:4" x14ac:dyDescent="0.4">
      <c r="D3525"/>
    </row>
    <row r="3526" spans="4:4" x14ac:dyDescent="0.4">
      <c r="D3526"/>
    </row>
    <row r="3527" spans="4:4" x14ac:dyDescent="0.4">
      <c r="D3527"/>
    </row>
    <row r="3528" spans="4:4" x14ac:dyDescent="0.4">
      <c r="D3528"/>
    </row>
    <row r="3529" spans="4:4" x14ac:dyDescent="0.4">
      <c r="D3529"/>
    </row>
    <row r="3530" spans="4:4" x14ac:dyDescent="0.4">
      <c r="D3530"/>
    </row>
    <row r="3531" spans="4:4" x14ac:dyDescent="0.4">
      <c r="D3531"/>
    </row>
    <row r="3532" spans="4:4" x14ac:dyDescent="0.4">
      <c r="D3532"/>
    </row>
    <row r="3533" spans="4:4" x14ac:dyDescent="0.4">
      <c r="D3533"/>
    </row>
    <row r="3534" spans="4:4" x14ac:dyDescent="0.4">
      <c r="D3534"/>
    </row>
    <row r="3535" spans="4:4" x14ac:dyDescent="0.4">
      <c r="D3535"/>
    </row>
    <row r="3536" spans="4:4" x14ac:dyDescent="0.4">
      <c r="D3536"/>
    </row>
    <row r="3537" spans="4:4" x14ac:dyDescent="0.4">
      <c r="D3537"/>
    </row>
    <row r="3538" spans="4:4" x14ac:dyDescent="0.4">
      <c r="D3538"/>
    </row>
    <row r="3539" spans="4:4" x14ac:dyDescent="0.4">
      <c r="D3539"/>
    </row>
    <row r="3540" spans="4:4" x14ac:dyDescent="0.4">
      <c r="D3540"/>
    </row>
    <row r="3541" spans="4:4" x14ac:dyDescent="0.4">
      <c r="D3541"/>
    </row>
    <row r="3542" spans="4:4" x14ac:dyDescent="0.4">
      <c r="D3542"/>
    </row>
    <row r="3543" spans="4:4" x14ac:dyDescent="0.4">
      <c r="D3543"/>
    </row>
    <row r="3544" spans="4:4" x14ac:dyDescent="0.4">
      <c r="D3544"/>
    </row>
    <row r="3545" spans="4:4" x14ac:dyDescent="0.4">
      <c r="D3545"/>
    </row>
    <row r="3546" spans="4:4" x14ac:dyDescent="0.4">
      <c r="D3546"/>
    </row>
    <row r="3547" spans="4:4" x14ac:dyDescent="0.4">
      <c r="D3547"/>
    </row>
    <row r="3548" spans="4:4" x14ac:dyDescent="0.4">
      <c r="D3548"/>
    </row>
    <row r="3549" spans="4:4" x14ac:dyDescent="0.4">
      <c r="D3549"/>
    </row>
    <row r="3550" spans="4:4" x14ac:dyDescent="0.4">
      <c r="D3550"/>
    </row>
    <row r="3551" spans="4:4" x14ac:dyDescent="0.4">
      <c r="D3551"/>
    </row>
    <row r="3552" spans="4:4" x14ac:dyDescent="0.4">
      <c r="D3552"/>
    </row>
    <row r="3553" spans="4:4" x14ac:dyDescent="0.4">
      <c r="D3553"/>
    </row>
    <row r="3554" spans="4:4" x14ac:dyDescent="0.4">
      <c r="D3554"/>
    </row>
    <row r="3555" spans="4:4" x14ac:dyDescent="0.4">
      <c r="D3555"/>
    </row>
    <row r="3556" spans="4:4" x14ac:dyDescent="0.4">
      <c r="D3556"/>
    </row>
    <row r="3557" spans="4:4" x14ac:dyDescent="0.4">
      <c r="D3557"/>
    </row>
    <row r="3558" spans="4:4" x14ac:dyDescent="0.4">
      <c r="D3558"/>
    </row>
    <row r="3559" spans="4:4" x14ac:dyDescent="0.4">
      <c r="D3559"/>
    </row>
    <row r="3560" spans="4:4" x14ac:dyDescent="0.4">
      <c r="D3560"/>
    </row>
    <row r="3561" spans="4:4" x14ac:dyDescent="0.4">
      <c r="D3561"/>
    </row>
    <row r="3562" spans="4:4" x14ac:dyDescent="0.4">
      <c r="D3562"/>
    </row>
    <row r="3563" spans="4:4" x14ac:dyDescent="0.4">
      <c r="D3563"/>
    </row>
    <row r="3564" spans="4:4" x14ac:dyDescent="0.4">
      <c r="D3564"/>
    </row>
    <row r="3565" spans="4:4" x14ac:dyDescent="0.4">
      <c r="D3565"/>
    </row>
    <row r="3566" spans="4:4" x14ac:dyDescent="0.4">
      <c r="D3566"/>
    </row>
    <row r="3567" spans="4:4" x14ac:dyDescent="0.4">
      <c r="D3567"/>
    </row>
    <row r="3568" spans="4:4" x14ac:dyDescent="0.4">
      <c r="D3568"/>
    </row>
    <row r="3569" spans="4:4" x14ac:dyDescent="0.4">
      <c r="D3569"/>
    </row>
    <row r="3570" spans="4:4" x14ac:dyDescent="0.4">
      <c r="D3570"/>
    </row>
    <row r="3571" spans="4:4" x14ac:dyDescent="0.4">
      <c r="D3571"/>
    </row>
    <row r="3572" spans="4:4" x14ac:dyDescent="0.4">
      <c r="D3572"/>
    </row>
    <row r="3573" spans="4:4" x14ac:dyDescent="0.4">
      <c r="D3573"/>
    </row>
    <row r="3574" spans="4:4" x14ac:dyDescent="0.4">
      <c r="D3574"/>
    </row>
    <row r="3575" spans="4:4" x14ac:dyDescent="0.4">
      <c r="D3575"/>
    </row>
    <row r="3576" spans="4:4" x14ac:dyDescent="0.4">
      <c r="D3576"/>
    </row>
    <row r="3577" spans="4:4" x14ac:dyDescent="0.4">
      <c r="D3577"/>
    </row>
    <row r="3578" spans="4:4" x14ac:dyDescent="0.4">
      <c r="D3578"/>
    </row>
    <row r="3579" spans="4:4" x14ac:dyDescent="0.4">
      <c r="D3579"/>
    </row>
    <row r="3580" spans="4:4" x14ac:dyDescent="0.4">
      <c r="D3580"/>
    </row>
    <row r="3581" spans="4:4" x14ac:dyDescent="0.4">
      <c r="D3581"/>
    </row>
    <row r="3582" spans="4:4" x14ac:dyDescent="0.4">
      <c r="D3582"/>
    </row>
    <row r="3583" spans="4:4" x14ac:dyDescent="0.4">
      <c r="D3583"/>
    </row>
    <row r="3584" spans="4:4" x14ac:dyDescent="0.4">
      <c r="D3584"/>
    </row>
    <row r="3585" spans="4:4" x14ac:dyDescent="0.4">
      <c r="D3585"/>
    </row>
    <row r="3586" spans="4:4" x14ac:dyDescent="0.4">
      <c r="D3586"/>
    </row>
    <row r="3587" spans="4:4" x14ac:dyDescent="0.4">
      <c r="D3587"/>
    </row>
    <row r="3588" spans="4:4" x14ac:dyDescent="0.4">
      <c r="D3588"/>
    </row>
    <row r="3589" spans="4:4" x14ac:dyDescent="0.4">
      <c r="D3589"/>
    </row>
    <row r="3590" spans="4:4" x14ac:dyDescent="0.4">
      <c r="D3590"/>
    </row>
    <row r="3591" spans="4:4" x14ac:dyDescent="0.4">
      <c r="D3591"/>
    </row>
    <row r="3592" spans="4:4" x14ac:dyDescent="0.4">
      <c r="D3592"/>
    </row>
    <row r="3593" spans="4:4" x14ac:dyDescent="0.4">
      <c r="D3593"/>
    </row>
    <row r="3594" spans="4:4" x14ac:dyDescent="0.4">
      <c r="D3594"/>
    </row>
    <row r="3595" spans="4:4" x14ac:dyDescent="0.4">
      <c r="D3595"/>
    </row>
    <row r="3596" spans="4:4" x14ac:dyDescent="0.4">
      <c r="D3596"/>
    </row>
    <row r="3597" spans="4:4" x14ac:dyDescent="0.4">
      <c r="D3597"/>
    </row>
    <row r="3598" spans="4:4" x14ac:dyDescent="0.4">
      <c r="D3598"/>
    </row>
    <row r="3599" spans="4:4" x14ac:dyDescent="0.4">
      <c r="D3599"/>
    </row>
    <row r="3600" spans="4:4" x14ac:dyDescent="0.4">
      <c r="D3600"/>
    </row>
    <row r="3601" spans="4:4" x14ac:dyDescent="0.4">
      <c r="D3601"/>
    </row>
    <row r="3602" spans="4:4" x14ac:dyDescent="0.4">
      <c r="D3602"/>
    </row>
    <row r="3603" spans="4:4" x14ac:dyDescent="0.4">
      <c r="D3603"/>
    </row>
    <row r="3604" spans="4:4" x14ac:dyDescent="0.4">
      <c r="D3604"/>
    </row>
    <row r="3605" spans="4:4" x14ac:dyDescent="0.4">
      <c r="D3605"/>
    </row>
    <row r="3606" spans="4:4" x14ac:dyDescent="0.4">
      <c r="D3606"/>
    </row>
    <row r="3607" spans="4:4" x14ac:dyDescent="0.4">
      <c r="D3607"/>
    </row>
    <row r="3608" spans="4:4" x14ac:dyDescent="0.4">
      <c r="D3608"/>
    </row>
    <row r="3609" spans="4:4" x14ac:dyDescent="0.4">
      <c r="D3609"/>
    </row>
    <row r="3610" spans="4:4" x14ac:dyDescent="0.4">
      <c r="D3610"/>
    </row>
    <row r="3611" spans="4:4" x14ac:dyDescent="0.4">
      <c r="D3611"/>
    </row>
    <row r="3612" spans="4:4" x14ac:dyDescent="0.4">
      <c r="D3612"/>
    </row>
    <row r="3613" spans="4:4" x14ac:dyDescent="0.4">
      <c r="D3613"/>
    </row>
    <row r="3614" spans="4:4" x14ac:dyDescent="0.4">
      <c r="D3614"/>
    </row>
    <row r="3615" spans="4:4" x14ac:dyDescent="0.4">
      <c r="D3615"/>
    </row>
    <row r="3616" spans="4:4" x14ac:dyDescent="0.4">
      <c r="D3616"/>
    </row>
    <row r="3617" spans="4:4" x14ac:dyDescent="0.4">
      <c r="D3617"/>
    </row>
    <row r="3618" spans="4:4" x14ac:dyDescent="0.4">
      <c r="D3618"/>
    </row>
    <row r="3619" spans="4:4" x14ac:dyDescent="0.4">
      <c r="D3619"/>
    </row>
    <row r="3620" spans="4:4" x14ac:dyDescent="0.4">
      <c r="D3620"/>
    </row>
    <row r="3621" spans="4:4" x14ac:dyDescent="0.4">
      <c r="D3621"/>
    </row>
    <row r="3622" spans="4:4" x14ac:dyDescent="0.4">
      <c r="D3622"/>
    </row>
    <row r="3623" spans="4:4" x14ac:dyDescent="0.4">
      <c r="D3623"/>
    </row>
    <row r="3624" spans="4:4" x14ac:dyDescent="0.4">
      <c r="D3624"/>
    </row>
    <row r="3625" spans="4:4" x14ac:dyDescent="0.4">
      <c r="D3625"/>
    </row>
    <row r="3626" spans="4:4" x14ac:dyDescent="0.4">
      <c r="D3626"/>
    </row>
    <row r="3627" spans="4:4" x14ac:dyDescent="0.4">
      <c r="D3627"/>
    </row>
    <row r="3628" spans="4:4" x14ac:dyDescent="0.4">
      <c r="D3628"/>
    </row>
    <row r="3629" spans="4:4" x14ac:dyDescent="0.4">
      <c r="D3629"/>
    </row>
    <row r="3630" spans="4:4" x14ac:dyDescent="0.4">
      <c r="D3630"/>
    </row>
    <row r="3631" spans="4:4" x14ac:dyDescent="0.4">
      <c r="D3631"/>
    </row>
    <row r="3632" spans="4:4" x14ac:dyDescent="0.4">
      <c r="D3632"/>
    </row>
    <row r="3633" spans="4:4" x14ac:dyDescent="0.4">
      <c r="D3633"/>
    </row>
    <row r="3634" spans="4:4" x14ac:dyDescent="0.4">
      <c r="D3634"/>
    </row>
    <row r="3635" spans="4:4" x14ac:dyDescent="0.4">
      <c r="D3635"/>
    </row>
    <row r="3636" spans="4:4" x14ac:dyDescent="0.4">
      <c r="D3636"/>
    </row>
    <row r="3637" spans="4:4" x14ac:dyDescent="0.4">
      <c r="D3637"/>
    </row>
    <row r="3638" spans="4:4" x14ac:dyDescent="0.4">
      <c r="D3638"/>
    </row>
    <row r="3639" spans="4:4" x14ac:dyDescent="0.4">
      <c r="D3639"/>
    </row>
    <row r="3640" spans="4:4" x14ac:dyDescent="0.4">
      <c r="D3640"/>
    </row>
    <row r="3641" spans="4:4" x14ac:dyDescent="0.4">
      <c r="D3641"/>
    </row>
    <row r="3642" spans="4:4" x14ac:dyDescent="0.4">
      <c r="D3642"/>
    </row>
    <row r="3643" spans="4:4" x14ac:dyDescent="0.4">
      <c r="D3643"/>
    </row>
    <row r="3644" spans="4:4" x14ac:dyDescent="0.4">
      <c r="D3644"/>
    </row>
    <row r="3645" spans="4:4" x14ac:dyDescent="0.4">
      <c r="D3645"/>
    </row>
    <row r="3646" spans="4:4" x14ac:dyDescent="0.4">
      <c r="D3646"/>
    </row>
    <row r="3647" spans="4:4" x14ac:dyDescent="0.4">
      <c r="D3647"/>
    </row>
    <row r="3648" spans="4:4" x14ac:dyDescent="0.4">
      <c r="D3648"/>
    </row>
    <row r="3649" spans="4:4" x14ac:dyDescent="0.4">
      <c r="D3649"/>
    </row>
    <row r="3650" spans="4:4" x14ac:dyDescent="0.4">
      <c r="D3650"/>
    </row>
    <row r="3651" spans="4:4" x14ac:dyDescent="0.4">
      <c r="D3651"/>
    </row>
    <row r="3652" spans="4:4" x14ac:dyDescent="0.4">
      <c r="D3652"/>
    </row>
    <row r="3653" spans="4:4" x14ac:dyDescent="0.4">
      <c r="D3653"/>
    </row>
    <row r="3654" spans="4:4" x14ac:dyDescent="0.4">
      <c r="D3654"/>
    </row>
    <row r="3655" spans="4:4" x14ac:dyDescent="0.4">
      <c r="D3655"/>
    </row>
    <row r="3656" spans="4:4" x14ac:dyDescent="0.4">
      <c r="D3656"/>
    </row>
    <row r="3657" spans="4:4" x14ac:dyDescent="0.4">
      <c r="D3657"/>
    </row>
    <row r="3658" spans="4:4" x14ac:dyDescent="0.4">
      <c r="D3658"/>
    </row>
    <row r="3659" spans="4:4" x14ac:dyDescent="0.4">
      <c r="D3659"/>
    </row>
    <row r="3660" spans="4:4" x14ac:dyDescent="0.4">
      <c r="D3660"/>
    </row>
    <row r="3661" spans="4:4" x14ac:dyDescent="0.4">
      <c r="D3661"/>
    </row>
    <row r="3662" spans="4:4" x14ac:dyDescent="0.4">
      <c r="D3662"/>
    </row>
    <row r="3663" spans="4:4" x14ac:dyDescent="0.4">
      <c r="D3663"/>
    </row>
    <row r="3664" spans="4:4" x14ac:dyDescent="0.4">
      <c r="D3664"/>
    </row>
    <row r="3665" spans="4:4" x14ac:dyDescent="0.4">
      <c r="D3665"/>
    </row>
    <row r="3666" spans="4:4" x14ac:dyDescent="0.4">
      <c r="D3666"/>
    </row>
    <row r="3667" spans="4:4" x14ac:dyDescent="0.4">
      <c r="D3667"/>
    </row>
    <row r="3668" spans="4:4" x14ac:dyDescent="0.4">
      <c r="D3668"/>
    </row>
    <row r="3669" spans="4:4" x14ac:dyDescent="0.4">
      <c r="D3669"/>
    </row>
    <row r="3670" spans="4:4" x14ac:dyDescent="0.4">
      <c r="D3670"/>
    </row>
    <row r="3671" spans="4:4" x14ac:dyDescent="0.4">
      <c r="D3671"/>
    </row>
    <row r="3672" spans="4:4" x14ac:dyDescent="0.4">
      <c r="D3672"/>
    </row>
    <row r="3673" spans="4:4" x14ac:dyDescent="0.4">
      <c r="D3673"/>
    </row>
    <row r="3674" spans="4:4" x14ac:dyDescent="0.4">
      <c r="D3674"/>
    </row>
    <row r="3675" spans="4:4" x14ac:dyDescent="0.4">
      <c r="D3675"/>
    </row>
    <row r="3676" spans="4:4" x14ac:dyDescent="0.4">
      <c r="D3676"/>
    </row>
    <row r="3677" spans="4:4" x14ac:dyDescent="0.4">
      <c r="D3677"/>
    </row>
    <row r="3678" spans="4:4" x14ac:dyDescent="0.4">
      <c r="D3678"/>
    </row>
    <row r="3679" spans="4:4" x14ac:dyDescent="0.4">
      <c r="D3679"/>
    </row>
    <row r="3680" spans="4:4" x14ac:dyDescent="0.4">
      <c r="D3680"/>
    </row>
    <row r="3681" spans="4:4" x14ac:dyDescent="0.4">
      <c r="D3681"/>
    </row>
    <row r="3682" spans="4:4" x14ac:dyDescent="0.4">
      <c r="D3682"/>
    </row>
    <row r="3683" spans="4:4" x14ac:dyDescent="0.4">
      <c r="D3683"/>
    </row>
    <row r="3684" spans="4:4" x14ac:dyDescent="0.4">
      <c r="D3684"/>
    </row>
    <row r="3685" spans="4:4" x14ac:dyDescent="0.4">
      <c r="D3685"/>
    </row>
    <row r="3686" spans="4:4" x14ac:dyDescent="0.4">
      <c r="D3686"/>
    </row>
    <row r="3687" spans="4:4" x14ac:dyDescent="0.4">
      <c r="D3687"/>
    </row>
    <row r="3688" spans="4:4" x14ac:dyDescent="0.4">
      <c r="D3688"/>
    </row>
    <row r="3689" spans="4:4" x14ac:dyDescent="0.4">
      <c r="D3689"/>
    </row>
    <row r="3690" spans="4:4" x14ac:dyDescent="0.4">
      <c r="D3690"/>
    </row>
    <row r="3691" spans="4:4" x14ac:dyDescent="0.4">
      <c r="D3691"/>
    </row>
    <row r="3692" spans="4:4" x14ac:dyDescent="0.4">
      <c r="D3692"/>
    </row>
    <row r="3693" spans="4:4" x14ac:dyDescent="0.4">
      <c r="D3693"/>
    </row>
    <row r="3694" spans="4:4" x14ac:dyDescent="0.4">
      <c r="D3694"/>
    </row>
    <row r="3695" spans="4:4" x14ac:dyDescent="0.4">
      <c r="D3695"/>
    </row>
    <row r="3696" spans="4:4" x14ac:dyDescent="0.4">
      <c r="D3696"/>
    </row>
    <row r="3697" spans="4:4" x14ac:dyDescent="0.4">
      <c r="D3697"/>
    </row>
    <row r="3698" spans="4:4" x14ac:dyDescent="0.4">
      <c r="D3698"/>
    </row>
    <row r="3699" spans="4:4" x14ac:dyDescent="0.4">
      <c r="D3699"/>
    </row>
    <row r="3700" spans="4:4" x14ac:dyDescent="0.4">
      <c r="D3700"/>
    </row>
    <row r="3701" spans="4:4" x14ac:dyDescent="0.4">
      <c r="D3701"/>
    </row>
    <row r="3702" spans="4:4" x14ac:dyDescent="0.4">
      <c r="D3702"/>
    </row>
    <row r="3703" spans="4:4" x14ac:dyDescent="0.4">
      <c r="D3703"/>
    </row>
    <row r="3704" spans="4:4" x14ac:dyDescent="0.4">
      <c r="D3704"/>
    </row>
    <row r="3705" spans="4:4" x14ac:dyDescent="0.4">
      <c r="D3705"/>
    </row>
    <row r="3706" spans="4:4" x14ac:dyDescent="0.4">
      <c r="D3706"/>
    </row>
    <row r="3707" spans="4:4" x14ac:dyDescent="0.4">
      <c r="D3707"/>
    </row>
    <row r="3708" spans="4:4" x14ac:dyDescent="0.4">
      <c r="D3708"/>
    </row>
    <row r="3709" spans="4:4" x14ac:dyDescent="0.4">
      <c r="D3709"/>
    </row>
    <row r="3710" spans="4:4" x14ac:dyDescent="0.4">
      <c r="D3710"/>
    </row>
    <row r="3711" spans="4:4" x14ac:dyDescent="0.4">
      <c r="D3711"/>
    </row>
    <row r="3712" spans="4:4" x14ac:dyDescent="0.4">
      <c r="D3712"/>
    </row>
    <row r="3713" spans="4:4" x14ac:dyDescent="0.4">
      <c r="D3713"/>
    </row>
    <row r="3714" spans="4:4" x14ac:dyDescent="0.4">
      <c r="D3714"/>
    </row>
    <row r="3715" spans="4:4" x14ac:dyDescent="0.4">
      <c r="D3715"/>
    </row>
    <row r="3716" spans="4:4" x14ac:dyDescent="0.4">
      <c r="D3716"/>
    </row>
    <row r="3717" spans="4:4" x14ac:dyDescent="0.4">
      <c r="D3717"/>
    </row>
    <row r="3718" spans="4:4" x14ac:dyDescent="0.4">
      <c r="D3718"/>
    </row>
    <row r="3719" spans="4:4" x14ac:dyDescent="0.4">
      <c r="D3719"/>
    </row>
    <row r="3720" spans="4:4" x14ac:dyDescent="0.4">
      <c r="D3720"/>
    </row>
    <row r="3721" spans="4:4" x14ac:dyDescent="0.4">
      <c r="D3721"/>
    </row>
    <row r="3722" spans="4:4" x14ac:dyDescent="0.4">
      <c r="D3722"/>
    </row>
    <row r="3723" spans="4:4" x14ac:dyDescent="0.4">
      <c r="D3723"/>
    </row>
    <row r="3724" spans="4:4" x14ac:dyDescent="0.4">
      <c r="D3724"/>
    </row>
    <row r="3725" spans="4:4" x14ac:dyDescent="0.4">
      <c r="D3725"/>
    </row>
    <row r="3726" spans="4:4" x14ac:dyDescent="0.4">
      <c r="D3726"/>
    </row>
    <row r="3727" spans="4:4" x14ac:dyDescent="0.4">
      <c r="D3727"/>
    </row>
    <row r="3728" spans="4:4" x14ac:dyDescent="0.4">
      <c r="D3728"/>
    </row>
    <row r="3729" spans="4:4" x14ac:dyDescent="0.4">
      <c r="D3729"/>
    </row>
    <row r="3730" spans="4:4" x14ac:dyDescent="0.4">
      <c r="D3730"/>
    </row>
    <row r="3731" spans="4:4" x14ac:dyDescent="0.4">
      <c r="D3731"/>
    </row>
    <row r="3732" spans="4:4" x14ac:dyDescent="0.4">
      <c r="D3732"/>
    </row>
    <row r="3733" spans="4:4" x14ac:dyDescent="0.4">
      <c r="D3733"/>
    </row>
    <row r="3734" spans="4:4" x14ac:dyDescent="0.4">
      <c r="D3734"/>
    </row>
    <row r="3735" spans="4:4" x14ac:dyDescent="0.4">
      <c r="D3735"/>
    </row>
    <row r="3736" spans="4:4" x14ac:dyDescent="0.4">
      <c r="D3736"/>
    </row>
    <row r="3737" spans="4:4" x14ac:dyDescent="0.4">
      <c r="D3737"/>
    </row>
    <row r="3738" spans="4:4" x14ac:dyDescent="0.4">
      <c r="D3738"/>
    </row>
    <row r="3739" spans="4:4" x14ac:dyDescent="0.4">
      <c r="D3739"/>
    </row>
    <row r="3740" spans="4:4" x14ac:dyDescent="0.4">
      <c r="D3740"/>
    </row>
    <row r="3741" spans="4:4" x14ac:dyDescent="0.4">
      <c r="D3741"/>
    </row>
    <row r="3742" spans="4:4" x14ac:dyDescent="0.4">
      <c r="D3742"/>
    </row>
    <row r="3743" spans="4:4" x14ac:dyDescent="0.4">
      <c r="D3743"/>
    </row>
    <row r="3744" spans="4:4" x14ac:dyDescent="0.4">
      <c r="D3744"/>
    </row>
    <row r="3745" spans="4:4" x14ac:dyDescent="0.4">
      <c r="D3745"/>
    </row>
    <row r="3746" spans="4:4" x14ac:dyDescent="0.4">
      <c r="D3746"/>
    </row>
    <row r="3747" spans="4:4" x14ac:dyDescent="0.4">
      <c r="D3747"/>
    </row>
    <row r="3748" spans="4:4" x14ac:dyDescent="0.4">
      <c r="D3748"/>
    </row>
    <row r="3749" spans="4:4" x14ac:dyDescent="0.4">
      <c r="D3749"/>
    </row>
    <row r="3750" spans="4:4" x14ac:dyDescent="0.4">
      <c r="D3750"/>
    </row>
    <row r="3751" spans="4:4" x14ac:dyDescent="0.4">
      <c r="D3751"/>
    </row>
    <row r="3752" spans="4:4" x14ac:dyDescent="0.4">
      <c r="D3752"/>
    </row>
    <row r="3753" spans="4:4" x14ac:dyDescent="0.4">
      <c r="D3753"/>
    </row>
    <row r="3754" spans="4:4" x14ac:dyDescent="0.4">
      <c r="D3754"/>
    </row>
    <row r="3755" spans="4:4" x14ac:dyDescent="0.4">
      <c r="D3755"/>
    </row>
    <row r="3756" spans="4:4" x14ac:dyDescent="0.4">
      <c r="D3756"/>
    </row>
    <row r="3757" spans="4:4" x14ac:dyDescent="0.4">
      <c r="D3757"/>
    </row>
    <row r="3758" spans="4:4" x14ac:dyDescent="0.4">
      <c r="D3758"/>
    </row>
    <row r="3759" spans="4:4" x14ac:dyDescent="0.4">
      <c r="D3759"/>
    </row>
    <row r="3760" spans="4:4" x14ac:dyDescent="0.4">
      <c r="D3760"/>
    </row>
    <row r="3761" spans="4:4" x14ac:dyDescent="0.4">
      <c r="D3761"/>
    </row>
    <row r="3762" spans="4:4" x14ac:dyDescent="0.4">
      <c r="D3762"/>
    </row>
    <row r="3763" spans="4:4" x14ac:dyDescent="0.4">
      <c r="D3763"/>
    </row>
    <row r="3764" spans="4:4" x14ac:dyDescent="0.4">
      <c r="D3764"/>
    </row>
    <row r="3765" spans="4:4" x14ac:dyDescent="0.4">
      <c r="D3765"/>
    </row>
    <row r="3766" spans="4:4" x14ac:dyDescent="0.4">
      <c r="D3766"/>
    </row>
    <row r="3767" spans="4:4" x14ac:dyDescent="0.4">
      <c r="D3767"/>
    </row>
    <row r="3768" spans="4:4" x14ac:dyDescent="0.4">
      <c r="D3768"/>
    </row>
    <row r="3769" spans="4:4" x14ac:dyDescent="0.4">
      <c r="D3769"/>
    </row>
    <row r="3770" spans="4:4" x14ac:dyDescent="0.4">
      <c r="D3770"/>
    </row>
    <row r="3771" spans="4:4" x14ac:dyDescent="0.4">
      <c r="D3771"/>
    </row>
    <row r="3772" spans="4:4" x14ac:dyDescent="0.4">
      <c r="D3772"/>
    </row>
    <row r="3773" spans="4:4" x14ac:dyDescent="0.4">
      <c r="D3773"/>
    </row>
    <row r="3774" spans="4:4" x14ac:dyDescent="0.4">
      <c r="D3774"/>
    </row>
    <row r="3775" spans="4:4" x14ac:dyDescent="0.4">
      <c r="D3775"/>
    </row>
    <row r="3776" spans="4:4" x14ac:dyDescent="0.4">
      <c r="D3776"/>
    </row>
    <row r="3777" spans="4:4" x14ac:dyDescent="0.4">
      <c r="D3777"/>
    </row>
    <row r="3778" spans="4:4" x14ac:dyDescent="0.4">
      <c r="D3778"/>
    </row>
    <row r="3779" spans="4:4" x14ac:dyDescent="0.4">
      <c r="D3779"/>
    </row>
    <row r="3780" spans="4:4" x14ac:dyDescent="0.4">
      <c r="D3780"/>
    </row>
    <row r="3781" spans="4:4" x14ac:dyDescent="0.4">
      <c r="D3781"/>
    </row>
    <row r="3782" spans="4:4" x14ac:dyDescent="0.4">
      <c r="D3782"/>
    </row>
    <row r="3783" spans="4:4" x14ac:dyDescent="0.4">
      <c r="D3783"/>
    </row>
    <row r="3784" spans="4:4" x14ac:dyDescent="0.4">
      <c r="D3784"/>
    </row>
    <row r="3785" spans="4:4" x14ac:dyDescent="0.4">
      <c r="D3785"/>
    </row>
    <row r="3786" spans="4:4" x14ac:dyDescent="0.4">
      <c r="D3786"/>
    </row>
    <row r="3787" spans="4:4" x14ac:dyDescent="0.4">
      <c r="D3787"/>
    </row>
    <row r="3788" spans="4:4" x14ac:dyDescent="0.4">
      <c r="D3788"/>
    </row>
    <row r="3789" spans="4:4" x14ac:dyDescent="0.4">
      <c r="D3789"/>
    </row>
    <row r="3790" spans="4:4" x14ac:dyDescent="0.4">
      <c r="D3790"/>
    </row>
    <row r="3791" spans="4:4" x14ac:dyDescent="0.4">
      <c r="D3791"/>
    </row>
    <row r="3792" spans="4:4" x14ac:dyDescent="0.4">
      <c r="D3792"/>
    </row>
    <row r="3793" spans="4:4" x14ac:dyDescent="0.4">
      <c r="D3793"/>
    </row>
    <row r="3794" spans="4:4" x14ac:dyDescent="0.4">
      <c r="D3794"/>
    </row>
    <row r="3795" spans="4:4" x14ac:dyDescent="0.4">
      <c r="D3795"/>
    </row>
    <row r="3796" spans="4:4" x14ac:dyDescent="0.4">
      <c r="D3796"/>
    </row>
    <row r="3797" spans="4:4" x14ac:dyDescent="0.4">
      <c r="D3797"/>
    </row>
    <row r="3798" spans="4:4" x14ac:dyDescent="0.4">
      <c r="D3798"/>
    </row>
    <row r="3799" spans="4:4" x14ac:dyDescent="0.4">
      <c r="D3799"/>
    </row>
    <row r="3800" spans="4:4" x14ac:dyDescent="0.4">
      <c r="D3800"/>
    </row>
    <row r="3801" spans="4:4" x14ac:dyDescent="0.4">
      <c r="D3801"/>
    </row>
    <row r="3802" spans="4:4" x14ac:dyDescent="0.4">
      <c r="D3802"/>
    </row>
    <row r="3803" spans="4:4" x14ac:dyDescent="0.4">
      <c r="D3803"/>
    </row>
    <row r="3804" spans="4:4" x14ac:dyDescent="0.4">
      <c r="D3804"/>
    </row>
    <row r="3805" spans="4:4" x14ac:dyDescent="0.4">
      <c r="D3805"/>
    </row>
    <row r="3806" spans="4:4" x14ac:dyDescent="0.4">
      <c r="D3806"/>
    </row>
    <row r="3807" spans="4:4" x14ac:dyDescent="0.4">
      <c r="D3807"/>
    </row>
    <row r="3808" spans="4:4" x14ac:dyDescent="0.4">
      <c r="D3808"/>
    </row>
    <row r="3809" spans="4:4" x14ac:dyDescent="0.4">
      <c r="D3809"/>
    </row>
    <row r="3810" spans="4:4" x14ac:dyDescent="0.4">
      <c r="D3810"/>
    </row>
    <row r="3811" spans="4:4" x14ac:dyDescent="0.4">
      <c r="D3811"/>
    </row>
    <row r="3812" spans="4:4" x14ac:dyDescent="0.4">
      <c r="D3812"/>
    </row>
    <row r="3813" spans="4:4" x14ac:dyDescent="0.4">
      <c r="D3813"/>
    </row>
    <row r="3814" spans="4:4" x14ac:dyDescent="0.4">
      <c r="D3814"/>
    </row>
    <row r="3815" spans="4:4" x14ac:dyDescent="0.4">
      <c r="D3815"/>
    </row>
    <row r="3816" spans="4:4" x14ac:dyDescent="0.4">
      <c r="D3816"/>
    </row>
    <row r="3817" spans="4:4" x14ac:dyDescent="0.4">
      <c r="D3817"/>
    </row>
    <row r="3818" spans="4:4" x14ac:dyDescent="0.4">
      <c r="D3818"/>
    </row>
    <row r="3819" spans="4:4" x14ac:dyDescent="0.4">
      <c r="D3819"/>
    </row>
    <row r="3820" spans="4:4" x14ac:dyDescent="0.4">
      <c r="D3820"/>
    </row>
    <row r="3821" spans="4:4" x14ac:dyDescent="0.4">
      <c r="D3821"/>
    </row>
    <row r="3822" spans="4:4" x14ac:dyDescent="0.4">
      <c r="D3822"/>
    </row>
    <row r="3823" spans="4:4" x14ac:dyDescent="0.4">
      <c r="D3823"/>
    </row>
    <row r="3824" spans="4:4" x14ac:dyDescent="0.4">
      <c r="D3824"/>
    </row>
    <row r="3825" spans="4:4" x14ac:dyDescent="0.4">
      <c r="D3825"/>
    </row>
    <row r="3826" spans="4:4" x14ac:dyDescent="0.4">
      <c r="D3826"/>
    </row>
    <row r="3827" spans="4:4" x14ac:dyDescent="0.4">
      <c r="D3827"/>
    </row>
    <row r="3828" spans="4:4" x14ac:dyDescent="0.4">
      <c r="D3828"/>
    </row>
    <row r="3829" spans="4:4" x14ac:dyDescent="0.4">
      <c r="D3829"/>
    </row>
    <row r="3830" spans="4:4" x14ac:dyDescent="0.4">
      <c r="D3830"/>
    </row>
    <row r="3831" spans="4:4" x14ac:dyDescent="0.4">
      <c r="D3831"/>
    </row>
    <row r="3832" spans="4:4" x14ac:dyDescent="0.4">
      <c r="D3832"/>
    </row>
    <row r="3833" spans="4:4" x14ac:dyDescent="0.4">
      <c r="D3833"/>
    </row>
    <row r="3834" spans="4:4" x14ac:dyDescent="0.4">
      <c r="D3834"/>
    </row>
    <row r="3835" spans="4:4" x14ac:dyDescent="0.4">
      <c r="D3835"/>
    </row>
    <row r="3836" spans="4:4" x14ac:dyDescent="0.4">
      <c r="D3836"/>
    </row>
    <row r="3837" spans="4:4" x14ac:dyDescent="0.4">
      <c r="D3837"/>
    </row>
    <row r="3838" spans="4:4" x14ac:dyDescent="0.4">
      <c r="D3838"/>
    </row>
    <row r="3839" spans="4:4" x14ac:dyDescent="0.4">
      <c r="D3839"/>
    </row>
    <row r="3840" spans="4:4" x14ac:dyDescent="0.4">
      <c r="D3840"/>
    </row>
    <row r="3841" spans="4:4" x14ac:dyDescent="0.4">
      <c r="D3841"/>
    </row>
    <row r="3842" spans="4:4" x14ac:dyDescent="0.4">
      <c r="D3842"/>
    </row>
    <row r="3843" spans="4:4" x14ac:dyDescent="0.4">
      <c r="D3843"/>
    </row>
    <row r="3844" spans="4:4" x14ac:dyDescent="0.4">
      <c r="D3844"/>
    </row>
    <row r="3845" spans="4:4" x14ac:dyDescent="0.4">
      <c r="D3845"/>
    </row>
    <row r="3846" spans="4:4" x14ac:dyDescent="0.4">
      <c r="D3846"/>
    </row>
    <row r="3847" spans="4:4" x14ac:dyDescent="0.4">
      <c r="D3847"/>
    </row>
    <row r="3848" spans="4:4" x14ac:dyDescent="0.4">
      <c r="D3848"/>
    </row>
    <row r="3849" spans="4:4" x14ac:dyDescent="0.4">
      <c r="D3849"/>
    </row>
    <row r="3850" spans="4:4" x14ac:dyDescent="0.4">
      <c r="D3850"/>
    </row>
    <row r="3851" spans="4:4" x14ac:dyDescent="0.4">
      <c r="D3851"/>
    </row>
    <row r="3852" spans="4:4" x14ac:dyDescent="0.4">
      <c r="D3852"/>
    </row>
    <row r="3853" spans="4:4" x14ac:dyDescent="0.4">
      <c r="D3853"/>
    </row>
    <row r="3854" spans="4:4" x14ac:dyDescent="0.4">
      <c r="D3854"/>
    </row>
    <row r="3855" spans="4:4" x14ac:dyDescent="0.4">
      <c r="D3855"/>
    </row>
    <row r="3856" spans="4:4" x14ac:dyDescent="0.4">
      <c r="D3856"/>
    </row>
    <row r="3857" spans="4:4" x14ac:dyDescent="0.4">
      <c r="D3857"/>
    </row>
    <row r="3858" spans="4:4" x14ac:dyDescent="0.4">
      <c r="D3858"/>
    </row>
    <row r="3859" spans="4:4" x14ac:dyDescent="0.4">
      <c r="D3859"/>
    </row>
    <row r="3860" spans="4:4" x14ac:dyDescent="0.4">
      <c r="D3860"/>
    </row>
    <row r="3861" spans="4:4" x14ac:dyDescent="0.4">
      <c r="D3861"/>
    </row>
    <row r="3862" spans="4:4" x14ac:dyDescent="0.4">
      <c r="D3862"/>
    </row>
    <row r="3863" spans="4:4" x14ac:dyDescent="0.4">
      <c r="D3863"/>
    </row>
    <row r="3864" spans="4:4" x14ac:dyDescent="0.4">
      <c r="D3864"/>
    </row>
    <row r="3865" spans="4:4" x14ac:dyDescent="0.4">
      <c r="D3865"/>
    </row>
    <row r="3866" spans="4:4" x14ac:dyDescent="0.4">
      <c r="D3866"/>
    </row>
    <row r="3867" spans="4:4" x14ac:dyDescent="0.4">
      <c r="D3867"/>
    </row>
    <row r="3868" spans="4:4" x14ac:dyDescent="0.4">
      <c r="D3868"/>
    </row>
    <row r="3869" spans="4:4" x14ac:dyDescent="0.4">
      <c r="D3869"/>
    </row>
    <row r="3870" spans="4:4" x14ac:dyDescent="0.4">
      <c r="D3870"/>
    </row>
    <row r="3871" spans="4:4" x14ac:dyDescent="0.4">
      <c r="D3871"/>
    </row>
    <row r="3872" spans="4:4" x14ac:dyDescent="0.4">
      <c r="D3872"/>
    </row>
    <row r="3873" spans="4:4" x14ac:dyDescent="0.4">
      <c r="D3873"/>
    </row>
    <row r="3874" spans="4:4" x14ac:dyDescent="0.4">
      <c r="D3874"/>
    </row>
    <row r="3875" spans="4:4" x14ac:dyDescent="0.4">
      <c r="D3875"/>
    </row>
    <row r="3876" spans="4:4" x14ac:dyDescent="0.4">
      <c r="D3876"/>
    </row>
    <row r="3877" spans="4:4" x14ac:dyDescent="0.4">
      <c r="D3877"/>
    </row>
    <row r="3878" spans="4:4" x14ac:dyDescent="0.4">
      <c r="D3878"/>
    </row>
    <row r="3879" spans="4:4" x14ac:dyDescent="0.4">
      <c r="D3879"/>
    </row>
    <row r="3880" spans="4:4" x14ac:dyDescent="0.4">
      <c r="D3880"/>
    </row>
    <row r="3881" spans="4:4" x14ac:dyDescent="0.4">
      <c r="D3881"/>
    </row>
    <row r="3882" spans="4:4" x14ac:dyDescent="0.4">
      <c r="D3882"/>
    </row>
    <row r="3883" spans="4:4" x14ac:dyDescent="0.4">
      <c r="D3883"/>
    </row>
    <row r="3884" spans="4:4" x14ac:dyDescent="0.4">
      <c r="D3884"/>
    </row>
    <row r="3885" spans="4:4" x14ac:dyDescent="0.4">
      <c r="D3885"/>
    </row>
    <row r="3886" spans="4:4" x14ac:dyDescent="0.4">
      <c r="D3886"/>
    </row>
    <row r="3887" spans="4:4" x14ac:dyDescent="0.4">
      <c r="D3887"/>
    </row>
    <row r="3888" spans="4:4" x14ac:dyDescent="0.4">
      <c r="D3888"/>
    </row>
    <row r="3889" spans="4:4" x14ac:dyDescent="0.4">
      <c r="D3889"/>
    </row>
    <row r="3890" spans="4:4" x14ac:dyDescent="0.4">
      <c r="D3890"/>
    </row>
    <row r="3891" spans="4:4" x14ac:dyDescent="0.4">
      <c r="D3891"/>
    </row>
    <row r="3892" spans="4:4" x14ac:dyDescent="0.4">
      <c r="D3892"/>
    </row>
    <row r="3893" spans="4:4" x14ac:dyDescent="0.4">
      <c r="D3893"/>
    </row>
    <row r="3894" spans="4:4" x14ac:dyDescent="0.4">
      <c r="D3894"/>
    </row>
    <row r="3895" spans="4:4" x14ac:dyDescent="0.4">
      <c r="D3895"/>
    </row>
    <row r="3896" spans="4:4" x14ac:dyDescent="0.4">
      <c r="D3896"/>
    </row>
    <row r="3897" spans="4:4" x14ac:dyDescent="0.4">
      <c r="D3897"/>
    </row>
    <row r="3898" spans="4:4" x14ac:dyDescent="0.4">
      <c r="D3898"/>
    </row>
    <row r="3899" spans="4:4" x14ac:dyDescent="0.4">
      <c r="D3899"/>
    </row>
    <row r="3900" spans="4:4" x14ac:dyDescent="0.4">
      <c r="D3900"/>
    </row>
    <row r="3901" spans="4:4" x14ac:dyDescent="0.4">
      <c r="D3901"/>
    </row>
    <row r="3902" spans="4:4" x14ac:dyDescent="0.4">
      <c r="D3902"/>
    </row>
    <row r="3903" spans="4:4" x14ac:dyDescent="0.4">
      <c r="D3903"/>
    </row>
    <row r="3904" spans="4:4" x14ac:dyDescent="0.4">
      <c r="D3904"/>
    </row>
    <row r="3905" spans="4:4" x14ac:dyDescent="0.4">
      <c r="D3905"/>
    </row>
    <row r="3906" spans="4:4" x14ac:dyDescent="0.4">
      <c r="D3906"/>
    </row>
    <row r="3907" spans="4:4" x14ac:dyDescent="0.4">
      <c r="D3907"/>
    </row>
    <row r="3908" spans="4:4" x14ac:dyDescent="0.4">
      <c r="D3908"/>
    </row>
    <row r="3909" spans="4:4" x14ac:dyDescent="0.4">
      <c r="D3909"/>
    </row>
    <row r="3910" spans="4:4" x14ac:dyDescent="0.4">
      <c r="D3910"/>
    </row>
    <row r="3911" spans="4:4" x14ac:dyDescent="0.4">
      <c r="D3911"/>
    </row>
    <row r="3912" spans="4:4" x14ac:dyDescent="0.4">
      <c r="D3912"/>
    </row>
    <row r="3913" spans="4:4" x14ac:dyDescent="0.4">
      <c r="D3913"/>
    </row>
    <row r="3914" spans="4:4" x14ac:dyDescent="0.4">
      <c r="D3914"/>
    </row>
    <row r="3915" spans="4:4" x14ac:dyDescent="0.4">
      <c r="D3915"/>
    </row>
    <row r="3916" spans="4:4" x14ac:dyDescent="0.4">
      <c r="D3916"/>
    </row>
    <row r="3917" spans="4:4" x14ac:dyDescent="0.4">
      <c r="D3917"/>
    </row>
    <row r="3918" spans="4:4" x14ac:dyDescent="0.4">
      <c r="D3918"/>
    </row>
    <row r="3919" spans="4:4" x14ac:dyDescent="0.4">
      <c r="D3919"/>
    </row>
    <row r="3920" spans="4:4" x14ac:dyDescent="0.4">
      <c r="D3920"/>
    </row>
    <row r="3921" spans="4:4" x14ac:dyDescent="0.4">
      <c r="D3921"/>
    </row>
    <row r="3922" spans="4:4" x14ac:dyDescent="0.4">
      <c r="D3922"/>
    </row>
    <row r="3923" spans="4:4" x14ac:dyDescent="0.4">
      <c r="D3923"/>
    </row>
    <row r="3924" spans="4:4" x14ac:dyDescent="0.4">
      <c r="D3924"/>
    </row>
    <row r="3925" spans="4:4" x14ac:dyDescent="0.4">
      <c r="D3925"/>
    </row>
    <row r="3926" spans="4:4" x14ac:dyDescent="0.4">
      <c r="D3926"/>
    </row>
    <row r="3927" spans="4:4" x14ac:dyDescent="0.4">
      <c r="D3927"/>
    </row>
    <row r="3928" spans="4:4" x14ac:dyDescent="0.4">
      <c r="D3928"/>
    </row>
    <row r="3929" spans="4:4" x14ac:dyDescent="0.4">
      <c r="D3929"/>
    </row>
    <row r="3930" spans="4:4" x14ac:dyDescent="0.4">
      <c r="D3930"/>
    </row>
    <row r="3931" spans="4:4" x14ac:dyDescent="0.4">
      <c r="D3931"/>
    </row>
    <row r="3932" spans="4:4" x14ac:dyDescent="0.4">
      <c r="D3932"/>
    </row>
    <row r="3933" spans="4:4" x14ac:dyDescent="0.4">
      <c r="D3933"/>
    </row>
    <row r="3934" spans="4:4" x14ac:dyDescent="0.4">
      <c r="D3934"/>
    </row>
    <row r="3935" spans="4:4" x14ac:dyDescent="0.4">
      <c r="D3935"/>
    </row>
    <row r="3936" spans="4:4" x14ac:dyDescent="0.4">
      <c r="D3936"/>
    </row>
    <row r="3937" spans="4:4" x14ac:dyDescent="0.4">
      <c r="D3937"/>
    </row>
    <row r="3938" spans="4:4" x14ac:dyDescent="0.4">
      <c r="D3938"/>
    </row>
    <row r="3939" spans="4:4" x14ac:dyDescent="0.4">
      <c r="D3939"/>
    </row>
    <row r="3940" spans="4:4" x14ac:dyDescent="0.4">
      <c r="D3940"/>
    </row>
    <row r="3941" spans="4:4" x14ac:dyDescent="0.4">
      <c r="D3941"/>
    </row>
    <row r="3942" spans="4:4" x14ac:dyDescent="0.4">
      <c r="D3942"/>
    </row>
    <row r="3943" spans="4:4" x14ac:dyDescent="0.4">
      <c r="D3943"/>
    </row>
    <row r="3944" spans="4:4" x14ac:dyDescent="0.4">
      <c r="D3944"/>
    </row>
    <row r="3945" spans="4:4" x14ac:dyDescent="0.4">
      <c r="D3945"/>
    </row>
    <row r="3946" spans="4:4" x14ac:dyDescent="0.4">
      <c r="D3946"/>
    </row>
    <row r="3947" spans="4:4" x14ac:dyDescent="0.4">
      <c r="D3947"/>
    </row>
    <row r="3948" spans="4:4" x14ac:dyDescent="0.4">
      <c r="D3948"/>
    </row>
    <row r="3949" spans="4:4" x14ac:dyDescent="0.4">
      <c r="D3949"/>
    </row>
    <row r="3950" spans="4:4" x14ac:dyDescent="0.4">
      <c r="D3950"/>
    </row>
    <row r="3951" spans="4:4" x14ac:dyDescent="0.4">
      <c r="D3951"/>
    </row>
    <row r="3952" spans="4:4" x14ac:dyDescent="0.4">
      <c r="D3952"/>
    </row>
    <row r="3953" spans="4:4" x14ac:dyDescent="0.4">
      <c r="D3953"/>
    </row>
    <row r="3954" spans="4:4" x14ac:dyDescent="0.4">
      <c r="D3954"/>
    </row>
    <row r="3955" spans="4:4" x14ac:dyDescent="0.4">
      <c r="D3955"/>
    </row>
    <row r="3956" spans="4:4" x14ac:dyDescent="0.4">
      <c r="D3956"/>
    </row>
    <row r="3957" spans="4:4" x14ac:dyDescent="0.4">
      <c r="D3957"/>
    </row>
    <row r="3958" spans="4:4" x14ac:dyDescent="0.4">
      <c r="D3958"/>
    </row>
    <row r="3959" spans="4:4" x14ac:dyDescent="0.4">
      <c r="D3959"/>
    </row>
    <row r="3960" spans="4:4" x14ac:dyDescent="0.4">
      <c r="D3960"/>
    </row>
    <row r="3961" spans="4:4" x14ac:dyDescent="0.4">
      <c r="D3961"/>
    </row>
    <row r="3962" spans="4:4" x14ac:dyDescent="0.4">
      <c r="D3962"/>
    </row>
    <row r="3963" spans="4:4" x14ac:dyDescent="0.4">
      <c r="D3963"/>
    </row>
    <row r="3964" spans="4:4" x14ac:dyDescent="0.4">
      <c r="D3964"/>
    </row>
    <row r="3965" spans="4:4" x14ac:dyDescent="0.4">
      <c r="D3965"/>
    </row>
    <row r="3966" spans="4:4" x14ac:dyDescent="0.4">
      <c r="D3966"/>
    </row>
    <row r="3967" spans="4:4" x14ac:dyDescent="0.4">
      <c r="D3967"/>
    </row>
    <row r="3968" spans="4:4" x14ac:dyDescent="0.4">
      <c r="D3968"/>
    </row>
    <row r="3969" spans="4:4" x14ac:dyDescent="0.4">
      <c r="D3969"/>
    </row>
    <row r="3970" spans="4:4" x14ac:dyDescent="0.4">
      <c r="D3970"/>
    </row>
    <row r="3971" spans="4:4" x14ac:dyDescent="0.4">
      <c r="D3971"/>
    </row>
    <row r="3972" spans="4:4" x14ac:dyDescent="0.4">
      <c r="D3972"/>
    </row>
    <row r="3973" spans="4:4" x14ac:dyDescent="0.4">
      <c r="D3973"/>
    </row>
    <row r="3974" spans="4:4" x14ac:dyDescent="0.4">
      <c r="D3974"/>
    </row>
    <row r="3975" spans="4:4" x14ac:dyDescent="0.4">
      <c r="D3975"/>
    </row>
    <row r="3976" spans="4:4" x14ac:dyDescent="0.4">
      <c r="D3976"/>
    </row>
    <row r="3977" spans="4:4" x14ac:dyDescent="0.4">
      <c r="D3977"/>
    </row>
    <row r="3978" spans="4:4" x14ac:dyDescent="0.4">
      <c r="D3978"/>
    </row>
    <row r="3979" spans="4:4" x14ac:dyDescent="0.4">
      <c r="D3979"/>
    </row>
    <row r="3980" spans="4:4" x14ac:dyDescent="0.4">
      <c r="D3980"/>
    </row>
    <row r="3981" spans="4:4" x14ac:dyDescent="0.4">
      <c r="D3981"/>
    </row>
    <row r="3982" spans="4:4" x14ac:dyDescent="0.4">
      <c r="D3982"/>
    </row>
    <row r="3983" spans="4:4" x14ac:dyDescent="0.4">
      <c r="D3983"/>
    </row>
    <row r="3984" spans="4:4" x14ac:dyDescent="0.4">
      <c r="D3984"/>
    </row>
    <row r="3985" spans="4:4" x14ac:dyDescent="0.4">
      <c r="D3985"/>
    </row>
    <row r="3986" spans="4:4" x14ac:dyDescent="0.4">
      <c r="D3986"/>
    </row>
    <row r="3987" spans="4:4" x14ac:dyDescent="0.4">
      <c r="D3987"/>
    </row>
    <row r="3988" spans="4:4" x14ac:dyDescent="0.4">
      <c r="D3988"/>
    </row>
    <row r="3989" spans="4:4" x14ac:dyDescent="0.4">
      <c r="D3989"/>
    </row>
    <row r="3990" spans="4:4" x14ac:dyDescent="0.4">
      <c r="D3990"/>
    </row>
    <row r="3991" spans="4:4" x14ac:dyDescent="0.4">
      <c r="D3991"/>
    </row>
    <row r="3992" spans="4:4" x14ac:dyDescent="0.4">
      <c r="D3992"/>
    </row>
    <row r="3993" spans="4:4" x14ac:dyDescent="0.4">
      <c r="D3993"/>
    </row>
    <row r="3994" spans="4:4" x14ac:dyDescent="0.4">
      <c r="D3994"/>
    </row>
    <row r="3995" spans="4:4" x14ac:dyDescent="0.4">
      <c r="D3995"/>
    </row>
    <row r="3996" spans="4:4" x14ac:dyDescent="0.4">
      <c r="D3996"/>
    </row>
    <row r="3997" spans="4:4" x14ac:dyDescent="0.4">
      <c r="D3997"/>
    </row>
    <row r="3998" spans="4:4" x14ac:dyDescent="0.4">
      <c r="D3998"/>
    </row>
    <row r="3999" spans="4:4" x14ac:dyDescent="0.4">
      <c r="D3999"/>
    </row>
    <row r="4000" spans="4:4" x14ac:dyDescent="0.4">
      <c r="D4000"/>
    </row>
    <row r="4001" spans="4:4" x14ac:dyDescent="0.4">
      <c r="D4001"/>
    </row>
    <row r="4002" spans="4:4" x14ac:dyDescent="0.4">
      <c r="D4002"/>
    </row>
    <row r="4003" spans="4:4" x14ac:dyDescent="0.4">
      <c r="D4003"/>
    </row>
    <row r="4004" spans="4:4" x14ac:dyDescent="0.4">
      <c r="D4004"/>
    </row>
    <row r="4005" spans="4:4" x14ac:dyDescent="0.4">
      <c r="D4005"/>
    </row>
    <row r="4006" spans="4:4" x14ac:dyDescent="0.4">
      <c r="D4006"/>
    </row>
    <row r="4007" spans="4:4" x14ac:dyDescent="0.4">
      <c r="D4007"/>
    </row>
    <row r="4008" spans="4:4" x14ac:dyDescent="0.4">
      <c r="D4008"/>
    </row>
    <row r="4009" spans="4:4" x14ac:dyDescent="0.4">
      <c r="D4009"/>
    </row>
    <row r="4010" spans="4:4" x14ac:dyDescent="0.4">
      <c r="D4010"/>
    </row>
    <row r="4011" spans="4:4" x14ac:dyDescent="0.4">
      <c r="D4011"/>
    </row>
    <row r="4012" spans="4:4" x14ac:dyDescent="0.4">
      <c r="D4012"/>
    </row>
    <row r="4013" spans="4:4" x14ac:dyDescent="0.4">
      <c r="D4013"/>
    </row>
    <row r="4014" spans="4:4" x14ac:dyDescent="0.4">
      <c r="D4014"/>
    </row>
    <row r="4015" spans="4:4" x14ac:dyDescent="0.4">
      <c r="D4015"/>
    </row>
    <row r="4016" spans="4:4" x14ac:dyDescent="0.4">
      <c r="D4016"/>
    </row>
    <row r="4017" spans="4:4" x14ac:dyDescent="0.4">
      <c r="D4017"/>
    </row>
    <row r="4018" spans="4:4" x14ac:dyDescent="0.4">
      <c r="D4018"/>
    </row>
    <row r="4019" spans="4:4" x14ac:dyDescent="0.4">
      <c r="D4019"/>
    </row>
    <row r="4020" spans="4:4" x14ac:dyDescent="0.4">
      <c r="D4020"/>
    </row>
    <row r="4021" spans="4:4" x14ac:dyDescent="0.4">
      <c r="D4021"/>
    </row>
    <row r="4022" spans="4:4" x14ac:dyDescent="0.4">
      <c r="D4022"/>
    </row>
    <row r="4023" spans="4:4" x14ac:dyDescent="0.4">
      <c r="D4023"/>
    </row>
    <row r="4024" spans="4:4" x14ac:dyDescent="0.4">
      <c r="D4024"/>
    </row>
    <row r="4025" spans="4:4" x14ac:dyDescent="0.4">
      <c r="D4025"/>
    </row>
    <row r="4026" spans="4:4" x14ac:dyDescent="0.4">
      <c r="D4026"/>
    </row>
    <row r="4027" spans="4:4" x14ac:dyDescent="0.4">
      <c r="D4027"/>
    </row>
    <row r="4028" spans="4:4" x14ac:dyDescent="0.4">
      <c r="D4028"/>
    </row>
    <row r="4029" spans="4:4" x14ac:dyDescent="0.4">
      <c r="D4029"/>
    </row>
    <row r="4030" spans="4:4" x14ac:dyDescent="0.4">
      <c r="D4030"/>
    </row>
    <row r="4031" spans="4:4" x14ac:dyDescent="0.4">
      <c r="D4031"/>
    </row>
    <row r="4032" spans="4:4" x14ac:dyDescent="0.4">
      <c r="D4032"/>
    </row>
    <row r="4033" spans="4:4" x14ac:dyDescent="0.4">
      <c r="D4033"/>
    </row>
    <row r="4034" spans="4:4" x14ac:dyDescent="0.4">
      <c r="D4034"/>
    </row>
    <row r="4035" spans="4:4" x14ac:dyDescent="0.4">
      <c r="D4035"/>
    </row>
    <row r="4036" spans="4:4" x14ac:dyDescent="0.4">
      <c r="D4036"/>
    </row>
    <row r="4037" spans="4:4" x14ac:dyDescent="0.4">
      <c r="D4037"/>
    </row>
    <row r="4038" spans="4:4" x14ac:dyDescent="0.4">
      <c r="D4038"/>
    </row>
    <row r="4039" spans="4:4" x14ac:dyDescent="0.4">
      <c r="D4039"/>
    </row>
    <row r="4040" spans="4:4" x14ac:dyDescent="0.4">
      <c r="D4040"/>
    </row>
    <row r="4041" spans="4:4" x14ac:dyDescent="0.4">
      <c r="D4041"/>
    </row>
    <row r="4042" spans="4:4" x14ac:dyDescent="0.4">
      <c r="D4042"/>
    </row>
    <row r="4043" spans="4:4" x14ac:dyDescent="0.4">
      <c r="D4043"/>
    </row>
    <row r="4044" spans="4:4" x14ac:dyDescent="0.4">
      <c r="D4044"/>
    </row>
    <row r="4045" spans="4:4" x14ac:dyDescent="0.4">
      <c r="D4045"/>
    </row>
    <row r="4046" spans="4:4" x14ac:dyDescent="0.4">
      <c r="D4046"/>
    </row>
    <row r="4047" spans="4:4" x14ac:dyDescent="0.4">
      <c r="D4047"/>
    </row>
    <row r="4048" spans="4:4" x14ac:dyDescent="0.4">
      <c r="D4048"/>
    </row>
    <row r="4049" spans="4:4" x14ac:dyDescent="0.4">
      <c r="D4049"/>
    </row>
    <row r="4050" spans="4:4" x14ac:dyDescent="0.4">
      <c r="D4050"/>
    </row>
    <row r="4051" spans="4:4" x14ac:dyDescent="0.4">
      <c r="D4051"/>
    </row>
    <row r="4052" spans="4:4" x14ac:dyDescent="0.4">
      <c r="D4052"/>
    </row>
    <row r="4053" spans="4:4" x14ac:dyDescent="0.4">
      <c r="D4053"/>
    </row>
    <row r="4054" spans="4:4" x14ac:dyDescent="0.4">
      <c r="D4054"/>
    </row>
    <row r="4055" spans="4:4" x14ac:dyDescent="0.4">
      <c r="D4055"/>
    </row>
    <row r="4056" spans="4:4" x14ac:dyDescent="0.4">
      <c r="D4056"/>
    </row>
    <row r="4057" spans="4:4" x14ac:dyDescent="0.4">
      <c r="D4057"/>
    </row>
    <row r="4058" spans="4:4" x14ac:dyDescent="0.4">
      <c r="D4058"/>
    </row>
    <row r="4059" spans="4:4" x14ac:dyDescent="0.4">
      <c r="D4059"/>
    </row>
    <row r="4060" spans="4:4" x14ac:dyDescent="0.4">
      <c r="D4060"/>
    </row>
    <row r="4061" spans="4:4" x14ac:dyDescent="0.4">
      <c r="D4061"/>
    </row>
    <row r="4062" spans="4:4" x14ac:dyDescent="0.4">
      <c r="D4062"/>
    </row>
    <row r="4063" spans="4:4" x14ac:dyDescent="0.4">
      <c r="D4063"/>
    </row>
    <row r="4064" spans="4:4" x14ac:dyDescent="0.4">
      <c r="D4064"/>
    </row>
    <row r="4065" spans="4:4" x14ac:dyDescent="0.4">
      <c r="D4065"/>
    </row>
    <row r="4066" spans="4:4" x14ac:dyDescent="0.4">
      <c r="D4066"/>
    </row>
    <row r="4067" spans="4:4" x14ac:dyDescent="0.4">
      <c r="D4067"/>
    </row>
    <row r="4068" spans="4:4" x14ac:dyDescent="0.4">
      <c r="D4068"/>
    </row>
    <row r="4069" spans="4:4" x14ac:dyDescent="0.4">
      <c r="D4069"/>
    </row>
    <row r="4070" spans="4:4" x14ac:dyDescent="0.4">
      <c r="D4070"/>
    </row>
    <row r="4071" spans="4:4" x14ac:dyDescent="0.4">
      <c r="D4071"/>
    </row>
    <row r="4072" spans="4:4" x14ac:dyDescent="0.4">
      <c r="D4072"/>
    </row>
    <row r="4073" spans="4:4" x14ac:dyDescent="0.4">
      <c r="D4073"/>
    </row>
    <row r="4074" spans="4:4" x14ac:dyDescent="0.4">
      <c r="D4074"/>
    </row>
    <row r="4075" spans="4:4" x14ac:dyDescent="0.4">
      <c r="D4075"/>
    </row>
    <row r="4076" spans="4:4" x14ac:dyDescent="0.4">
      <c r="D4076"/>
    </row>
    <row r="4077" spans="4:4" x14ac:dyDescent="0.4">
      <c r="D4077"/>
    </row>
    <row r="4078" spans="4:4" x14ac:dyDescent="0.4">
      <c r="D4078"/>
    </row>
    <row r="4079" spans="4:4" x14ac:dyDescent="0.4">
      <c r="D4079"/>
    </row>
    <row r="4080" spans="4:4" x14ac:dyDescent="0.4">
      <c r="D4080"/>
    </row>
    <row r="4081" spans="4:4" x14ac:dyDescent="0.4">
      <c r="D4081"/>
    </row>
    <row r="4082" spans="4:4" x14ac:dyDescent="0.4">
      <c r="D4082"/>
    </row>
    <row r="4083" spans="4:4" x14ac:dyDescent="0.4">
      <c r="D4083"/>
    </row>
    <row r="4084" spans="4:4" x14ac:dyDescent="0.4">
      <c r="D4084"/>
    </row>
    <row r="4085" spans="4:4" x14ac:dyDescent="0.4">
      <c r="D4085"/>
    </row>
    <row r="4086" spans="4:4" x14ac:dyDescent="0.4">
      <c r="D4086"/>
    </row>
    <row r="4087" spans="4:4" x14ac:dyDescent="0.4">
      <c r="D4087"/>
    </row>
    <row r="4088" spans="4:4" x14ac:dyDescent="0.4">
      <c r="D4088"/>
    </row>
    <row r="4089" spans="4:4" x14ac:dyDescent="0.4">
      <c r="D4089"/>
    </row>
    <row r="4090" spans="4:4" x14ac:dyDescent="0.4">
      <c r="D4090"/>
    </row>
    <row r="4091" spans="4:4" x14ac:dyDescent="0.4">
      <c r="D4091"/>
    </row>
    <row r="4092" spans="4:4" x14ac:dyDescent="0.4">
      <c r="D4092"/>
    </row>
    <row r="4093" spans="4:4" x14ac:dyDescent="0.4">
      <c r="D4093"/>
    </row>
    <row r="4094" spans="4:4" x14ac:dyDescent="0.4">
      <c r="D4094"/>
    </row>
    <row r="4095" spans="4:4" x14ac:dyDescent="0.4">
      <c r="D4095"/>
    </row>
    <row r="4096" spans="4:4" x14ac:dyDescent="0.4">
      <c r="D4096"/>
    </row>
    <row r="4097" spans="4:4" x14ac:dyDescent="0.4">
      <c r="D4097"/>
    </row>
    <row r="4098" spans="4:4" x14ac:dyDescent="0.4">
      <c r="D4098"/>
    </row>
    <row r="4099" spans="4:4" x14ac:dyDescent="0.4">
      <c r="D4099"/>
    </row>
    <row r="4100" spans="4:4" x14ac:dyDescent="0.4">
      <c r="D4100"/>
    </row>
    <row r="4101" spans="4:4" x14ac:dyDescent="0.4">
      <c r="D4101"/>
    </row>
    <row r="4102" spans="4:4" x14ac:dyDescent="0.4">
      <c r="D4102"/>
    </row>
    <row r="4103" spans="4:4" x14ac:dyDescent="0.4">
      <c r="D4103"/>
    </row>
    <row r="4104" spans="4:4" x14ac:dyDescent="0.4">
      <c r="D4104"/>
    </row>
    <row r="4105" spans="4:4" x14ac:dyDescent="0.4">
      <c r="D4105"/>
    </row>
    <row r="4106" spans="4:4" x14ac:dyDescent="0.4">
      <c r="D4106"/>
    </row>
    <row r="4107" spans="4:4" x14ac:dyDescent="0.4">
      <c r="D4107"/>
    </row>
    <row r="4108" spans="4:4" x14ac:dyDescent="0.4">
      <c r="D4108"/>
    </row>
    <row r="4109" spans="4:4" x14ac:dyDescent="0.4">
      <c r="D4109"/>
    </row>
    <row r="4110" spans="4:4" x14ac:dyDescent="0.4">
      <c r="D4110"/>
    </row>
    <row r="4111" spans="4:4" x14ac:dyDescent="0.4">
      <c r="D4111"/>
    </row>
    <row r="4112" spans="4:4" x14ac:dyDescent="0.4">
      <c r="D4112"/>
    </row>
    <row r="4113" spans="4:4" x14ac:dyDescent="0.4">
      <c r="D4113"/>
    </row>
    <row r="4114" spans="4:4" x14ac:dyDescent="0.4">
      <c r="D4114"/>
    </row>
    <row r="4115" spans="4:4" x14ac:dyDescent="0.4">
      <c r="D4115"/>
    </row>
    <row r="4116" spans="4:4" x14ac:dyDescent="0.4">
      <c r="D4116"/>
    </row>
    <row r="4117" spans="4:4" x14ac:dyDescent="0.4">
      <c r="D4117"/>
    </row>
    <row r="4118" spans="4:4" x14ac:dyDescent="0.4">
      <c r="D4118"/>
    </row>
    <row r="4119" spans="4:4" x14ac:dyDescent="0.4">
      <c r="D4119"/>
    </row>
    <row r="4120" spans="4:4" x14ac:dyDescent="0.4">
      <c r="D4120"/>
    </row>
    <row r="4121" spans="4:4" x14ac:dyDescent="0.4">
      <c r="D4121"/>
    </row>
    <row r="4122" spans="4:4" x14ac:dyDescent="0.4">
      <c r="D4122"/>
    </row>
    <row r="4123" spans="4:4" x14ac:dyDescent="0.4">
      <c r="D4123"/>
    </row>
    <row r="4124" spans="4:4" x14ac:dyDescent="0.4">
      <c r="D4124"/>
    </row>
    <row r="4125" spans="4:4" x14ac:dyDescent="0.4">
      <c r="D4125"/>
    </row>
    <row r="4126" spans="4:4" x14ac:dyDescent="0.4">
      <c r="D4126"/>
    </row>
    <row r="4127" spans="4:4" x14ac:dyDescent="0.4">
      <c r="D4127"/>
    </row>
    <row r="4128" spans="4:4" x14ac:dyDescent="0.4">
      <c r="D4128"/>
    </row>
    <row r="4129" spans="4:4" x14ac:dyDescent="0.4">
      <c r="D4129"/>
    </row>
    <row r="4130" spans="4:4" x14ac:dyDescent="0.4">
      <c r="D4130"/>
    </row>
    <row r="4131" spans="4:4" x14ac:dyDescent="0.4">
      <c r="D4131"/>
    </row>
    <row r="4132" spans="4:4" x14ac:dyDescent="0.4">
      <c r="D4132"/>
    </row>
    <row r="4133" spans="4:4" x14ac:dyDescent="0.4">
      <c r="D4133"/>
    </row>
    <row r="4134" spans="4:4" x14ac:dyDescent="0.4">
      <c r="D4134"/>
    </row>
    <row r="4135" spans="4:4" x14ac:dyDescent="0.4">
      <c r="D4135"/>
    </row>
    <row r="4136" spans="4:4" x14ac:dyDescent="0.4">
      <c r="D4136"/>
    </row>
    <row r="4137" spans="4:4" x14ac:dyDescent="0.4">
      <c r="D4137"/>
    </row>
    <row r="4138" spans="4:4" x14ac:dyDescent="0.4">
      <c r="D4138"/>
    </row>
    <row r="4139" spans="4:4" x14ac:dyDescent="0.4">
      <c r="D4139"/>
    </row>
    <row r="4140" spans="4:4" x14ac:dyDescent="0.4">
      <c r="D4140"/>
    </row>
    <row r="4141" spans="4:4" x14ac:dyDescent="0.4">
      <c r="D4141"/>
    </row>
    <row r="4142" spans="4:4" x14ac:dyDescent="0.4">
      <c r="D4142"/>
    </row>
    <row r="4143" spans="4:4" x14ac:dyDescent="0.4">
      <c r="D4143"/>
    </row>
    <row r="4144" spans="4:4" x14ac:dyDescent="0.4">
      <c r="D4144"/>
    </row>
    <row r="4145" spans="4:4" x14ac:dyDescent="0.4">
      <c r="D4145"/>
    </row>
    <row r="4146" spans="4:4" x14ac:dyDescent="0.4">
      <c r="D4146"/>
    </row>
    <row r="4147" spans="4:4" x14ac:dyDescent="0.4">
      <c r="D4147"/>
    </row>
    <row r="4148" spans="4:4" x14ac:dyDescent="0.4">
      <c r="D4148"/>
    </row>
    <row r="4149" spans="4:4" x14ac:dyDescent="0.4">
      <c r="D4149"/>
    </row>
    <row r="4150" spans="4:4" x14ac:dyDescent="0.4">
      <c r="D4150"/>
    </row>
    <row r="4151" spans="4:4" x14ac:dyDescent="0.4">
      <c r="D4151"/>
    </row>
    <row r="4152" spans="4:4" x14ac:dyDescent="0.4">
      <c r="D4152"/>
    </row>
    <row r="4153" spans="4:4" x14ac:dyDescent="0.4">
      <c r="D4153"/>
    </row>
    <row r="4154" spans="4:4" x14ac:dyDescent="0.4">
      <c r="D4154"/>
    </row>
    <row r="4155" spans="4:4" x14ac:dyDescent="0.4">
      <c r="D4155"/>
    </row>
    <row r="4156" spans="4:4" x14ac:dyDescent="0.4">
      <c r="D4156"/>
    </row>
    <row r="4157" spans="4:4" x14ac:dyDescent="0.4">
      <c r="D4157"/>
    </row>
    <row r="4158" spans="4:4" x14ac:dyDescent="0.4">
      <c r="D4158"/>
    </row>
    <row r="4159" spans="4:4" x14ac:dyDescent="0.4">
      <c r="D4159"/>
    </row>
    <row r="4160" spans="4:4" x14ac:dyDescent="0.4">
      <c r="D4160"/>
    </row>
    <row r="4161" spans="4:4" x14ac:dyDescent="0.4">
      <c r="D4161"/>
    </row>
    <row r="4162" spans="4:4" x14ac:dyDescent="0.4">
      <c r="D4162"/>
    </row>
    <row r="4163" spans="4:4" x14ac:dyDescent="0.4">
      <c r="D4163"/>
    </row>
    <row r="4164" spans="4:4" x14ac:dyDescent="0.4">
      <c r="D4164"/>
    </row>
    <row r="4165" spans="4:4" x14ac:dyDescent="0.4">
      <c r="D4165"/>
    </row>
    <row r="4166" spans="4:4" x14ac:dyDescent="0.4">
      <c r="D4166"/>
    </row>
    <row r="4167" spans="4:4" x14ac:dyDescent="0.4">
      <c r="D4167"/>
    </row>
    <row r="4168" spans="4:4" x14ac:dyDescent="0.4">
      <c r="D4168"/>
    </row>
    <row r="4169" spans="4:4" x14ac:dyDescent="0.4">
      <c r="D4169"/>
    </row>
    <row r="4170" spans="4:4" x14ac:dyDescent="0.4">
      <c r="D4170"/>
    </row>
    <row r="4171" spans="4:4" x14ac:dyDescent="0.4">
      <c r="D4171"/>
    </row>
    <row r="4172" spans="4:4" x14ac:dyDescent="0.4">
      <c r="D4172"/>
    </row>
    <row r="4173" spans="4:4" x14ac:dyDescent="0.4">
      <c r="D4173"/>
    </row>
    <row r="4174" spans="4:4" x14ac:dyDescent="0.4">
      <c r="D4174"/>
    </row>
    <row r="4175" spans="4:4" x14ac:dyDescent="0.4">
      <c r="D4175"/>
    </row>
    <row r="4176" spans="4:4" x14ac:dyDescent="0.4">
      <c r="D4176"/>
    </row>
    <row r="4177" spans="4:4" x14ac:dyDescent="0.4">
      <c r="D4177"/>
    </row>
    <row r="4178" spans="4:4" x14ac:dyDescent="0.4">
      <c r="D4178"/>
    </row>
    <row r="4179" spans="4:4" x14ac:dyDescent="0.4">
      <c r="D4179"/>
    </row>
    <row r="4180" spans="4:4" x14ac:dyDescent="0.4">
      <c r="D4180"/>
    </row>
    <row r="4181" spans="4:4" x14ac:dyDescent="0.4">
      <c r="D4181"/>
    </row>
    <row r="4182" spans="4:4" x14ac:dyDescent="0.4">
      <c r="D4182"/>
    </row>
    <row r="4183" spans="4:4" x14ac:dyDescent="0.4">
      <c r="D4183"/>
    </row>
    <row r="4184" spans="4:4" x14ac:dyDescent="0.4">
      <c r="D4184"/>
    </row>
    <row r="4185" spans="4:4" x14ac:dyDescent="0.4">
      <c r="D4185"/>
    </row>
    <row r="4186" spans="4:4" x14ac:dyDescent="0.4">
      <c r="D4186"/>
    </row>
    <row r="4187" spans="4:4" x14ac:dyDescent="0.4">
      <c r="D4187"/>
    </row>
    <row r="4188" spans="4:4" x14ac:dyDescent="0.4">
      <c r="D4188"/>
    </row>
    <row r="4189" spans="4:4" x14ac:dyDescent="0.4">
      <c r="D4189"/>
    </row>
    <row r="4190" spans="4:4" x14ac:dyDescent="0.4">
      <c r="D4190"/>
    </row>
    <row r="4191" spans="4:4" x14ac:dyDescent="0.4">
      <c r="D4191"/>
    </row>
    <row r="4192" spans="4:4" x14ac:dyDescent="0.4">
      <c r="D4192"/>
    </row>
    <row r="4193" spans="4:4" x14ac:dyDescent="0.4">
      <c r="D4193"/>
    </row>
    <row r="4194" spans="4:4" x14ac:dyDescent="0.4">
      <c r="D4194"/>
    </row>
    <row r="4195" spans="4:4" x14ac:dyDescent="0.4">
      <c r="D4195"/>
    </row>
    <row r="4196" spans="4:4" x14ac:dyDescent="0.4">
      <c r="D4196"/>
    </row>
    <row r="4197" spans="4:4" x14ac:dyDescent="0.4">
      <c r="D4197"/>
    </row>
    <row r="4198" spans="4:4" x14ac:dyDescent="0.4">
      <c r="D4198"/>
    </row>
    <row r="4199" spans="4:4" x14ac:dyDescent="0.4">
      <c r="D4199"/>
    </row>
    <row r="4200" spans="4:4" x14ac:dyDescent="0.4">
      <c r="D4200"/>
    </row>
    <row r="4201" spans="4:4" x14ac:dyDescent="0.4">
      <c r="D4201"/>
    </row>
    <row r="4202" spans="4:4" x14ac:dyDescent="0.4">
      <c r="D4202"/>
    </row>
    <row r="4203" spans="4:4" x14ac:dyDescent="0.4">
      <c r="D4203"/>
    </row>
    <row r="4204" spans="4:4" x14ac:dyDescent="0.4">
      <c r="D4204"/>
    </row>
    <row r="4205" spans="4:4" x14ac:dyDescent="0.4">
      <c r="D4205"/>
    </row>
    <row r="4206" spans="4:4" x14ac:dyDescent="0.4">
      <c r="D4206"/>
    </row>
    <row r="4207" spans="4:4" x14ac:dyDescent="0.4">
      <c r="D4207"/>
    </row>
    <row r="4208" spans="4:4" x14ac:dyDescent="0.4">
      <c r="D4208"/>
    </row>
    <row r="4209" spans="4:4" x14ac:dyDescent="0.4">
      <c r="D4209"/>
    </row>
    <row r="4210" spans="4:4" x14ac:dyDescent="0.4">
      <c r="D4210"/>
    </row>
    <row r="4211" spans="4:4" x14ac:dyDescent="0.4">
      <c r="D4211"/>
    </row>
    <row r="4212" spans="4:4" x14ac:dyDescent="0.4">
      <c r="D4212"/>
    </row>
    <row r="4213" spans="4:4" x14ac:dyDescent="0.4">
      <c r="D4213"/>
    </row>
    <row r="4214" spans="4:4" x14ac:dyDescent="0.4">
      <c r="D4214"/>
    </row>
    <row r="4215" spans="4:4" x14ac:dyDescent="0.4">
      <c r="D4215"/>
    </row>
    <row r="4216" spans="4:4" x14ac:dyDescent="0.4">
      <c r="D4216"/>
    </row>
    <row r="4217" spans="4:4" x14ac:dyDescent="0.4">
      <c r="D4217"/>
    </row>
    <row r="4218" spans="4:4" x14ac:dyDescent="0.4">
      <c r="D4218"/>
    </row>
    <row r="4219" spans="4:4" x14ac:dyDescent="0.4">
      <c r="D4219"/>
    </row>
    <row r="4220" spans="4:4" x14ac:dyDescent="0.4">
      <c r="D4220"/>
    </row>
    <row r="4221" spans="4:4" x14ac:dyDescent="0.4">
      <c r="D4221"/>
    </row>
    <row r="4222" spans="4:4" x14ac:dyDescent="0.4">
      <c r="D4222"/>
    </row>
    <row r="4223" spans="4:4" x14ac:dyDescent="0.4">
      <c r="D4223"/>
    </row>
    <row r="4224" spans="4:4" x14ac:dyDescent="0.4">
      <c r="D4224"/>
    </row>
    <row r="4225" spans="4:4" x14ac:dyDescent="0.4">
      <c r="D4225"/>
    </row>
    <row r="4226" spans="4:4" x14ac:dyDescent="0.4">
      <c r="D4226"/>
    </row>
    <row r="4227" spans="4:4" x14ac:dyDescent="0.4">
      <c r="D4227"/>
    </row>
    <row r="4228" spans="4:4" x14ac:dyDescent="0.4">
      <c r="D4228"/>
    </row>
    <row r="4229" spans="4:4" x14ac:dyDescent="0.4">
      <c r="D4229"/>
    </row>
    <row r="4230" spans="4:4" x14ac:dyDescent="0.4">
      <c r="D4230"/>
    </row>
    <row r="4231" spans="4:4" x14ac:dyDescent="0.4">
      <c r="D4231"/>
    </row>
    <row r="4232" spans="4:4" x14ac:dyDescent="0.4">
      <c r="D4232"/>
    </row>
    <row r="4233" spans="4:4" x14ac:dyDescent="0.4">
      <c r="D4233"/>
    </row>
    <row r="4234" spans="4:4" x14ac:dyDescent="0.4">
      <c r="D4234"/>
    </row>
    <row r="4235" spans="4:4" x14ac:dyDescent="0.4">
      <c r="D4235"/>
    </row>
    <row r="4236" spans="4:4" x14ac:dyDescent="0.4">
      <c r="D4236"/>
    </row>
    <row r="4237" spans="4:4" x14ac:dyDescent="0.4">
      <c r="D4237"/>
    </row>
    <row r="4238" spans="4:4" x14ac:dyDescent="0.4">
      <c r="D4238"/>
    </row>
    <row r="4239" spans="4:4" x14ac:dyDescent="0.4">
      <c r="D4239"/>
    </row>
    <row r="4240" spans="4:4" x14ac:dyDescent="0.4">
      <c r="D4240"/>
    </row>
    <row r="4241" spans="4:4" x14ac:dyDescent="0.4">
      <c r="D4241"/>
    </row>
    <row r="4242" spans="4:4" x14ac:dyDescent="0.4">
      <c r="D4242"/>
    </row>
    <row r="4243" spans="4:4" x14ac:dyDescent="0.4">
      <c r="D4243"/>
    </row>
    <row r="4244" spans="4:4" x14ac:dyDescent="0.4">
      <c r="D4244"/>
    </row>
    <row r="4245" spans="4:4" x14ac:dyDescent="0.4">
      <c r="D4245"/>
    </row>
    <row r="4246" spans="4:4" x14ac:dyDescent="0.4">
      <c r="D4246"/>
    </row>
    <row r="4247" spans="4:4" x14ac:dyDescent="0.4">
      <c r="D4247"/>
    </row>
    <row r="4248" spans="4:4" x14ac:dyDescent="0.4">
      <c r="D4248"/>
    </row>
    <row r="4249" spans="4:4" x14ac:dyDescent="0.4">
      <c r="D4249"/>
    </row>
    <row r="4250" spans="4:4" x14ac:dyDescent="0.4">
      <c r="D4250"/>
    </row>
    <row r="4251" spans="4:4" x14ac:dyDescent="0.4">
      <c r="D4251"/>
    </row>
    <row r="4252" spans="4:4" x14ac:dyDescent="0.4">
      <c r="D4252"/>
    </row>
    <row r="4253" spans="4:4" x14ac:dyDescent="0.4">
      <c r="D4253"/>
    </row>
    <row r="4254" spans="4:4" x14ac:dyDescent="0.4">
      <c r="D4254"/>
    </row>
    <row r="4255" spans="4:4" x14ac:dyDescent="0.4">
      <c r="D4255"/>
    </row>
    <row r="4256" spans="4:4" x14ac:dyDescent="0.4">
      <c r="D4256"/>
    </row>
    <row r="4257" spans="4:4" x14ac:dyDescent="0.4">
      <c r="D4257"/>
    </row>
    <row r="4258" spans="4:4" x14ac:dyDescent="0.4">
      <c r="D4258"/>
    </row>
    <row r="4259" spans="4:4" x14ac:dyDescent="0.4">
      <c r="D4259"/>
    </row>
    <row r="4260" spans="4:4" x14ac:dyDescent="0.4">
      <c r="D4260"/>
    </row>
    <row r="4261" spans="4:4" x14ac:dyDescent="0.4">
      <c r="D4261"/>
    </row>
    <row r="4262" spans="4:4" x14ac:dyDescent="0.4">
      <c r="D4262"/>
    </row>
    <row r="4263" spans="4:4" x14ac:dyDescent="0.4">
      <c r="D4263"/>
    </row>
    <row r="4264" spans="4:4" x14ac:dyDescent="0.4">
      <c r="D4264"/>
    </row>
    <row r="4265" spans="4:4" x14ac:dyDescent="0.4">
      <c r="D4265"/>
    </row>
    <row r="4266" spans="4:4" x14ac:dyDescent="0.4">
      <c r="D4266"/>
    </row>
    <row r="4267" spans="4:4" x14ac:dyDescent="0.4">
      <c r="D4267"/>
    </row>
    <row r="4268" spans="4:4" x14ac:dyDescent="0.4">
      <c r="D4268"/>
    </row>
    <row r="4269" spans="4:4" x14ac:dyDescent="0.4">
      <c r="D4269"/>
    </row>
    <row r="4270" spans="4:4" x14ac:dyDescent="0.4">
      <c r="D4270"/>
    </row>
    <row r="4271" spans="4:4" x14ac:dyDescent="0.4">
      <c r="D4271"/>
    </row>
    <row r="4272" spans="4:4" x14ac:dyDescent="0.4">
      <c r="D4272"/>
    </row>
    <row r="4273" spans="4:4" x14ac:dyDescent="0.4">
      <c r="D4273"/>
    </row>
    <row r="4274" spans="4:4" x14ac:dyDescent="0.4">
      <c r="D4274"/>
    </row>
    <row r="4275" spans="4:4" x14ac:dyDescent="0.4">
      <c r="D4275"/>
    </row>
    <row r="4276" spans="4:4" x14ac:dyDescent="0.4">
      <c r="D4276"/>
    </row>
    <row r="4277" spans="4:4" x14ac:dyDescent="0.4">
      <c r="D4277"/>
    </row>
    <row r="4278" spans="4:4" x14ac:dyDescent="0.4">
      <c r="D4278"/>
    </row>
    <row r="4279" spans="4:4" x14ac:dyDescent="0.4">
      <c r="D4279"/>
    </row>
    <row r="4280" spans="4:4" x14ac:dyDescent="0.4">
      <c r="D4280"/>
    </row>
    <row r="4281" spans="4:4" x14ac:dyDescent="0.4">
      <c r="D4281"/>
    </row>
    <row r="4282" spans="4:4" x14ac:dyDescent="0.4">
      <c r="D4282"/>
    </row>
    <row r="4283" spans="4:4" x14ac:dyDescent="0.4">
      <c r="D4283"/>
    </row>
    <row r="4284" spans="4:4" x14ac:dyDescent="0.4">
      <c r="D4284"/>
    </row>
    <row r="4285" spans="4:4" x14ac:dyDescent="0.4">
      <c r="D4285"/>
    </row>
    <row r="4286" spans="4:4" x14ac:dyDescent="0.4">
      <c r="D4286"/>
    </row>
    <row r="4287" spans="4:4" x14ac:dyDescent="0.4">
      <c r="D4287"/>
    </row>
    <row r="4288" spans="4:4" x14ac:dyDescent="0.4">
      <c r="D4288"/>
    </row>
    <row r="4289" spans="4:4" x14ac:dyDescent="0.4">
      <c r="D4289"/>
    </row>
    <row r="4290" spans="4:4" x14ac:dyDescent="0.4">
      <c r="D4290"/>
    </row>
    <row r="4291" spans="4:4" x14ac:dyDescent="0.4">
      <c r="D4291"/>
    </row>
    <row r="4292" spans="4:4" x14ac:dyDescent="0.4">
      <c r="D4292"/>
    </row>
    <row r="4293" spans="4:4" x14ac:dyDescent="0.4">
      <c r="D4293"/>
    </row>
    <row r="4294" spans="4:4" x14ac:dyDescent="0.4">
      <c r="D4294"/>
    </row>
    <row r="4295" spans="4:4" x14ac:dyDescent="0.4">
      <c r="D4295"/>
    </row>
    <row r="4296" spans="4:4" x14ac:dyDescent="0.4">
      <c r="D4296"/>
    </row>
    <row r="4297" spans="4:4" x14ac:dyDescent="0.4">
      <c r="D4297"/>
    </row>
    <row r="4298" spans="4:4" x14ac:dyDescent="0.4">
      <c r="D4298"/>
    </row>
    <row r="4299" spans="4:4" x14ac:dyDescent="0.4">
      <c r="D4299"/>
    </row>
    <row r="4300" spans="4:4" x14ac:dyDescent="0.4">
      <c r="D4300"/>
    </row>
    <row r="4301" spans="4:4" x14ac:dyDescent="0.4">
      <c r="D4301"/>
    </row>
    <row r="4302" spans="4:4" x14ac:dyDescent="0.4">
      <c r="D4302"/>
    </row>
    <row r="4303" spans="4:4" x14ac:dyDescent="0.4">
      <c r="D4303"/>
    </row>
    <row r="4304" spans="4:4" x14ac:dyDescent="0.4">
      <c r="D4304"/>
    </row>
    <row r="4305" spans="4:4" x14ac:dyDescent="0.4">
      <c r="D4305"/>
    </row>
    <row r="4306" spans="4:4" x14ac:dyDescent="0.4">
      <c r="D4306"/>
    </row>
    <row r="4307" spans="4:4" x14ac:dyDescent="0.4">
      <c r="D4307"/>
    </row>
    <row r="4308" spans="4:4" x14ac:dyDescent="0.4">
      <c r="D4308"/>
    </row>
    <row r="4309" spans="4:4" x14ac:dyDescent="0.4">
      <c r="D4309"/>
    </row>
    <row r="4310" spans="4:4" x14ac:dyDescent="0.4">
      <c r="D4310"/>
    </row>
    <row r="4311" spans="4:4" x14ac:dyDescent="0.4">
      <c r="D4311"/>
    </row>
    <row r="4312" spans="4:4" x14ac:dyDescent="0.4">
      <c r="D4312"/>
    </row>
    <row r="4313" spans="4:4" x14ac:dyDescent="0.4">
      <c r="D4313"/>
    </row>
    <row r="4314" spans="4:4" x14ac:dyDescent="0.4">
      <c r="D4314"/>
    </row>
    <row r="4315" spans="4:4" x14ac:dyDescent="0.4">
      <c r="D4315"/>
    </row>
    <row r="4316" spans="4:4" x14ac:dyDescent="0.4">
      <c r="D4316"/>
    </row>
    <row r="4317" spans="4:4" x14ac:dyDescent="0.4">
      <c r="D4317"/>
    </row>
    <row r="4318" spans="4:4" x14ac:dyDescent="0.4">
      <c r="D4318"/>
    </row>
    <row r="4319" spans="4:4" x14ac:dyDescent="0.4">
      <c r="D4319"/>
    </row>
    <row r="4320" spans="4:4" x14ac:dyDescent="0.4">
      <c r="D4320"/>
    </row>
    <row r="4321" spans="4:4" x14ac:dyDescent="0.4">
      <c r="D4321"/>
    </row>
    <row r="4322" spans="4:4" x14ac:dyDescent="0.4">
      <c r="D4322"/>
    </row>
    <row r="4323" spans="4:4" x14ac:dyDescent="0.4">
      <c r="D4323"/>
    </row>
    <row r="4324" spans="4:4" x14ac:dyDescent="0.4">
      <c r="D4324"/>
    </row>
    <row r="4325" spans="4:4" x14ac:dyDescent="0.4">
      <c r="D4325"/>
    </row>
    <row r="4326" spans="4:4" x14ac:dyDescent="0.4">
      <c r="D4326"/>
    </row>
    <row r="4327" spans="4:4" x14ac:dyDescent="0.4">
      <c r="D4327"/>
    </row>
    <row r="4328" spans="4:4" x14ac:dyDescent="0.4">
      <c r="D4328"/>
    </row>
    <row r="4329" spans="4:4" x14ac:dyDescent="0.4">
      <c r="D4329"/>
    </row>
    <row r="4330" spans="4:4" x14ac:dyDescent="0.4">
      <c r="D4330"/>
    </row>
    <row r="4331" spans="4:4" x14ac:dyDescent="0.4">
      <c r="D4331"/>
    </row>
    <row r="4332" spans="4:4" x14ac:dyDescent="0.4">
      <c r="D4332"/>
    </row>
    <row r="4333" spans="4:4" x14ac:dyDescent="0.4">
      <c r="D4333"/>
    </row>
    <row r="4334" spans="4:4" x14ac:dyDescent="0.4">
      <c r="D4334"/>
    </row>
    <row r="4335" spans="4:4" x14ac:dyDescent="0.4">
      <c r="D4335"/>
    </row>
    <row r="4336" spans="4:4" x14ac:dyDescent="0.4">
      <c r="D4336"/>
    </row>
    <row r="4337" spans="4:4" x14ac:dyDescent="0.4">
      <c r="D4337"/>
    </row>
    <row r="4338" spans="4:4" x14ac:dyDescent="0.4">
      <c r="D4338"/>
    </row>
    <row r="4339" spans="4:4" x14ac:dyDescent="0.4">
      <c r="D4339"/>
    </row>
    <row r="4340" spans="4:4" x14ac:dyDescent="0.4">
      <c r="D4340"/>
    </row>
    <row r="4341" spans="4:4" x14ac:dyDescent="0.4">
      <c r="D4341"/>
    </row>
    <row r="4342" spans="4:4" x14ac:dyDescent="0.4">
      <c r="D4342"/>
    </row>
    <row r="4343" spans="4:4" x14ac:dyDescent="0.4">
      <c r="D4343"/>
    </row>
    <row r="4344" spans="4:4" x14ac:dyDescent="0.4">
      <c r="D4344"/>
    </row>
    <row r="4345" spans="4:4" x14ac:dyDescent="0.4">
      <c r="D4345"/>
    </row>
    <row r="4346" spans="4:4" x14ac:dyDescent="0.4">
      <c r="D43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33" workbookViewId="0">
      <selection activeCell="J27" sqref="J27"/>
    </sheetView>
  </sheetViews>
  <sheetFormatPr defaultRowHeight="14.6" x14ac:dyDescent="0.4"/>
  <cols>
    <col min="1" max="1" width="31" bestFit="1" customWidth="1"/>
    <col min="2" max="2" width="38.84375" bestFit="1" customWidth="1"/>
    <col min="4" max="4" width="23.3828125" bestFit="1" customWidth="1"/>
    <col min="5" max="5" width="0" hidden="1" customWidth="1"/>
    <col min="7" max="9" width="10.15234375" hidden="1" customWidth="1"/>
    <col min="10" max="10" width="77.84375" bestFit="1" customWidth="1"/>
  </cols>
  <sheetData>
    <row r="1" spans="1:10" x14ac:dyDescent="0.4">
      <c r="A1" s="4" t="s">
        <v>1</v>
      </c>
      <c r="B1" s="4"/>
      <c r="C1" s="4"/>
      <c r="D1" s="4"/>
      <c r="E1" s="4"/>
      <c r="F1" s="4"/>
      <c r="G1" s="4" t="s">
        <v>304</v>
      </c>
      <c r="H1" s="4" t="s">
        <v>305</v>
      </c>
      <c r="I1" s="4" t="s">
        <v>306</v>
      </c>
      <c r="J1" s="4" t="s">
        <v>307</v>
      </c>
    </row>
    <row r="2" spans="1:10" x14ac:dyDescent="0.4">
      <c r="A2" s="15" t="s">
        <v>635</v>
      </c>
      <c r="B2" s="16" t="s">
        <v>767</v>
      </c>
      <c r="C2" s="17" t="s">
        <v>373</v>
      </c>
      <c r="D2" s="17" t="s">
        <v>768</v>
      </c>
      <c r="E2" s="4">
        <v>1</v>
      </c>
      <c r="F2" s="5">
        <v>24000</v>
      </c>
      <c r="G2" s="18"/>
      <c r="H2" s="18"/>
      <c r="I2" s="18"/>
      <c r="J2" s="19" t="s">
        <v>319</v>
      </c>
    </row>
    <row r="3" spans="1:10" x14ac:dyDescent="0.4">
      <c r="A3" s="17" t="s">
        <v>2</v>
      </c>
      <c r="B3" s="4"/>
      <c r="C3" s="4"/>
      <c r="D3" s="4"/>
      <c r="E3" s="4">
        <v>2</v>
      </c>
      <c r="F3" s="5">
        <v>7013.21</v>
      </c>
      <c r="G3" s="18"/>
      <c r="H3" s="18"/>
      <c r="I3" s="18"/>
      <c r="J3" s="4"/>
    </row>
    <row r="4" spans="1:10" x14ac:dyDescent="0.4">
      <c r="A4" s="15" t="s">
        <v>635</v>
      </c>
      <c r="B4" s="16" t="s">
        <v>769</v>
      </c>
      <c r="C4" s="17" t="s">
        <v>328</v>
      </c>
      <c r="D4" s="17" t="s">
        <v>770</v>
      </c>
      <c r="E4" s="4">
        <v>1</v>
      </c>
      <c r="F4" s="5">
        <v>7000</v>
      </c>
      <c r="G4" s="18"/>
      <c r="H4" s="18"/>
      <c r="I4" s="18"/>
      <c r="J4" s="19" t="s">
        <v>319</v>
      </c>
    </row>
    <row r="5" spans="1:10" x14ac:dyDescent="0.4">
      <c r="A5" s="15" t="s">
        <v>771</v>
      </c>
      <c r="B5" s="16" t="s">
        <v>772</v>
      </c>
      <c r="C5" s="17" t="s">
        <v>321</v>
      </c>
      <c r="D5" s="17" t="s">
        <v>773</v>
      </c>
      <c r="E5" s="4">
        <v>1</v>
      </c>
      <c r="F5" s="5">
        <v>13.21</v>
      </c>
      <c r="G5" s="18"/>
      <c r="H5" s="18"/>
      <c r="I5" s="18"/>
      <c r="J5" s="19" t="s">
        <v>323</v>
      </c>
    </row>
    <row r="6" spans="1:10" x14ac:dyDescent="0.4">
      <c r="A6" s="17" t="s">
        <v>5</v>
      </c>
      <c r="B6" s="4"/>
      <c r="C6" s="4"/>
      <c r="D6" s="4"/>
      <c r="E6" s="4">
        <v>30</v>
      </c>
      <c r="F6" s="5">
        <v>161877.63999999998</v>
      </c>
      <c r="G6" s="18"/>
      <c r="H6" s="18"/>
      <c r="I6" s="18"/>
      <c r="J6" s="4"/>
    </row>
    <row r="7" spans="1:10" x14ac:dyDescent="0.4">
      <c r="A7" s="20" t="s">
        <v>314</v>
      </c>
      <c r="B7" s="17" t="s">
        <v>774</v>
      </c>
      <c r="C7" s="17" t="s">
        <v>359</v>
      </c>
      <c r="D7" s="17" t="s">
        <v>773</v>
      </c>
      <c r="E7" s="4">
        <v>1</v>
      </c>
      <c r="F7" s="5">
        <v>24992.23</v>
      </c>
      <c r="G7" s="18">
        <v>24992.23</v>
      </c>
      <c r="H7" s="18"/>
      <c r="I7" s="18"/>
      <c r="J7" s="4" t="s">
        <v>325</v>
      </c>
    </row>
    <row r="8" spans="1:10" x14ac:dyDescent="0.4">
      <c r="A8" s="20" t="s">
        <v>268</v>
      </c>
      <c r="B8" s="17" t="s">
        <v>775</v>
      </c>
      <c r="C8" s="17" t="s">
        <v>359</v>
      </c>
      <c r="D8" s="17" t="s">
        <v>776</v>
      </c>
      <c r="E8" s="4">
        <v>1</v>
      </c>
      <c r="F8" s="5">
        <v>249</v>
      </c>
      <c r="G8" s="18">
        <v>249</v>
      </c>
      <c r="H8" s="18"/>
      <c r="I8" s="18"/>
      <c r="J8" s="19" t="s">
        <v>327</v>
      </c>
    </row>
    <row r="9" spans="1:10" x14ac:dyDescent="0.4">
      <c r="A9" s="20" t="s">
        <v>381</v>
      </c>
      <c r="B9" s="17" t="s">
        <v>777</v>
      </c>
      <c r="C9" s="17" t="s">
        <v>778</v>
      </c>
      <c r="D9" s="17" t="s">
        <v>773</v>
      </c>
      <c r="E9" s="4">
        <v>1</v>
      </c>
      <c r="F9" s="5">
        <v>310</v>
      </c>
      <c r="G9" s="18">
        <v>310</v>
      </c>
      <c r="H9" s="18"/>
      <c r="I9" s="18"/>
      <c r="J9" s="4"/>
    </row>
    <row r="10" spans="1:10" x14ac:dyDescent="0.4">
      <c r="A10" s="20" t="s">
        <v>391</v>
      </c>
      <c r="B10" s="17" t="s">
        <v>779</v>
      </c>
      <c r="C10" s="17" t="s">
        <v>359</v>
      </c>
      <c r="D10" s="17" t="s">
        <v>780</v>
      </c>
      <c r="E10" s="4">
        <v>1</v>
      </c>
      <c r="F10" s="5">
        <v>1858.9</v>
      </c>
      <c r="G10" s="18"/>
      <c r="H10" s="18">
        <v>1858.9</v>
      </c>
      <c r="I10" s="18"/>
      <c r="J10" s="21" t="s">
        <v>330</v>
      </c>
    </row>
    <row r="11" spans="1:10" x14ac:dyDescent="0.4">
      <c r="A11" s="20" t="s">
        <v>411</v>
      </c>
      <c r="B11" s="17" t="s">
        <v>781</v>
      </c>
      <c r="C11" s="17" t="s">
        <v>359</v>
      </c>
      <c r="D11" s="17" t="s">
        <v>768</v>
      </c>
      <c r="E11" s="4">
        <v>1</v>
      </c>
      <c r="F11" s="5">
        <v>985</v>
      </c>
      <c r="G11" s="18"/>
      <c r="H11" s="18"/>
      <c r="I11" s="22">
        <v>985</v>
      </c>
      <c r="J11" s="19" t="s">
        <v>332</v>
      </c>
    </row>
    <row r="12" spans="1:10" x14ac:dyDescent="0.4">
      <c r="A12" s="20" t="s">
        <v>426</v>
      </c>
      <c r="B12" s="17" t="s">
        <v>782</v>
      </c>
      <c r="C12" s="17" t="s">
        <v>778</v>
      </c>
      <c r="D12" s="17" t="s">
        <v>780</v>
      </c>
      <c r="E12" s="4">
        <v>1</v>
      </c>
      <c r="F12" s="5">
        <v>2010</v>
      </c>
      <c r="G12" s="18">
        <v>2010</v>
      </c>
      <c r="H12" s="18"/>
      <c r="I12" s="18"/>
      <c r="J12" s="21" t="s">
        <v>333</v>
      </c>
    </row>
    <row r="13" spans="1:10" x14ac:dyDescent="0.4">
      <c r="A13" s="4"/>
      <c r="B13" s="17" t="s">
        <v>783</v>
      </c>
      <c r="C13" s="17" t="s">
        <v>784</v>
      </c>
      <c r="D13" s="17" t="s">
        <v>773</v>
      </c>
      <c r="E13" s="4">
        <v>1</v>
      </c>
      <c r="F13" s="5">
        <v>2010</v>
      </c>
      <c r="G13" s="18">
        <v>2010</v>
      </c>
      <c r="H13" s="18"/>
      <c r="I13" s="18"/>
      <c r="J13" s="21" t="s">
        <v>333</v>
      </c>
    </row>
    <row r="14" spans="1:10" x14ac:dyDescent="0.4">
      <c r="A14" s="20" t="s">
        <v>785</v>
      </c>
      <c r="B14" s="17" t="s">
        <v>786</v>
      </c>
      <c r="C14" s="17" t="s">
        <v>778</v>
      </c>
      <c r="D14" s="17" t="s">
        <v>773</v>
      </c>
      <c r="E14" s="4">
        <v>1</v>
      </c>
      <c r="F14" s="5">
        <v>1000</v>
      </c>
      <c r="G14" s="18"/>
      <c r="H14" s="18"/>
      <c r="I14" s="18">
        <v>1000</v>
      </c>
      <c r="J14" s="19" t="s">
        <v>336</v>
      </c>
    </row>
    <row r="15" spans="1:10" x14ac:dyDescent="0.4">
      <c r="A15" s="20" t="s">
        <v>787</v>
      </c>
      <c r="B15" s="17" t="s">
        <v>788</v>
      </c>
      <c r="C15" s="17" t="s">
        <v>359</v>
      </c>
      <c r="D15" s="17" t="s">
        <v>773</v>
      </c>
      <c r="E15" s="4">
        <v>1</v>
      </c>
      <c r="F15" s="5">
        <v>1013</v>
      </c>
      <c r="G15" s="18"/>
      <c r="H15" s="18"/>
      <c r="I15" s="13">
        <v>1013</v>
      </c>
      <c r="J15" s="19" t="s">
        <v>337</v>
      </c>
    </row>
    <row r="16" spans="1:10" x14ac:dyDescent="0.4">
      <c r="A16" s="20" t="s">
        <v>789</v>
      </c>
      <c r="B16" s="17" t="s">
        <v>790</v>
      </c>
      <c r="C16" s="17" t="s">
        <v>359</v>
      </c>
      <c r="D16" s="17" t="s">
        <v>773</v>
      </c>
      <c r="E16" s="4">
        <v>1</v>
      </c>
      <c r="F16" s="5">
        <v>627.49</v>
      </c>
      <c r="G16" s="18"/>
      <c r="H16" s="18"/>
      <c r="I16" s="18">
        <v>627.49</v>
      </c>
      <c r="J16" s="19" t="s">
        <v>339</v>
      </c>
    </row>
    <row r="17" spans="1:10" x14ac:dyDescent="0.4">
      <c r="A17" s="4"/>
      <c r="B17" s="17" t="s">
        <v>791</v>
      </c>
      <c r="C17" s="17" t="s">
        <v>778</v>
      </c>
      <c r="D17" s="17" t="s">
        <v>773</v>
      </c>
      <c r="E17" s="4">
        <v>1</v>
      </c>
      <c r="F17" s="5">
        <v>839.99</v>
      </c>
      <c r="G17" s="18"/>
      <c r="H17" s="18">
        <v>839.99</v>
      </c>
      <c r="I17" s="18"/>
      <c r="J17" s="21" t="s">
        <v>341</v>
      </c>
    </row>
    <row r="18" spans="1:10" x14ac:dyDescent="0.4">
      <c r="A18" s="4"/>
      <c r="B18" s="17" t="s">
        <v>792</v>
      </c>
      <c r="C18" s="17" t="s">
        <v>359</v>
      </c>
      <c r="D18" s="17" t="s">
        <v>780</v>
      </c>
      <c r="E18" s="4">
        <v>1</v>
      </c>
      <c r="F18" s="5">
        <v>25507.21</v>
      </c>
      <c r="G18" s="18"/>
      <c r="H18" s="18">
        <v>25507.21</v>
      </c>
      <c r="I18" s="18"/>
      <c r="J18" s="21" t="s">
        <v>342</v>
      </c>
    </row>
    <row r="19" spans="1:10" x14ac:dyDescent="0.4">
      <c r="A19" s="4"/>
      <c r="B19" s="17" t="s">
        <v>793</v>
      </c>
      <c r="C19" s="17" t="s">
        <v>359</v>
      </c>
      <c r="D19" s="17" t="s">
        <v>780</v>
      </c>
      <c r="E19" s="4">
        <v>1</v>
      </c>
      <c r="F19" s="5">
        <v>29945.99</v>
      </c>
      <c r="G19" s="18"/>
      <c r="H19" s="18"/>
      <c r="I19" s="18">
        <v>29945.99</v>
      </c>
      <c r="J19" s="4"/>
    </row>
    <row r="20" spans="1:10" x14ac:dyDescent="0.4">
      <c r="A20" s="20" t="s">
        <v>438</v>
      </c>
      <c r="B20" s="17" t="s">
        <v>794</v>
      </c>
      <c r="C20" s="17" t="s">
        <v>778</v>
      </c>
      <c r="D20" s="17" t="s">
        <v>773</v>
      </c>
      <c r="E20" s="4">
        <v>1</v>
      </c>
      <c r="F20" s="5">
        <v>2800</v>
      </c>
      <c r="G20" s="18"/>
      <c r="H20" s="18">
        <v>2800</v>
      </c>
      <c r="I20" s="18"/>
      <c r="J20" s="21" t="s">
        <v>345</v>
      </c>
    </row>
    <row r="21" spans="1:10" x14ac:dyDescent="0.4">
      <c r="A21" s="20" t="s">
        <v>795</v>
      </c>
      <c r="B21" s="17" t="s">
        <v>796</v>
      </c>
      <c r="C21" s="17" t="s">
        <v>359</v>
      </c>
      <c r="D21" s="17" t="s">
        <v>770</v>
      </c>
      <c r="E21" s="4">
        <v>1</v>
      </c>
      <c r="F21" s="5">
        <v>1000</v>
      </c>
      <c r="G21" s="18"/>
      <c r="H21" s="18"/>
      <c r="I21" s="18">
        <v>1000</v>
      </c>
      <c r="J21" s="21" t="s">
        <v>346</v>
      </c>
    </row>
    <row r="22" spans="1:10" x14ac:dyDescent="0.4">
      <c r="A22" s="20" t="s">
        <v>568</v>
      </c>
      <c r="B22" s="17" t="s">
        <v>797</v>
      </c>
      <c r="C22" s="17" t="s">
        <v>359</v>
      </c>
      <c r="D22" s="17" t="s">
        <v>776</v>
      </c>
      <c r="E22" s="4">
        <v>1</v>
      </c>
      <c r="F22" s="5">
        <v>265.79000000000002</v>
      </c>
      <c r="G22" s="18"/>
      <c r="H22" s="18"/>
      <c r="I22" s="18">
        <v>265.79000000000002</v>
      </c>
      <c r="J22" s="21" t="s">
        <v>347</v>
      </c>
    </row>
    <row r="23" spans="1:10" x14ac:dyDescent="0.4">
      <c r="A23" s="20" t="s">
        <v>798</v>
      </c>
      <c r="B23" s="17" t="s">
        <v>799</v>
      </c>
      <c r="C23" s="17" t="s">
        <v>359</v>
      </c>
      <c r="D23" s="17" t="s">
        <v>780</v>
      </c>
      <c r="E23" s="4">
        <v>1</v>
      </c>
      <c r="F23" s="5">
        <v>6000</v>
      </c>
      <c r="G23" s="18"/>
      <c r="H23" s="18">
        <v>6000</v>
      </c>
      <c r="I23" s="18"/>
      <c r="J23" s="21" t="s">
        <v>349</v>
      </c>
    </row>
    <row r="24" spans="1:10" x14ac:dyDescent="0.4">
      <c r="A24" s="20" t="s">
        <v>197</v>
      </c>
      <c r="B24" s="17" t="s">
        <v>800</v>
      </c>
      <c r="C24" s="17" t="s">
        <v>359</v>
      </c>
      <c r="D24" s="17" t="s">
        <v>780</v>
      </c>
      <c r="E24" s="4">
        <v>1</v>
      </c>
      <c r="F24" s="5">
        <v>3100</v>
      </c>
      <c r="G24" s="18"/>
      <c r="H24" s="18"/>
      <c r="I24" s="18">
        <v>3100</v>
      </c>
      <c r="J24" s="21" t="s">
        <v>350</v>
      </c>
    </row>
    <row r="25" spans="1:10" x14ac:dyDescent="0.4">
      <c r="A25" s="20" t="s">
        <v>594</v>
      </c>
      <c r="B25" s="17" t="s">
        <v>801</v>
      </c>
      <c r="C25" s="17" t="s">
        <v>359</v>
      </c>
      <c r="D25" s="17" t="s">
        <v>773</v>
      </c>
      <c r="E25" s="4">
        <v>1</v>
      </c>
      <c r="F25" s="5">
        <v>310</v>
      </c>
      <c r="G25" s="18"/>
      <c r="H25" s="18"/>
      <c r="I25" s="18">
        <v>310</v>
      </c>
      <c r="J25" s="19" t="s">
        <v>351</v>
      </c>
    </row>
    <row r="26" spans="1:10" x14ac:dyDescent="0.4">
      <c r="A26" s="20" t="s">
        <v>802</v>
      </c>
      <c r="B26" s="17" t="s">
        <v>803</v>
      </c>
      <c r="C26" s="17" t="s">
        <v>359</v>
      </c>
      <c r="D26" s="17" t="s">
        <v>780</v>
      </c>
      <c r="E26" s="4">
        <v>1</v>
      </c>
      <c r="F26" s="5">
        <v>3564</v>
      </c>
      <c r="G26" s="18"/>
      <c r="H26" s="18">
        <v>3564</v>
      </c>
      <c r="I26" s="18"/>
      <c r="J26" s="21" t="s">
        <v>353</v>
      </c>
    </row>
    <row r="27" spans="1:10" x14ac:dyDescent="0.4">
      <c r="A27" s="20" t="s">
        <v>804</v>
      </c>
      <c r="B27" s="17" t="s">
        <v>805</v>
      </c>
      <c r="C27" s="17" t="s">
        <v>359</v>
      </c>
      <c r="D27" s="17" t="s">
        <v>806</v>
      </c>
      <c r="E27" s="4">
        <v>1</v>
      </c>
      <c r="F27" s="5">
        <v>50</v>
      </c>
      <c r="G27" s="18"/>
      <c r="H27" s="18"/>
      <c r="I27" s="18">
        <v>50</v>
      </c>
      <c r="J27" s="19" t="s">
        <v>354</v>
      </c>
    </row>
    <row r="28" spans="1:10" x14ac:dyDescent="0.4">
      <c r="A28" s="20" t="s">
        <v>807</v>
      </c>
      <c r="B28" s="17" t="s">
        <v>808</v>
      </c>
      <c r="C28" s="17" t="s">
        <v>809</v>
      </c>
      <c r="D28" s="17" t="s">
        <v>770</v>
      </c>
      <c r="E28" s="4">
        <v>1</v>
      </c>
      <c r="F28" s="5">
        <v>1550</v>
      </c>
      <c r="G28" s="18"/>
      <c r="H28" s="18"/>
      <c r="I28" s="18">
        <v>1550</v>
      </c>
      <c r="J28" s="19" t="s">
        <v>332</v>
      </c>
    </row>
    <row r="29" spans="1:10" x14ac:dyDescent="0.4">
      <c r="A29" s="20" t="s">
        <v>810</v>
      </c>
      <c r="B29" s="17" t="s">
        <v>811</v>
      </c>
      <c r="C29" s="17" t="s">
        <v>359</v>
      </c>
      <c r="D29" s="17" t="s">
        <v>773</v>
      </c>
      <c r="E29" s="4">
        <v>1</v>
      </c>
      <c r="F29" s="5">
        <v>10895.86</v>
      </c>
      <c r="G29" s="18"/>
      <c r="H29" s="18"/>
      <c r="I29" s="18">
        <v>10895.86</v>
      </c>
      <c r="J29" s="21" t="s">
        <v>356</v>
      </c>
    </row>
    <row r="30" spans="1:10" x14ac:dyDescent="0.4">
      <c r="A30" s="4"/>
      <c r="B30" s="17" t="s">
        <v>812</v>
      </c>
      <c r="C30" s="17" t="s">
        <v>364</v>
      </c>
      <c r="D30" s="17" t="s">
        <v>773</v>
      </c>
      <c r="E30" s="4">
        <v>1</v>
      </c>
      <c r="F30" s="5">
        <v>9527.8799999999992</v>
      </c>
      <c r="G30" s="18"/>
      <c r="H30" s="18"/>
      <c r="I30" s="18">
        <v>9527.8799999999992</v>
      </c>
      <c r="J30" s="4"/>
    </row>
    <row r="31" spans="1:10" x14ac:dyDescent="0.4">
      <c r="A31" s="4"/>
      <c r="B31" s="17" t="s">
        <v>813</v>
      </c>
      <c r="C31" s="17" t="s">
        <v>359</v>
      </c>
      <c r="D31" s="17" t="s">
        <v>773</v>
      </c>
      <c r="E31" s="4">
        <v>1</v>
      </c>
      <c r="F31" s="5">
        <v>3803.94</v>
      </c>
      <c r="G31" s="18">
        <v>3803.94</v>
      </c>
      <c r="H31" s="18"/>
      <c r="I31" s="18"/>
      <c r="J31" s="4"/>
    </row>
    <row r="32" spans="1:10" x14ac:dyDescent="0.4">
      <c r="A32" s="20" t="s">
        <v>814</v>
      </c>
      <c r="B32" s="17" t="s">
        <v>796</v>
      </c>
      <c r="C32" s="17" t="s">
        <v>359</v>
      </c>
      <c r="D32" s="17" t="s">
        <v>773</v>
      </c>
      <c r="E32" s="4">
        <v>1</v>
      </c>
      <c r="F32" s="5">
        <v>567</v>
      </c>
      <c r="G32" s="18"/>
      <c r="H32" s="18">
        <v>567</v>
      </c>
      <c r="I32" s="18"/>
      <c r="J32" s="21" t="s">
        <v>358</v>
      </c>
    </row>
    <row r="33" spans="1:10" x14ac:dyDescent="0.4">
      <c r="A33" s="20" t="s">
        <v>815</v>
      </c>
      <c r="B33" s="17" t="s">
        <v>816</v>
      </c>
      <c r="C33" s="17" t="s">
        <v>359</v>
      </c>
      <c r="D33" s="17" t="s">
        <v>773</v>
      </c>
      <c r="E33" s="4">
        <v>1</v>
      </c>
      <c r="F33" s="5">
        <v>4650</v>
      </c>
      <c r="G33" s="18"/>
      <c r="H33" s="18">
        <v>4650</v>
      </c>
      <c r="I33" s="18"/>
      <c r="J33" s="4"/>
    </row>
    <row r="34" spans="1:10" x14ac:dyDescent="0.4">
      <c r="A34" s="4"/>
      <c r="B34" s="17" t="s">
        <v>817</v>
      </c>
      <c r="C34" s="17" t="s">
        <v>778</v>
      </c>
      <c r="D34" s="17" t="s">
        <v>773</v>
      </c>
      <c r="E34" s="4">
        <v>1</v>
      </c>
      <c r="F34" s="5">
        <v>11171.4</v>
      </c>
      <c r="G34" s="18">
        <v>11171.4</v>
      </c>
      <c r="H34" s="18"/>
      <c r="I34" s="18"/>
      <c r="J34" s="4"/>
    </row>
    <row r="35" spans="1:10" x14ac:dyDescent="0.4">
      <c r="A35" s="4"/>
      <c r="B35" s="17" t="s">
        <v>818</v>
      </c>
      <c r="C35" s="17" t="s">
        <v>778</v>
      </c>
      <c r="D35" s="17" t="s">
        <v>773</v>
      </c>
      <c r="E35" s="4">
        <v>1</v>
      </c>
      <c r="F35" s="5">
        <v>10272.959999999999</v>
      </c>
      <c r="G35" s="18"/>
      <c r="H35" s="18"/>
      <c r="I35" s="18">
        <v>10272.959999999999</v>
      </c>
      <c r="J35" s="4"/>
    </row>
    <row r="36" spans="1:10" x14ac:dyDescent="0.4">
      <c r="A36" s="4"/>
      <c r="B36" s="17" t="s">
        <v>819</v>
      </c>
      <c r="C36" s="17" t="s">
        <v>820</v>
      </c>
      <c r="D36" s="17" t="s">
        <v>773</v>
      </c>
      <c r="E36" s="4">
        <v>1</v>
      </c>
      <c r="F36" s="5">
        <v>1000</v>
      </c>
      <c r="G36" s="18">
        <v>1000</v>
      </c>
      <c r="H36" s="18"/>
      <c r="I36" s="18"/>
      <c r="J36" s="4"/>
    </row>
    <row r="37" spans="1:10" x14ac:dyDescent="0.4">
      <c r="A37" s="17" t="s">
        <v>6</v>
      </c>
      <c r="B37" s="4"/>
      <c r="C37" s="4"/>
      <c r="D37" s="4"/>
      <c r="E37" s="4">
        <v>3</v>
      </c>
      <c r="F37" s="5">
        <v>55918</v>
      </c>
      <c r="G37" s="18"/>
      <c r="H37" s="18"/>
      <c r="I37" s="18"/>
      <c r="J37" s="4"/>
    </row>
    <row r="38" spans="1:10" x14ac:dyDescent="0.4">
      <c r="A38" s="20" t="s">
        <v>384</v>
      </c>
      <c r="B38" s="17" t="s">
        <v>821</v>
      </c>
      <c r="C38" s="17" t="s">
        <v>822</v>
      </c>
      <c r="D38" s="17" t="s">
        <v>773</v>
      </c>
      <c r="E38" s="4">
        <v>1</v>
      </c>
      <c r="F38" s="5">
        <v>300</v>
      </c>
      <c r="G38" s="18">
        <v>300</v>
      </c>
      <c r="H38" s="18"/>
      <c r="I38" s="18"/>
      <c r="J38" s="4"/>
    </row>
    <row r="39" spans="1:10" x14ac:dyDescent="0.4">
      <c r="A39" s="20" t="s">
        <v>426</v>
      </c>
      <c r="B39" s="17" t="s">
        <v>823</v>
      </c>
      <c r="C39" s="17" t="s">
        <v>647</v>
      </c>
      <c r="D39" s="17" t="s">
        <v>776</v>
      </c>
      <c r="E39" s="4">
        <v>1</v>
      </c>
      <c r="F39" s="5">
        <v>53430</v>
      </c>
      <c r="G39" s="18"/>
      <c r="H39" s="18">
        <v>53430</v>
      </c>
      <c r="I39" s="18"/>
      <c r="J39" s="4" t="s">
        <v>363</v>
      </c>
    </row>
    <row r="40" spans="1:10" x14ac:dyDescent="0.4">
      <c r="A40" s="4"/>
      <c r="B40" s="17" t="s">
        <v>824</v>
      </c>
      <c r="C40" s="17" t="s">
        <v>825</v>
      </c>
      <c r="D40" s="17" t="s">
        <v>773</v>
      </c>
      <c r="E40" s="4">
        <v>1</v>
      </c>
      <c r="F40" s="5">
        <v>2188</v>
      </c>
      <c r="G40" s="18">
        <v>2188</v>
      </c>
      <c r="H40" s="18"/>
      <c r="I40" s="18"/>
      <c r="J4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45"/>
  <sheetViews>
    <sheetView workbookViewId="0">
      <selection activeCell="A37" sqref="A1:I37"/>
    </sheetView>
  </sheetViews>
  <sheetFormatPr defaultRowHeight="14.6" x14ac:dyDescent="0.4"/>
  <cols>
    <col min="1" max="1" width="47.53515625" bestFit="1" customWidth="1"/>
    <col min="2" max="2" width="58.53515625" bestFit="1" customWidth="1"/>
    <col min="3" max="3" width="13.3828125" bestFit="1" customWidth="1"/>
    <col min="4" max="4" width="29.84375" bestFit="1" customWidth="1"/>
    <col min="5" max="5" width="15.53515625" style="1" bestFit="1" customWidth="1"/>
    <col min="6" max="6" width="10.53515625" style="1" customWidth="1"/>
    <col min="7" max="8" width="10.15234375" style="1" bestFit="1" customWidth="1"/>
    <col min="9" max="9" width="54" customWidth="1"/>
  </cols>
  <sheetData>
    <row r="1" spans="1:9" x14ac:dyDescent="0.4">
      <c r="F1" s="1" t="s">
        <v>304</v>
      </c>
      <c r="G1" s="1" t="s">
        <v>305</v>
      </c>
      <c r="H1" s="1" t="s">
        <v>306</v>
      </c>
      <c r="I1" t="s">
        <v>307</v>
      </c>
    </row>
    <row r="2" spans="1:9" x14ac:dyDescent="0.4">
      <c r="E2" s="1" t="e">
        <f>SUM(F2:G2)</f>
        <v>#REF!</v>
      </c>
      <c r="F2" s="1" t="e">
        <f>SUM(F6:F28)</f>
        <v>#REF!</v>
      </c>
      <c r="G2" s="1" t="e">
        <f t="shared" ref="G2:H2" si="0">SUM(G6:G28)</f>
        <v>#REF!</v>
      </c>
      <c r="H2" s="1" t="e">
        <f t="shared" si="0"/>
        <v>#REF!</v>
      </c>
    </row>
    <row r="3" spans="1:9" x14ac:dyDescent="0.4">
      <c r="A3" s="9" t="s">
        <v>308</v>
      </c>
      <c r="B3" s="9" t="s">
        <v>309</v>
      </c>
      <c r="C3" s="9" t="s">
        <v>310</v>
      </c>
      <c r="D3" s="9" t="s">
        <v>311</v>
      </c>
      <c r="E3" s="1" t="s">
        <v>313</v>
      </c>
    </row>
    <row r="4" spans="1:9" x14ac:dyDescent="0.4">
      <c r="A4" s="10" t="s">
        <v>314</v>
      </c>
      <c r="B4" s="10" t="s">
        <v>315</v>
      </c>
      <c r="C4" s="10" t="s">
        <v>316</v>
      </c>
      <c r="E4" s="1">
        <v>22000</v>
      </c>
    </row>
    <row r="5" spans="1:9" x14ac:dyDescent="0.4">
      <c r="C5" s="11" t="s">
        <v>8</v>
      </c>
      <c r="E5" s="1">
        <v>22000</v>
      </c>
    </row>
    <row r="6" spans="1:9" x14ac:dyDescent="0.4">
      <c r="C6" s="39" t="s">
        <v>317</v>
      </c>
      <c r="D6" s="10" t="s">
        <v>318</v>
      </c>
      <c r="E6" s="1">
        <v>22000</v>
      </c>
      <c r="F6" s="1" t="e">
        <f>GETPIVOTDATA("Revenue",$A$3,"Close Date",152,"Company","A Change in Trajectory (ACT)","Opportunity Summary","P1 Downtown location","Stage","New Opportunity","Months",5)</f>
        <v>#REF!</v>
      </c>
      <c r="I6" t="s">
        <v>826</v>
      </c>
    </row>
    <row r="7" spans="1:9" x14ac:dyDescent="0.4">
      <c r="B7" s="10" t="s">
        <v>320</v>
      </c>
      <c r="C7" s="10" t="s">
        <v>316</v>
      </c>
      <c r="E7" s="1">
        <v>2000</v>
      </c>
      <c r="H7" s="1" t="e">
        <f>GETPIVOTDATA("Revenue",$A$3,"Close Date",152,"Company","Cool Pak","Opportunity Summary","P1 AWS - MS","Stage","Quoting","Months",5)</f>
        <v>#REF!</v>
      </c>
      <c r="I7" t="s">
        <v>827</v>
      </c>
    </row>
    <row r="8" spans="1:9" x14ac:dyDescent="0.4">
      <c r="C8" s="11" t="s">
        <v>2</v>
      </c>
      <c r="E8" s="1">
        <v>400</v>
      </c>
      <c r="G8" s="1" t="e">
        <f>GETPIVOTDATA("Revenue",$A$3,"Close Date",152,"Company","Hod Dunbar","Opportunity Summary","P1 WiFI","Stage","New Opportunity","Months",5)</f>
        <v>#REF!</v>
      </c>
      <c r="I8" t="s">
        <v>828</v>
      </c>
    </row>
    <row r="9" spans="1:9" x14ac:dyDescent="0.4">
      <c r="C9" s="39" t="s">
        <v>321</v>
      </c>
      <c r="D9" s="10" t="s">
        <v>322</v>
      </c>
      <c r="E9" s="1">
        <v>400</v>
      </c>
      <c r="G9" s="1" t="e">
        <f>GETPIVOTDATA("Revenue",$A$3,"Close Date",152,"Company","House of Ruth","Opportunity Summary","P1 replace all computers HDD","Stage","Awaiting Client Approval","Months",5)</f>
        <v>#REF!</v>
      </c>
      <c r="I9" t="s">
        <v>829</v>
      </c>
    </row>
    <row r="10" spans="1:9" x14ac:dyDescent="0.4">
      <c r="C10" s="11" t="s">
        <v>3</v>
      </c>
      <c r="E10" s="1">
        <v>1600</v>
      </c>
      <c r="H10" s="1" t="e">
        <f>GETPIVOTDATA("Revenue",$A$3,"Close Date",152,"Company","House of Ruth","Opportunity Summary","P1 replace all computers SSD","Stage","Awaiting Client Approval","Months",5)</f>
        <v>#REF!</v>
      </c>
      <c r="I10" t="s">
        <v>830</v>
      </c>
    </row>
    <row r="11" spans="1:9" x14ac:dyDescent="0.4">
      <c r="C11" s="39" t="s">
        <v>324</v>
      </c>
      <c r="D11" s="10" t="s">
        <v>322</v>
      </c>
      <c r="E11" s="1">
        <v>1600</v>
      </c>
      <c r="F11" s="1" t="e">
        <f>GETPIVOTDATA("Revenue",$A$3,"Close Date",152,"Company","Inland Valley Hope Partners","Opportunity Summary","P1 Refurbished Desktop ","Stage","Quote in review","Months",5)</f>
        <v>#REF!</v>
      </c>
      <c r="I11" t="s">
        <v>831</v>
      </c>
    </row>
    <row r="12" spans="1:9" x14ac:dyDescent="0.4">
      <c r="B12" s="10" t="s">
        <v>326</v>
      </c>
      <c r="C12" s="10" t="s">
        <v>316</v>
      </c>
      <c r="E12" s="1">
        <v>0</v>
      </c>
      <c r="H12" s="1" t="e">
        <f>GETPIVOTDATA("Revenue",$A$3,"Close Date",152,"Company","Jack Built","Opportunity Summary","P1 MS","Stage","Qualifying","Months",5)</f>
        <v>#REF!</v>
      </c>
      <c r="I12" t="s">
        <v>832</v>
      </c>
    </row>
    <row r="13" spans="1:9" x14ac:dyDescent="0.4">
      <c r="C13" s="11" t="s">
        <v>2</v>
      </c>
      <c r="E13" s="1">
        <v>0</v>
      </c>
      <c r="F13" s="1" t="e">
        <f>GETPIVOTDATA("Revenue",$A$3,"Close Date",130,"Company","Mission Oaks Tax and Accounting","Opportunity Summary","P1 Battery Backup - Server Grade","Stage","New Opportunity","Months",5)</f>
        <v>#REF!</v>
      </c>
    </row>
    <row r="14" spans="1:9" x14ac:dyDescent="0.4">
      <c r="C14" s="39" t="s">
        <v>328</v>
      </c>
      <c r="D14" s="10" t="s">
        <v>329</v>
      </c>
      <c r="E14" s="1">
        <v>0</v>
      </c>
      <c r="F14" s="1" t="e">
        <f>GETPIVOTDATA("Revenue",$A$3,"Close Date",152,"Company","Ojai Oil Company","Opportunity Summary","P1 AWS - test server","Stage","Awaiting Client Approval","Months",5)</f>
        <v>#REF!</v>
      </c>
      <c r="I14" t="s">
        <v>833</v>
      </c>
    </row>
    <row r="15" spans="1:9" x14ac:dyDescent="0.4">
      <c r="B15" s="10" t="s">
        <v>331</v>
      </c>
      <c r="C15" s="10" t="s">
        <v>316</v>
      </c>
      <c r="E15" s="1">
        <v>525</v>
      </c>
      <c r="H15" s="1" t="e">
        <f>GETPIVOTDATA("Revenue",$A$3,"Close Date",152,"Company","Organic Certifiers","Opportunity Summary","P1 AWS Migration","Stage","Awaiting Client Approval","Months",5)</f>
        <v>#REF!</v>
      </c>
      <c r="I15" t="s">
        <v>834</v>
      </c>
    </row>
    <row r="16" spans="1:9" x14ac:dyDescent="0.4">
      <c r="C16" s="11" t="s">
        <v>2</v>
      </c>
      <c r="E16" s="1">
        <v>525</v>
      </c>
      <c r="H16" s="1" t="e">
        <f>GETPIVOTDATA("Revenue",$A$3,"Close Date",152,"Company","Passport to Adaptive Living","Opportunity Summary","P1 ABAS-3 server setup","Stage","New Opportunity","Months",5)</f>
        <v>#REF!</v>
      </c>
      <c r="I16" t="s">
        <v>834</v>
      </c>
    </row>
    <row r="17" spans="2:9" x14ac:dyDescent="0.4">
      <c r="C17" s="39" t="s">
        <v>334</v>
      </c>
      <c r="D17" s="10" t="s">
        <v>322</v>
      </c>
      <c r="E17" s="1">
        <v>525</v>
      </c>
      <c r="H17" s="1" t="e">
        <f>GETPIVOTDATA("Revenue",$A$3,"Close Date",152,"Company","Pilot Automotive","Opportunity Summary","P1 Wi-Fi (Aerohive)","Stage","Awaiting Client Approval","Months",5)</f>
        <v>#REF!</v>
      </c>
      <c r="I17" t="s">
        <v>835</v>
      </c>
    </row>
    <row r="18" spans="2:9" x14ac:dyDescent="0.4">
      <c r="B18" s="10" t="s">
        <v>335</v>
      </c>
      <c r="C18" s="10" t="s">
        <v>316</v>
      </c>
      <c r="E18" s="1">
        <v>404.57</v>
      </c>
      <c r="F18" s="1" t="e">
        <f>GETPIVOTDATA("Revenue",$A$3,"Close Date",152,"Company","Pilot Automotive","Opportunity Summary","P1 MS increase","Stage","New Opportunity","Months",5)</f>
        <v>#REF!</v>
      </c>
    </row>
    <row r="19" spans="2:9" x14ac:dyDescent="0.4">
      <c r="C19" s="11" t="s">
        <v>1</v>
      </c>
      <c r="E19" s="1">
        <v>404.57</v>
      </c>
      <c r="H19" s="1" t="e">
        <f>GETPIVOTDATA("Revenue",$A$3,"Close Date",152,"Company","Project Sister Family Services","Opportunity Summary","P1 CURV server renewal Serial HHMQ082	","Stage","Needs Invoice","Months",5)</f>
        <v>#REF!</v>
      </c>
      <c r="I19" t="s">
        <v>836</v>
      </c>
    </row>
    <row r="20" spans="2:9" x14ac:dyDescent="0.4">
      <c r="C20" s="39" t="s">
        <v>338</v>
      </c>
      <c r="D20" s="10" t="s">
        <v>322</v>
      </c>
      <c r="E20" s="1">
        <v>404.57</v>
      </c>
      <c r="G20" s="1" t="e">
        <f>GETPIVOTDATA("Revenue",$A$3,"Close Date",152,"Company","Ransom Seed Laboratory","Opportunity Summary","P1 8x8","Stage","Qualifying","Months",5)</f>
        <v>#REF!</v>
      </c>
      <c r="I20" t="s">
        <v>837</v>
      </c>
    </row>
    <row r="21" spans="2:9" x14ac:dyDescent="0.4">
      <c r="B21" s="10" t="s">
        <v>340</v>
      </c>
      <c r="C21" s="10" t="s">
        <v>316</v>
      </c>
      <c r="E21" s="1">
        <v>132.97</v>
      </c>
      <c r="F21" s="1" t="e">
        <f>GETPIVOTDATA("Revenue",$A$3,"Close Date",152,"Company","Smile Shapers","Opportunity Summary","P1 Server (low)","Stage","New Opportunity","Months",5)</f>
        <v>#REF!</v>
      </c>
      <c r="I21" t="s">
        <v>838</v>
      </c>
    </row>
    <row r="22" spans="2:9" x14ac:dyDescent="0.4">
      <c r="C22" s="11" t="s">
        <v>3</v>
      </c>
      <c r="E22" s="1">
        <v>132.97</v>
      </c>
      <c r="H22" s="1" t="e">
        <f>GETPIVOTDATA("Revenue",$A$3,"Close Date",152,"Company","Smile Shapers","Opportunity Summary","P1 Sodo Server","Stage","New Opportunity","Months",5)</f>
        <v>#REF!</v>
      </c>
      <c r="I22" t="s">
        <v>830</v>
      </c>
    </row>
    <row r="23" spans="2:9" x14ac:dyDescent="0.4">
      <c r="C23" s="39" t="s">
        <v>343</v>
      </c>
      <c r="D23" s="10" t="s">
        <v>322</v>
      </c>
      <c r="E23" s="1">
        <v>132.97</v>
      </c>
      <c r="F23" s="1" t="e">
        <f>GETPIVOTDATA("Revenue",$A$3,"Close Date",152,"Company","Studio Designs","Opportunity Summary","P1 MS increase","Stage","New Opportunity","Months",5)</f>
        <v>#REF!</v>
      </c>
      <c r="I23" t="s">
        <v>839</v>
      </c>
    </row>
    <row r="24" spans="2:9" x14ac:dyDescent="0.4">
      <c r="B24" s="10" t="s">
        <v>344</v>
      </c>
      <c r="C24" s="10" t="s">
        <v>316</v>
      </c>
      <c r="E24" s="1">
        <v>5660.9</v>
      </c>
      <c r="G24" s="1" t="e">
        <f>GETPIVOTDATA("Revenue",$A$3,"Close Date",152,"Company","Turning Point Foundation","Opportunity Summary","P1 AWS MS","Stage","Awaiting Client Approval","Months",5)</f>
        <v>#REF!</v>
      </c>
      <c r="I24" t="s">
        <v>840</v>
      </c>
    </row>
    <row r="25" spans="2:9" x14ac:dyDescent="0.4">
      <c r="C25" s="11" t="s">
        <v>3</v>
      </c>
      <c r="E25" s="1">
        <v>5660.9</v>
      </c>
      <c r="H25" s="1" t="e">
        <f>GETPIVOTDATA("Revenue",$A$3,"Close Date",152,"Company","Ventura Harley","Opportunity Summary","P1 MS","Stage","New Opportunity","Months",5)</f>
        <v>#REF!</v>
      </c>
      <c r="I25" t="s">
        <v>841</v>
      </c>
    </row>
    <row r="26" spans="2:9" x14ac:dyDescent="0.4">
      <c r="C26" s="39" t="s">
        <v>324</v>
      </c>
      <c r="D26" s="10" t="s">
        <v>322</v>
      </c>
      <c r="E26" s="1">
        <v>5660.9</v>
      </c>
      <c r="H26" s="1" t="e">
        <f>GETPIVOTDATA("Revenue",$A$3,"Close Date",152,"Company","ZNS","Opportunity Summary","P1 Office365 Migratin","Stage","New Opportunity","Months",5)</f>
        <v>#REF!</v>
      </c>
      <c r="I26" t="s">
        <v>842</v>
      </c>
    </row>
    <row r="27" spans="2:9" x14ac:dyDescent="0.4">
      <c r="B27" s="10" t="s">
        <v>348</v>
      </c>
      <c r="C27" s="10" t="s">
        <v>316</v>
      </c>
      <c r="E27" s="1">
        <v>1739.66</v>
      </c>
      <c r="F27" s="1" t="e">
        <f>GETPIVOTDATA("Revenue",$A$3,"Close Date",152,"Company","ZNS","Opportunity Summary","P1 o365","Stage","New Opportunity","Months",5)</f>
        <v>#REF!</v>
      </c>
    </row>
    <row r="28" spans="2:9" x14ac:dyDescent="0.4">
      <c r="C28" s="11" t="s">
        <v>3</v>
      </c>
      <c r="E28" s="1">
        <v>1739.66</v>
      </c>
    </row>
    <row r="29" spans="2:9" x14ac:dyDescent="0.4">
      <c r="C29" s="39" t="s">
        <v>343</v>
      </c>
      <c r="D29" s="10" t="s">
        <v>322</v>
      </c>
      <c r="E29" s="1">
        <v>1739.66</v>
      </c>
    </row>
    <row r="30" spans="2:9" x14ac:dyDescent="0.4">
      <c r="B30" s="10" t="s">
        <v>352</v>
      </c>
      <c r="C30" s="10" t="s">
        <v>316</v>
      </c>
      <c r="E30" s="1">
        <v>1787.24</v>
      </c>
    </row>
    <row r="31" spans="2:9" x14ac:dyDescent="0.4">
      <c r="C31" s="11" t="s">
        <v>3</v>
      </c>
      <c r="E31" s="1">
        <v>1787.24</v>
      </c>
    </row>
    <row r="32" spans="2:9" x14ac:dyDescent="0.4">
      <c r="C32" s="39" t="s">
        <v>343</v>
      </c>
      <c r="D32" s="10" t="s">
        <v>322</v>
      </c>
      <c r="E32" s="1">
        <v>1787.24</v>
      </c>
    </row>
    <row r="33" spans="2:5" x14ac:dyDescent="0.4">
      <c r="B33" s="10" t="s">
        <v>355</v>
      </c>
      <c r="C33" s="10" t="s">
        <v>316</v>
      </c>
      <c r="E33" s="1">
        <v>2680.86</v>
      </c>
    </row>
    <row r="34" spans="2:5" x14ac:dyDescent="0.4">
      <c r="C34" s="11" t="s">
        <v>3</v>
      </c>
      <c r="E34" s="1">
        <v>2680.86</v>
      </c>
    </row>
    <row r="35" spans="2:5" x14ac:dyDescent="0.4">
      <c r="C35" s="39" t="s">
        <v>343</v>
      </c>
      <c r="D35" s="10" t="s">
        <v>322</v>
      </c>
      <c r="E35" s="1">
        <v>2680.86</v>
      </c>
    </row>
    <row r="36" spans="2:5" x14ac:dyDescent="0.4">
      <c r="B36" s="10" t="s">
        <v>357</v>
      </c>
      <c r="C36" s="10" t="s">
        <v>316</v>
      </c>
      <c r="E36" s="1">
        <v>6643.04</v>
      </c>
    </row>
    <row r="37" spans="2:5" x14ac:dyDescent="0.4">
      <c r="C37" s="11" t="s">
        <v>5</v>
      </c>
      <c r="E37" s="1">
        <v>6643.04</v>
      </c>
    </row>
    <row r="38" spans="2:5" x14ac:dyDescent="0.4">
      <c r="C38" s="39" t="s">
        <v>359</v>
      </c>
      <c r="D38" s="10" t="s">
        <v>318</v>
      </c>
      <c r="E38" s="1">
        <v>6643.04</v>
      </c>
    </row>
    <row r="39" spans="2:5" x14ac:dyDescent="0.4">
      <c r="B39" s="10" t="s">
        <v>360</v>
      </c>
      <c r="C39" s="10" t="s">
        <v>316</v>
      </c>
      <c r="E39" s="1">
        <v>0</v>
      </c>
    </row>
    <row r="40" spans="2:5" x14ac:dyDescent="0.4">
      <c r="C40" s="11" t="s">
        <v>5</v>
      </c>
      <c r="E40" s="1">
        <v>0</v>
      </c>
    </row>
    <row r="41" spans="2:5" x14ac:dyDescent="0.4">
      <c r="C41" s="39" t="s">
        <v>359</v>
      </c>
      <c r="D41" s="10" t="s">
        <v>361</v>
      </c>
      <c r="E41" s="1">
        <v>0</v>
      </c>
    </row>
    <row r="42" spans="2:5" x14ac:dyDescent="0.4">
      <c r="B42" s="10" t="s">
        <v>362</v>
      </c>
      <c r="C42" s="10" t="s">
        <v>316</v>
      </c>
      <c r="E42" s="1">
        <v>321.08</v>
      </c>
    </row>
    <row r="43" spans="2:5" x14ac:dyDescent="0.4">
      <c r="C43" s="11" t="s">
        <v>5</v>
      </c>
      <c r="E43" s="1">
        <v>321.08</v>
      </c>
    </row>
    <row r="44" spans="2:5" x14ac:dyDescent="0.4">
      <c r="C44" s="39" t="s">
        <v>364</v>
      </c>
      <c r="D44" s="10" t="s">
        <v>322</v>
      </c>
      <c r="E44" s="1">
        <v>321.08</v>
      </c>
    </row>
    <row r="45" spans="2:5" x14ac:dyDescent="0.4">
      <c r="B45" s="10" t="s">
        <v>365</v>
      </c>
      <c r="C45" s="10" t="s">
        <v>316</v>
      </c>
      <c r="E45" s="1">
        <v>0</v>
      </c>
    </row>
    <row r="46" spans="2:5" x14ac:dyDescent="0.4">
      <c r="C46" s="11" t="s">
        <v>5</v>
      </c>
      <c r="E46" s="1">
        <v>0</v>
      </c>
    </row>
    <row r="47" spans="2:5" x14ac:dyDescent="0.4">
      <c r="C47" s="39" t="s">
        <v>359</v>
      </c>
      <c r="D47" s="10" t="s">
        <v>318</v>
      </c>
      <c r="E47" s="1">
        <v>0</v>
      </c>
    </row>
    <row r="48" spans="2:5" x14ac:dyDescent="0.4">
      <c r="B48" s="10" t="s">
        <v>366</v>
      </c>
      <c r="C48" s="10" t="s">
        <v>316</v>
      </c>
      <c r="E48" s="1">
        <v>0</v>
      </c>
    </row>
    <row r="49" spans="1:5" x14ac:dyDescent="0.4">
      <c r="C49" s="11" t="s">
        <v>5</v>
      </c>
      <c r="E49" s="1">
        <v>0</v>
      </c>
    </row>
    <row r="50" spans="1:5" x14ac:dyDescent="0.4">
      <c r="C50" s="39" t="s">
        <v>359</v>
      </c>
      <c r="D50" s="10" t="s">
        <v>318</v>
      </c>
      <c r="E50" s="1">
        <v>0</v>
      </c>
    </row>
    <row r="51" spans="1:5" x14ac:dyDescent="0.4">
      <c r="A51" s="10" t="s">
        <v>367</v>
      </c>
      <c r="B51" s="10" t="s">
        <v>368</v>
      </c>
      <c r="C51" s="10" t="s">
        <v>316</v>
      </c>
      <c r="E51" s="1">
        <v>9000</v>
      </c>
    </row>
    <row r="52" spans="1:5" x14ac:dyDescent="0.4">
      <c r="C52" s="11" t="s">
        <v>369</v>
      </c>
      <c r="E52" s="1">
        <v>9000</v>
      </c>
    </row>
    <row r="53" spans="1:5" x14ac:dyDescent="0.4">
      <c r="C53" s="39" t="s">
        <v>370</v>
      </c>
      <c r="D53" s="10" t="s">
        <v>318</v>
      </c>
      <c r="E53" s="1">
        <v>9000</v>
      </c>
    </row>
    <row r="54" spans="1:5" x14ac:dyDescent="0.4">
      <c r="B54" s="10" t="s">
        <v>320</v>
      </c>
      <c r="C54" s="10" t="s">
        <v>316</v>
      </c>
      <c r="E54" s="1">
        <v>539</v>
      </c>
    </row>
    <row r="55" spans="1:5" x14ac:dyDescent="0.4">
      <c r="C55" s="11" t="s">
        <v>4</v>
      </c>
      <c r="E55" s="1">
        <v>539</v>
      </c>
    </row>
    <row r="56" spans="1:5" x14ac:dyDescent="0.4">
      <c r="C56" s="39" t="s">
        <v>371</v>
      </c>
      <c r="D56" s="10" t="s">
        <v>322</v>
      </c>
      <c r="E56" s="1">
        <v>539</v>
      </c>
    </row>
    <row r="57" spans="1:5" x14ac:dyDescent="0.4">
      <c r="B57" s="10" t="s">
        <v>372</v>
      </c>
      <c r="C57" s="10" t="s">
        <v>316</v>
      </c>
      <c r="E57" s="1">
        <v>0</v>
      </c>
    </row>
    <row r="58" spans="1:5" x14ac:dyDescent="0.4">
      <c r="C58" s="11" t="s">
        <v>1</v>
      </c>
      <c r="E58" s="1">
        <v>0</v>
      </c>
    </row>
    <row r="59" spans="1:5" x14ac:dyDescent="0.4">
      <c r="C59" s="39" t="s">
        <v>373</v>
      </c>
      <c r="D59" s="10" t="s">
        <v>329</v>
      </c>
      <c r="E59" s="1">
        <v>0</v>
      </c>
    </row>
    <row r="60" spans="1:5" x14ac:dyDescent="0.4">
      <c r="B60" s="10" t="s">
        <v>374</v>
      </c>
      <c r="C60" s="10" t="s">
        <v>316</v>
      </c>
      <c r="E60" s="1">
        <v>620</v>
      </c>
    </row>
    <row r="61" spans="1:5" x14ac:dyDescent="0.4">
      <c r="C61" s="11" t="s">
        <v>5</v>
      </c>
      <c r="E61" s="1">
        <v>620</v>
      </c>
    </row>
    <row r="62" spans="1:5" x14ac:dyDescent="0.4">
      <c r="C62" s="39" t="s">
        <v>364</v>
      </c>
      <c r="D62" s="10" t="s">
        <v>318</v>
      </c>
      <c r="E62" s="1">
        <v>620</v>
      </c>
    </row>
    <row r="63" spans="1:5" x14ac:dyDescent="0.4">
      <c r="A63" s="10" t="s">
        <v>268</v>
      </c>
      <c r="B63" s="10" t="s">
        <v>375</v>
      </c>
      <c r="C63" s="10" t="s">
        <v>316</v>
      </c>
      <c r="E63" s="1">
        <v>1065.3399999999999</v>
      </c>
    </row>
    <row r="64" spans="1:5" x14ac:dyDescent="0.4">
      <c r="C64" s="11" t="s">
        <v>1</v>
      </c>
      <c r="E64" s="1">
        <v>1065.3399999999999</v>
      </c>
    </row>
    <row r="65" spans="1:5" x14ac:dyDescent="0.4">
      <c r="C65" s="39" t="s">
        <v>376</v>
      </c>
      <c r="D65" s="10" t="s">
        <v>322</v>
      </c>
      <c r="E65" s="1">
        <v>1065.3399999999999</v>
      </c>
    </row>
    <row r="66" spans="1:5" x14ac:dyDescent="0.4">
      <c r="B66" s="10" t="s">
        <v>377</v>
      </c>
      <c r="C66" s="10" t="s">
        <v>316</v>
      </c>
      <c r="E66" s="1">
        <v>249</v>
      </c>
    </row>
    <row r="67" spans="1:5" x14ac:dyDescent="0.4">
      <c r="C67" s="11" t="s">
        <v>1</v>
      </c>
      <c r="E67" s="1">
        <v>249</v>
      </c>
    </row>
    <row r="68" spans="1:5" x14ac:dyDescent="0.4">
      <c r="C68" s="39" t="s">
        <v>378</v>
      </c>
      <c r="D68" s="10" t="s">
        <v>322</v>
      </c>
      <c r="E68" s="1">
        <v>249</v>
      </c>
    </row>
    <row r="69" spans="1:5" x14ac:dyDescent="0.4">
      <c r="B69" s="10" t="s">
        <v>379</v>
      </c>
      <c r="C69" s="10" t="s">
        <v>316</v>
      </c>
      <c r="E69" s="1">
        <v>7376.8</v>
      </c>
    </row>
    <row r="70" spans="1:5" x14ac:dyDescent="0.4">
      <c r="C70" s="11" t="s">
        <v>1</v>
      </c>
      <c r="E70" s="1">
        <v>7376.8</v>
      </c>
    </row>
    <row r="71" spans="1:5" x14ac:dyDescent="0.4">
      <c r="C71" s="39" t="s">
        <v>380</v>
      </c>
      <c r="D71" s="10" t="s">
        <v>322</v>
      </c>
      <c r="E71" s="1">
        <v>7376.8</v>
      </c>
    </row>
    <row r="72" spans="1:5" x14ac:dyDescent="0.4">
      <c r="A72" s="10" t="s">
        <v>381</v>
      </c>
      <c r="B72" s="10" t="s">
        <v>320</v>
      </c>
      <c r="C72" s="10" t="s">
        <v>316</v>
      </c>
      <c r="E72" s="1">
        <v>600</v>
      </c>
    </row>
    <row r="73" spans="1:5" x14ac:dyDescent="0.4">
      <c r="C73" s="11" t="s">
        <v>3</v>
      </c>
      <c r="E73" s="1">
        <v>600</v>
      </c>
    </row>
    <row r="74" spans="1:5" x14ac:dyDescent="0.4">
      <c r="C74" s="39" t="s">
        <v>324</v>
      </c>
      <c r="D74" s="10" t="s">
        <v>322</v>
      </c>
      <c r="E74" s="1">
        <v>600</v>
      </c>
    </row>
    <row r="75" spans="1:5" x14ac:dyDescent="0.4">
      <c r="B75" s="10" t="s">
        <v>382</v>
      </c>
      <c r="C75" s="10" t="s">
        <v>316</v>
      </c>
      <c r="E75" s="1">
        <v>617.99</v>
      </c>
    </row>
    <row r="76" spans="1:5" x14ac:dyDescent="0.4">
      <c r="C76" s="11" t="s">
        <v>1</v>
      </c>
      <c r="E76" s="1">
        <v>617.99</v>
      </c>
    </row>
    <row r="77" spans="1:5" x14ac:dyDescent="0.4">
      <c r="C77" s="39" t="s">
        <v>383</v>
      </c>
      <c r="D77" s="10" t="s">
        <v>322</v>
      </c>
      <c r="E77" s="1">
        <v>617.99</v>
      </c>
    </row>
    <row r="78" spans="1:5" x14ac:dyDescent="0.4">
      <c r="A78" s="10" t="s">
        <v>384</v>
      </c>
      <c r="B78" s="10" t="s">
        <v>385</v>
      </c>
      <c r="C78" s="10" t="s">
        <v>316</v>
      </c>
      <c r="E78" s="1">
        <v>686.5</v>
      </c>
    </row>
    <row r="79" spans="1:5" x14ac:dyDescent="0.4">
      <c r="C79" s="11" t="s">
        <v>4</v>
      </c>
      <c r="E79" s="1">
        <v>686.5</v>
      </c>
    </row>
    <row r="80" spans="1:5" x14ac:dyDescent="0.4">
      <c r="C80" s="39" t="s">
        <v>386</v>
      </c>
      <c r="D80" s="10" t="s">
        <v>322</v>
      </c>
      <c r="E80" s="1">
        <v>686.5</v>
      </c>
    </row>
    <row r="81" spans="1:5" x14ac:dyDescent="0.4">
      <c r="B81" s="10" t="s">
        <v>320</v>
      </c>
      <c r="C81" s="10" t="s">
        <v>316</v>
      </c>
      <c r="E81" s="1">
        <v>539</v>
      </c>
    </row>
    <row r="82" spans="1:5" x14ac:dyDescent="0.4">
      <c r="C82" s="11" t="s">
        <v>5</v>
      </c>
      <c r="E82" s="1">
        <v>539</v>
      </c>
    </row>
    <row r="83" spans="1:5" x14ac:dyDescent="0.4">
      <c r="C83" s="39" t="s">
        <v>364</v>
      </c>
      <c r="D83" s="10" t="s">
        <v>322</v>
      </c>
      <c r="E83" s="1">
        <v>539</v>
      </c>
    </row>
    <row r="84" spans="1:5" x14ac:dyDescent="0.4">
      <c r="B84" s="10" t="s">
        <v>331</v>
      </c>
      <c r="C84" s="10" t="s">
        <v>316</v>
      </c>
      <c r="E84" s="1">
        <v>350</v>
      </c>
    </row>
    <row r="85" spans="1:5" x14ac:dyDescent="0.4">
      <c r="C85" s="11" t="s">
        <v>2</v>
      </c>
      <c r="E85" s="1">
        <v>350</v>
      </c>
    </row>
    <row r="86" spans="1:5" x14ac:dyDescent="0.4">
      <c r="C86" s="39" t="s">
        <v>334</v>
      </c>
      <c r="D86" s="10" t="s">
        <v>322</v>
      </c>
      <c r="E86" s="1">
        <v>350</v>
      </c>
    </row>
    <row r="87" spans="1:5" x14ac:dyDescent="0.4">
      <c r="A87" s="10" t="s">
        <v>387</v>
      </c>
      <c r="B87" s="10" t="s">
        <v>315</v>
      </c>
      <c r="C87" s="10" t="s">
        <v>316</v>
      </c>
      <c r="E87" s="1">
        <v>6000</v>
      </c>
    </row>
    <row r="88" spans="1:5" x14ac:dyDescent="0.4">
      <c r="C88" s="11" t="s">
        <v>8</v>
      </c>
      <c r="E88" s="1">
        <v>6000</v>
      </c>
    </row>
    <row r="89" spans="1:5" x14ac:dyDescent="0.4">
      <c r="C89" s="39" t="s">
        <v>317</v>
      </c>
      <c r="D89" s="10" t="s">
        <v>318</v>
      </c>
      <c r="E89" s="1">
        <v>6000</v>
      </c>
    </row>
    <row r="90" spans="1:5" x14ac:dyDescent="0.4">
      <c r="B90" s="10" t="s">
        <v>320</v>
      </c>
      <c r="C90" s="10" t="s">
        <v>316</v>
      </c>
      <c r="E90" s="1">
        <v>539</v>
      </c>
    </row>
    <row r="91" spans="1:5" x14ac:dyDescent="0.4">
      <c r="C91" s="11" t="s">
        <v>3</v>
      </c>
      <c r="E91" s="1">
        <v>539</v>
      </c>
    </row>
    <row r="92" spans="1:5" x14ac:dyDescent="0.4">
      <c r="C92" s="39" t="s">
        <v>324</v>
      </c>
      <c r="D92" s="10" t="s">
        <v>322</v>
      </c>
      <c r="E92" s="1">
        <v>539</v>
      </c>
    </row>
    <row r="93" spans="1:5" x14ac:dyDescent="0.4">
      <c r="B93" s="10" t="s">
        <v>388</v>
      </c>
      <c r="C93" s="10" t="s">
        <v>316</v>
      </c>
      <c r="E93" s="1">
        <v>212.64</v>
      </c>
    </row>
    <row r="94" spans="1:5" x14ac:dyDescent="0.4">
      <c r="C94" s="11" t="s">
        <v>4</v>
      </c>
      <c r="E94" s="1">
        <v>212.64</v>
      </c>
    </row>
    <row r="95" spans="1:5" x14ac:dyDescent="0.4">
      <c r="C95" s="39" t="s">
        <v>389</v>
      </c>
      <c r="D95" s="10" t="s">
        <v>322</v>
      </c>
      <c r="E95" s="1">
        <v>212.64</v>
      </c>
    </row>
    <row r="96" spans="1:5" x14ac:dyDescent="0.4">
      <c r="B96" s="10" t="s">
        <v>390</v>
      </c>
      <c r="C96" s="10" t="s">
        <v>316</v>
      </c>
      <c r="E96" s="1">
        <v>2268.77</v>
      </c>
    </row>
    <row r="97" spans="1:5" x14ac:dyDescent="0.4">
      <c r="C97" s="11" t="s">
        <v>2</v>
      </c>
      <c r="E97" s="1">
        <v>2268.77</v>
      </c>
    </row>
    <row r="98" spans="1:5" x14ac:dyDescent="0.4">
      <c r="C98" s="39" t="s">
        <v>328</v>
      </c>
      <c r="D98" s="10" t="s">
        <v>322</v>
      </c>
      <c r="E98" s="1">
        <v>2268.77</v>
      </c>
    </row>
    <row r="99" spans="1:5" x14ac:dyDescent="0.4">
      <c r="A99" s="10" t="s">
        <v>391</v>
      </c>
      <c r="B99" s="10" t="s">
        <v>320</v>
      </c>
      <c r="C99" s="10" t="s">
        <v>316</v>
      </c>
      <c r="E99" s="1">
        <v>539</v>
      </c>
    </row>
    <row r="100" spans="1:5" x14ac:dyDescent="0.4">
      <c r="C100" s="11" t="s">
        <v>1</v>
      </c>
      <c r="E100" s="1">
        <v>539</v>
      </c>
    </row>
    <row r="101" spans="1:5" x14ac:dyDescent="0.4">
      <c r="C101" s="39" t="s">
        <v>392</v>
      </c>
      <c r="D101" s="10" t="s">
        <v>322</v>
      </c>
      <c r="E101" s="1">
        <v>539</v>
      </c>
    </row>
    <row r="102" spans="1:5" x14ac:dyDescent="0.4">
      <c r="A102" s="10" t="s">
        <v>393</v>
      </c>
      <c r="B102" s="10" t="s">
        <v>394</v>
      </c>
      <c r="C102" s="10" t="s">
        <v>316</v>
      </c>
      <c r="E102" s="1">
        <v>6000</v>
      </c>
    </row>
    <row r="103" spans="1:5" x14ac:dyDescent="0.4">
      <c r="C103" s="11" t="s">
        <v>5</v>
      </c>
      <c r="E103" s="1">
        <v>6000</v>
      </c>
    </row>
    <row r="104" spans="1:5" x14ac:dyDescent="0.4">
      <c r="C104" s="39" t="s">
        <v>359</v>
      </c>
      <c r="D104" s="10" t="s">
        <v>395</v>
      </c>
      <c r="E104" s="1">
        <v>6000</v>
      </c>
    </row>
    <row r="105" spans="1:5" x14ac:dyDescent="0.4">
      <c r="B105" s="10" t="s">
        <v>396</v>
      </c>
      <c r="C105" s="10" t="s">
        <v>316</v>
      </c>
      <c r="E105" s="1">
        <v>5100</v>
      </c>
    </row>
    <row r="106" spans="1:5" x14ac:dyDescent="0.4">
      <c r="C106" s="11" t="s">
        <v>3</v>
      </c>
      <c r="E106" s="1">
        <v>5100</v>
      </c>
    </row>
    <row r="107" spans="1:5" x14ac:dyDescent="0.4">
      <c r="C107" s="39" t="s">
        <v>343</v>
      </c>
      <c r="D107" s="10" t="s">
        <v>322</v>
      </c>
      <c r="E107" s="1">
        <v>5100</v>
      </c>
    </row>
    <row r="108" spans="1:5" x14ac:dyDescent="0.4">
      <c r="B108" s="10" t="s">
        <v>397</v>
      </c>
      <c r="C108" s="10" t="s">
        <v>316</v>
      </c>
      <c r="E108" s="1">
        <v>22176.32</v>
      </c>
    </row>
    <row r="109" spans="1:5" x14ac:dyDescent="0.4">
      <c r="C109" s="11" t="s">
        <v>12</v>
      </c>
      <c r="E109" s="1">
        <v>22176.32</v>
      </c>
    </row>
    <row r="110" spans="1:5" x14ac:dyDescent="0.4">
      <c r="C110" s="39" t="s">
        <v>398</v>
      </c>
      <c r="D110" s="10" t="s">
        <v>395</v>
      </c>
      <c r="E110" s="1">
        <v>22176.32</v>
      </c>
    </row>
    <row r="111" spans="1:5" x14ac:dyDescent="0.4">
      <c r="B111" s="10" t="s">
        <v>399</v>
      </c>
      <c r="C111" s="10" t="s">
        <v>316</v>
      </c>
      <c r="E111" s="1">
        <v>250</v>
      </c>
    </row>
    <row r="112" spans="1:5" x14ac:dyDescent="0.4">
      <c r="C112" s="11" t="s">
        <v>8</v>
      </c>
      <c r="E112" s="1">
        <v>250</v>
      </c>
    </row>
    <row r="113" spans="1:5" x14ac:dyDescent="0.4">
      <c r="C113" s="39" t="s">
        <v>400</v>
      </c>
      <c r="D113" s="10" t="s">
        <v>401</v>
      </c>
      <c r="E113" s="1">
        <v>250</v>
      </c>
    </row>
    <row r="114" spans="1:5" x14ac:dyDescent="0.4">
      <c r="B114" s="10" t="s">
        <v>402</v>
      </c>
      <c r="C114" s="10" t="s">
        <v>316</v>
      </c>
      <c r="E114" s="1">
        <v>215</v>
      </c>
    </row>
    <row r="115" spans="1:5" x14ac:dyDescent="0.4">
      <c r="C115" s="11" t="s">
        <v>1</v>
      </c>
      <c r="E115" s="1">
        <v>215</v>
      </c>
    </row>
    <row r="116" spans="1:5" x14ac:dyDescent="0.4">
      <c r="C116" s="39" t="s">
        <v>338</v>
      </c>
      <c r="D116" s="10" t="s">
        <v>322</v>
      </c>
      <c r="E116" s="1">
        <v>215</v>
      </c>
    </row>
    <row r="117" spans="1:5" x14ac:dyDescent="0.4">
      <c r="B117" s="10" t="s">
        <v>403</v>
      </c>
      <c r="C117" s="10" t="s">
        <v>316</v>
      </c>
      <c r="E117" s="1">
        <v>500</v>
      </c>
    </row>
    <row r="118" spans="1:5" x14ac:dyDescent="0.4">
      <c r="C118" s="11" t="s">
        <v>8</v>
      </c>
      <c r="E118" s="1">
        <v>500</v>
      </c>
    </row>
    <row r="119" spans="1:5" x14ac:dyDescent="0.4">
      <c r="C119" s="39" t="s">
        <v>317</v>
      </c>
      <c r="D119" s="10" t="s">
        <v>361</v>
      </c>
      <c r="E119" s="1">
        <v>500</v>
      </c>
    </row>
    <row r="120" spans="1:5" x14ac:dyDescent="0.4">
      <c r="B120" s="10" t="s">
        <v>404</v>
      </c>
      <c r="C120" s="10" t="s">
        <v>316</v>
      </c>
      <c r="E120" s="1">
        <v>2273.21</v>
      </c>
    </row>
    <row r="121" spans="1:5" x14ac:dyDescent="0.4">
      <c r="C121" s="11" t="s">
        <v>8</v>
      </c>
      <c r="E121" s="1">
        <v>2273.21</v>
      </c>
    </row>
    <row r="122" spans="1:5" x14ac:dyDescent="0.4">
      <c r="C122" s="39" t="s">
        <v>317</v>
      </c>
      <c r="D122" s="10" t="s">
        <v>361</v>
      </c>
      <c r="E122" s="1">
        <v>2273.21</v>
      </c>
    </row>
    <row r="123" spans="1:5" x14ac:dyDescent="0.4">
      <c r="A123" s="10" t="s">
        <v>405</v>
      </c>
      <c r="B123" s="10" t="s">
        <v>406</v>
      </c>
      <c r="C123" s="10" t="s">
        <v>316</v>
      </c>
      <c r="E123" s="1">
        <v>52.03</v>
      </c>
    </row>
    <row r="124" spans="1:5" x14ac:dyDescent="0.4">
      <c r="C124" s="11" t="s">
        <v>1</v>
      </c>
      <c r="E124" s="1">
        <v>52.03</v>
      </c>
    </row>
    <row r="125" spans="1:5" x14ac:dyDescent="0.4">
      <c r="C125" s="39" t="s">
        <v>407</v>
      </c>
      <c r="D125" s="10" t="s">
        <v>322</v>
      </c>
      <c r="E125" s="1">
        <v>52.03</v>
      </c>
    </row>
    <row r="126" spans="1:5" x14ac:dyDescent="0.4">
      <c r="B126" s="10" t="s">
        <v>408</v>
      </c>
      <c r="C126" s="10" t="s">
        <v>316</v>
      </c>
      <c r="E126" s="1">
        <v>249</v>
      </c>
    </row>
    <row r="127" spans="1:5" x14ac:dyDescent="0.4">
      <c r="C127" s="11" t="s">
        <v>5</v>
      </c>
      <c r="E127" s="1">
        <v>249</v>
      </c>
    </row>
    <row r="128" spans="1:5" x14ac:dyDescent="0.4">
      <c r="C128" s="39" t="s">
        <v>409</v>
      </c>
      <c r="D128" s="10" t="s">
        <v>361</v>
      </c>
      <c r="E128" s="1">
        <v>249</v>
      </c>
    </row>
    <row r="129" spans="1:5" x14ac:dyDescent="0.4">
      <c r="B129" s="10" t="s">
        <v>410</v>
      </c>
      <c r="C129" s="10" t="s">
        <v>316</v>
      </c>
      <c r="E129" s="1">
        <v>900</v>
      </c>
    </row>
    <row r="130" spans="1:5" x14ac:dyDescent="0.4">
      <c r="C130" s="11" t="s">
        <v>4</v>
      </c>
      <c r="E130" s="1">
        <v>900</v>
      </c>
    </row>
    <row r="131" spans="1:5" x14ac:dyDescent="0.4">
      <c r="C131" s="39" t="s">
        <v>386</v>
      </c>
      <c r="D131" s="10" t="s">
        <v>322</v>
      </c>
      <c r="E131" s="1">
        <v>900</v>
      </c>
    </row>
    <row r="132" spans="1:5" x14ac:dyDescent="0.4">
      <c r="A132" s="10" t="s">
        <v>411</v>
      </c>
      <c r="B132" s="10" t="s">
        <v>412</v>
      </c>
      <c r="C132" s="10" t="s">
        <v>316</v>
      </c>
      <c r="E132" s="1">
        <v>23055.09</v>
      </c>
    </row>
    <row r="133" spans="1:5" x14ac:dyDescent="0.4">
      <c r="C133" s="11" t="s">
        <v>7</v>
      </c>
      <c r="E133" s="1">
        <v>23055.09</v>
      </c>
    </row>
    <row r="134" spans="1:5" x14ac:dyDescent="0.4">
      <c r="C134" s="39" t="s">
        <v>413</v>
      </c>
      <c r="D134" s="10" t="s">
        <v>414</v>
      </c>
      <c r="E134" s="1">
        <v>23055.09</v>
      </c>
    </row>
    <row r="135" spans="1:5" x14ac:dyDescent="0.4">
      <c r="B135" s="10" t="s">
        <v>315</v>
      </c>
      <c r="C135" s="10" t="s">
        <v>316</v>
      </c>
      <c r="E135" s="1">
        <v>10600</v>
      </c>
    </row>
    <row r="136" spans="1:5" x14ac:dyDescent="0.4">
      <c r="C136" s="11" t="s">
        <v>6</v>
      </c>
      <c r="E136" s="1">
        <v>10600</v>
      </c>
    </row>
    <row r="137" spans="1:5" x14ac:dyDescent="0.4">
      <c r="C137" s="39" t="s">
        <v>415</v>
      </c>
      <c r="D137" s="10" t="s">
        <v>414</v>
      </c>
      <c r="E137" s="1">
        <v>10600</v>
      </c>
    </row>
    <row r="138" spans="1:5" x14ac:dyDescent="0.4">
      <c r="B138" s="10" t="s">
        <v>416</v>
      </c>
      <c r="C138" s="10" t="s">
        <v>316</v>
      </c>
      <c r="E138" s="1">
        <v>4930</v>
      </c>
    </row>
    <row r="139" spans="1:5" x14ac:dyDescent="0.4">
      <c r="C139" s="11" t="s">
        <v>8</v>
      </c>
      <c r="E139" s="1">
        <v>4930</v>
      </c>
    </row>
    <row r="140" spans="1:5" x14ac:dyDescent="0.4">
      <c r="C140" s="39" t="s">
        <v>317</v>
      </c>
      <c r="D140" s="10" t="s">
        <v>414</v>
      </c>
      <c r="E140" s="1">
        <v>4930</v>
      </c>
    </row>
    <row r="141" spans="1:5" x14ac:dyDescent="0.4">
      <c r="B141" s="10" t="s">
        <v>331</v>
      </c>
      <c r="C141" s="10" t="s">
        <v>316</v>
      </c>
      <c r="E141" s="1">
        <v>700</v>
      </c>
    </row>
    <row r="142" spans="1:5" x14ac:dyDescent="0.4">
      <c r="C142" s="11" t="s">
        <v>2</v>
      </c>
      <c r="E142" s="1">
        <v>700</v>
      </c>
    </row>
    <row r="143" spans="1:5" x14ac:dyDescent="0.4">
      <c r="C143" s="39" t="s">
        <v>334</v>
      </c>
      <c r="D143" s="10" t="s">
        <v>322</v>
      </c>
      <c r="E143" s="1">
        <v>700</v>
      </c>
    </row>
    <row r="144" spans="1:5" x14ac:dyDescent="0.4">
      <c r="B144" s="10" t="s">
        <v>417</v>
      </c>
      <c r="C144" s="10" t="s">
        <v>316</v>
      </c>
      <c r="E144" s="1">
        <v>235.99</v>
      </c>
    </row>
    <row r="145" spans="1:5" x14ac:dyDescent="0.4">
      <c r="C145" s="11" t="s">
        <v>2</v>
      </c>
      <c r="E145" s="1">
        <v>235.99</v>
      </c>
    </row>
    <row r="146" spans="1:5" x14ac:dyDescent="0.4">
      <c r="C146" s="39" t="s">
        <v>418</v>
      </c>
      <c r="D146" s="10" t="s">
        <v>322</v>
      </c>
      <c r="E146" s="1">
        <v>235.99</v>
      </c>
    </row>
    <row r="147" spans="1:5" x14ac:dyDescent="0.4">
      <c r="B147" s="10" t="s">
        <v>419</v>
      </c>
      <c r="C147" s="10" t="s">
        <v>316</v>
      </c>
      <c r="E147" s="1">
        <v>230.79</v>
      </c>
    </row>
    <row r="148" spans="1:5" x14ac:dyDescent="0.4">
      <c r="C148" s="11" t="s">
        <v>2</v>
      </c>
      <c r="E148" s="1">
        <v>230.79</v>
      </c>
    </row>
    <row r="149" spans="1:5" x14ac:dyDescent="0.4">
      <c r="C149" s="39" t="s">
        <v>420</v>
      </c>
      <c r="D149" s="10" t="s">
        <v>322</v>
      </c>
      <c r="E149" s="1">
        <v>230.79</v>
      </c>
    </row>
    <row r="150" spans="1:5" x14ac:dyDescent="0.4">
      <c r="B150" s="10" t="s">
        <v>421</v>
      </c>
      <c r="C150" s="10" t="s">
        <v>316</v>
      </c>
      <c r="E150" s="1">
        <v>254.99</v>
      </c>
    </row>
    <row r="151" spans="1:5" x14ac:dyDescent="0.4">
      <c r="C151" s="11" t="s">
        <v>3</v>
      </c>
      <c r="E151" s="1">
        <v>254.99</v>
      </c>
    </row>
    <row r="152" spans="1:5" x14ac:dyDescent="0.4">
      <c r="C152" s="39" t="s">
        <v>343</v>
      </c>
      <c r="D152" s="10" t="s">
        <v>322</v>
      </c>
      <c r="E152" s="1">
        <v>254.99</v>
      </c>
    </row>
    <row r="153" spans="1:5" x14ac:dyDescent="0.4">
      <c r="B153" s="10" t="s">
        <v>422</v>
      </c>
      <c r="C153" s="10" t="s">
        <v>316</v>
      </c>
      <c r="E153" s="1">
        <v>792.92</v>
      </c>
    </row>
    <row r="154" spans="1:5" x14ac:dyDescent="0.4">
      <c r="C154" s="11" t="s">
        <v>4</v>
      </c>
      <c r="E154" s="1">
        <v>792.92</v>
      </c>
    </row>
    <row r="155" spans="1:5" x14ac:dyDescent="0.4">
      <c r="C155" s="39" t="s">
        <v>423</v>
      </c>
      <c r="D155" s="10" t="s">
        <v>322</v>
      </c>
      <c r="E155" s="1">
        <v>792.92</v>
      </c>
    </row>
    <row r="156" spans="1:5" x14ac:dyDescent="0.4">
      <c r="B156" s="10" t="s">
        <v>424</v>
      </c>
      <c r="C156" s="10" t="s">
        <v>316</v>
      </c>
      <c r="E156" s="1">
        <v>200</v>
      </c>
    </row>
    <row r="157" spans="1:5" x14ac:dyDescent="0.4">
      <c r="C157" s="11" t="s">
        <v>4</v>
      </c>
      <c r="E157" s="1">
        <v>200</v>
      </c>
    </row>
    <row r="158" spans="1:5" x14ac:dyDescent="0.4">
      <c r="C158" s="39" t="s">
        <v>425</v>
      </c>
      <c r="D158" s="10" t="s">
        <v>322</v>
      </c>
      <c r="E158" s="1">
        <v>200</v>
      </c>
    </row>
    <row r="159" spans="1:5" x14ac:dyDescent="0.4">
      <c r="A159" s="10" t="s">
        <v>426</v>
      </c>
      <c r="B159" s="10" t="s">
        <v>427</v>
      </c>
      <c r="C159" s="10" t="s">
        <v>316</v>
      </c>
      <c r="E159" s="1">
        <v>447.98</v>
      </c>
    </row>
    <row r="160" spans="1:5" x14ac:dyDescent="0.4">
      <c r="C160" s="11" t="s">
        <v>3</v>
      </c>
      <c r="E160" s="1">
        <v>447.98</v>
      </c>
    </row>
    <row r="161" spans="1:5" x14ac:dyDescent="0.4">
      <c r="C161" s="39" t="s">
        <v>428</v>
      </c>
      <c r="D161" s="10" t="s">
        <v>322</v>
      </c>
      <c r="E161" s="1">
        <v>223.99</v>
      </c>
    </row>
    <row r="162" spans="1:5" x14ac:dyDescent="0.4">
      <c r="C162" s="39" t="s">
        <v>429</v>
      </c>
      <c r="D162" s="10" t="s">
        <v>322</v>
      </c>
      <c r="E162" s="1">
        <v>223.99</v>
      </c>
    </row>
    <row r="163" spans="1:5" x14ac:dyDescent="0.4">
      <c r="B163" s="10" t="s">
        <v>430</v>
      </c>
      <c r="C163" s="10" t="s">
        <v>316</v>
      </c>
      <c r="E163" s="1">
        <v>39.49</v>
      </c>
    </row>
    <row r="164" spans="1:5" x14ac:dyDescent="0.4">
      <c r="C164" s="11" t="s">
        <v>2</v>
      </c>
      <c r="E164" s="1">
        <v>39.49</v>
      </c>
    </row>
    <row r="165" spans="1:5" x14ac:dyDescent="0.4">
      <c r="C165" s="39" t="s">
        <v>418</v>
      </c>
      <c r="D165" s="10" t="s">
        <v>322</v>
      </c>
      <c r="E165" s="1">
        <v>39.49</v>
      </c>
    </row>
    <row r="166" spans="1:5" x14ac:dyDescent="0.4">
      <c r="B166" s="10" t="s">
        <v>431</v>
      </c>
      <c r="C166" s="10" t="s">
        <v>316</v>
      </c>
      <c r="E166" s="1">
        <v>39.49</v>
      </c>
    </row>
    <row r="167" spans="1:5" x14ac:dyDescent="0.4">
      <c r="C167" s="11" t="s">
        <v>2</v>
      </c>
      <c r="E167" s="1">
        <v>39.49</v>
      </c>
    </row>
    <row r="168" spans="1:5" x14ac:dyDescent="0.4">
      <c r="C168" s="39" t="s">
        <v>334</v>
      </c>
      <c r="D168" s="10" t="s">
        <v>395</v>
      </c>
      <c r="E168" s="1">
        <v>39.49</v>
      </c>
    </row>
    <row r="169" spans="1:5" x14ac:dyDescent="0.4">
      <c r="B169" s="10" t="s">
        <v>432</v>
      </c>
      <c r="C169" s="10" t="s">
        <v>316</v>
      </c>
      <c r="E169" s="1">
        <v>4765.22</v>
      </c>
    </row>
    <row r="170" spans="1:5" x14ac:dyDescent="0.4">
      <c r="C170" s="11" t="s">
        <v>5</v>
      </c>
      <c r="E170" s="1">
        <v>4765.22</v>
      </c>
    </row>
    <row r="171" spans="1:5" x14ac:dyDescent="0.4">
      <c r="C171" s="39" t="s">
        <v>359</v>
      </c>
      <c r="D171" s="10" t="s">
        <v>395</v>
      </c>
      <c r="E171" s="1">
        <v>4765.22</v>
      </c>
    </row>
    <row r="172" spans="1:5" x14ac:dyDescent="0.4">
      <c r="A172" s="10" t="s">
        <v>433</v>
      </c>
      <c r="B172" s="10" t="s">
        <v>394</v>
      </c>
      <c r="C172" s="10" t="s">
        <v>316</v>
      </c>
      <c r="E172" s="1">
        <v>4485</v>
      </c>
    </row>
    <row r="173" spans="1:5" x14ac:dyDescent="0.4">
      <c r="C173" s="11" t="s">
        <v>4</v>
      </c>
      <c r="E173" s="1">
        <v>2265</v>
      </c>
    </row>
    <row r="174" spans="1:5" x14ac:dyDescent="0.4">
      <c r="C174" s="39" t="s">
        <v>386</v>
      </c>
      <c r="D174" s="10" t="s">
        <v>395</v>
      </c>
      <c r="E174" s="1">
        <v>2265</v>
      </c>
    </row>
    <row r="175" spans="1:5" x14ac:dyDescent="0.4">
      <c r="C175" s="11" t="s">
        <v>7</v>
      </c>
      <c r="E175" s="1">
        <v>2220</v>
      </c>
    </row>
    <row r="176" spans="1:5" x14ac:dyDescent="0.4">
      <c r="C176" s="39" t="s">
        <v>413</v>
      </c>
      <c r="D176" s="10" t="s">
        <v>395</v>
      </c>
      <c r="E176" s="1">
        <v>2220</v>
      </c>
    </row>
    <row r="177" spans="1:5" x14ac:dyDescent="0.4">
      <c r="B177" s="10" t="s">
        <v>434</v>
      </c>
      <c r="C177" s="10" t="s">
        <v>316</v>
      </c>
      <c r="E177" s="1">
        <v>250</v>
      </c>
    </row>
    <row r="178" spans="1:5" x14ac:dyDescent="0.4">
      <c r="C178" s="11" t="s">
        <v>12</v>
      </c>
      <c r="E178" s="1">
        <v>250</v>
      </c>
    </row>
    <row r="179" spans="1:5" x14ac:dyDescent="0.4">
      <c r="C179" s="39" t="s">
        <v>398</v>
      </c>
      <c r="D179" s="10" t="s">
        <v>361</v>
      </c>
      <c r="E179" s="1">
        <v>250</v>
      </c>
    </row>
    <row r="180" spans="1:5" x14ac:dyDescent="0.4">
      <c r="B180" s="10" t="s">
        <v>435</v>
      </c>
      <c r="C180" s="10" t="s">
        <v>316</v>
      </c>
      <c r="E180" s="1">
        <v>7000</v>
      </c>
    </row>
    <row r="181" spans="1:5" x14ac:dyDescent="0.4">
      <c r="C181" s="11" t="s">
        <v>12</v>
      </c>
      <c r="E181" s="1">
        <v>7000</v>
      </c>
    </row>
    <row r="182" spans="1:5" x14ac:dyDescent="0.4">
      <c r="C182" s="39" t="s">
        <v>398</v>
      </c>
      <c r="D182" s="10" t="s">
        <v>361</v>
      </c>
      <c r="E182" s="1">
        <v>7000</v>
      </c>
    </row>
    <row r="183" spans="1:5" x14ac:dyDescent="0.4">
      <c r="A183" s="10" t="s">
        <v>436</v>
      </c>
      <c r="B183" s="10" t="s">
        <v>437</v>
      </c>
      <c r="C183" s="10" t="s">
        <v>316</v>
      </c>
      <c r="E183" s="1">
        <v>312</v>
      </c>
    </row>
    <row r="184" spans="1:5" x14ac:dyDescent="0.4">
      <c r="C184" s="11" t="s">
        <v>3</v>
      </c>
      <c r="E184" s="1">
        <v>312</v>
      </c>
    </row>
    <row r="185" spans="1:5" x14ac:dyDescent="0.4">
      <c r="C185" s="39" t="s">
        <v>428</v>
      </c>
      <c r="D185" s="10" t="s">
        <v>322</v>
      </c>
      <c r="E185" s="1">
        <v>312</v>
      </c>
    </row>
    <row r="186" spans="1:5" x14ac:dyDescent="0.4">
      <c r="A186" s="10" t="s">
        <v>438</v>
      </c>
      <c r="B186" s="10" t="s">
        <v>439</v>
      </c>
      <c r="C186" s="10" t="s">
        <v>316</v>
      </c>
      <c r="E186" s="1">
        <v>2800</v>
      </c>
    </row>
    <row r="187" spans="1:5" x14ac:dyDescent="0.4">
      <c r="C187" s="11" t="s">
        <v>7</v>
      </c>
      <c r="E187" s="1">
        <v>2800</v>
      </c>
    </row>
    <row r="188" spans="1:5" x14ac:dyDescent="0.4">
      <c r="C188" s="39" t="s">
        <v>440</v>
      </c>
      <c r="D188" s="10" t="s">
        <v>361</v>
      </c>
      <c r="E188" s="1">
        <v>2800</v>
      </c>
    </row>
    <row r="189" spans="1:5" x14ac:dyDescent="0.4">
      <c r="B189" s="10" t="s">
        <v>441</v>
      </c>
      <c r="C189" s="10" t="s">
        <v>316</v>
      </c>
      <c r="E189" s="1">
        <v>2690</v>
      </c>
    </row>
    <row r="190" spans="1:5" x14ac:dyDescent="0.4">
      <c r="C190" s="11" t="s">
        <v>7</v>
      </c>
      <c r="E190" s="1">
        <v>2690</v>
      </c>
    </row>
    <row r="191" spans="1:5" x14ac:dyDescent="0.4">
      <c r="C191" s="39" t="s">
        <v>440</v>
      </c>
      <c r="D191" s="10" t="s">
        <v>395</v>
      </c>
      <c r="E191" s="1">
        <v>2690</v>
      </c>
    </row>
    <row r="192" spans="1:5" x14ac:dyDescent="0.4">
      <c r="B192" s="10" t="s">
        <v>442</v>
      </c>
      <c r="C192" s="10" t="s">
        <v>316</v>
      </c>
      <c r="E192" s="1">
        <v>0</v>
      </c>
    </row>
    <row r="193" spans="2:5" x14ac:dyDescent="0.4">
      <c r="C193" s="11" t="s">
        <v>5</v>
      </c>
      <c r="E193" s="1">
        <v>0</v>
      </c>
    </row>
    <row r="194" spans="2:5" x14ac:dyDescent="0.4">
      <c r="C194" s="39" t="s">
        <v>359</v>
      </c>
      <c r="D194" s="10" t="s">
        <v>329</v>
      </c>
      <c r="E194" s="1">
        <v>0</v>
      </c>
    </row>
    <row r="195" spans="2:5" x14ac:dyDescent="0.4">
      <c r="B195" s="10" t="s">
        <v>443</v>
      </c>
      <c r="C195" s="10" t="s">
        <v>316</v>
      </c>
      <c r="E195" s="1">
        <v>3000</v>
      </c>
    </row>
    <row r="196" spans="2:5" x14ac:dyDescent="0.4">
      <c r="C196" s="11" t="s">
        <v>3</v>
      </c>
      <c r="E196" s="1">
        <v>3000</v>
      </c>
    </row>
    <row r="197" spans="2:5" x14ac:dyDescent="0.4">
      <c r="C197" s="39" t="s">
        <v>343</v>
      </c>
      <c r="D197" s="10" t="s">
        <v>322</v>
      </c>
      <c r="E197" s="1">
        <v>3000</v>
      </c>
    </row>
    <row r="198" spans="2:5" x14ac:dyDescent="0.4">
      <c r="B198" s="10" t="s">
        <v>444</v>
      </c>
      <c r="C198" s="10" t="s">
        <v>316</v>
      </c>
      <c r="E198" s="1">
        <v>175</v>
      </c>
    </row>
    <row r="199" spans="2:5" x14ac:dyDescent="0.4">
      <c r="C199" s="11" t="s">
        <v>5</v>
      </c>
      <c r="E199" s="1">
        <v>175</v>
      </c>
    </row>
    <row r="200" spans="2:5" x14ac:dyDescent="0.4">
      <c r="C200" s="39" t="s">
        <v>359</v>
      </c>
      <c r="D200" s="10" t="s">
        <v>322</v>
      </c>
      <c r="E200" s="1">
        <v>175</v>
      </c>
    </row>
    <row r="201" spans="2:5" x14ac:dyDescent="0.4">
      <c r="B201" s="10" t="s">
        <v>445</v>
      </c>
      <c r="C201" s="10" t="s">
        <v>316</v>
      </c>
      <c r="E201" s="1">
        <v>4450.41</v>
      </c>
    </row>
    <row r="202" spans="2:5" x14ac:dyDescent="0.4">
      <c r="C202" s="11" t="s">
        <v>5</v>
      </c>
      <c r="E202" s="1">
        <v>4450.41</v>
      </c>
    </row>
    <row r="203" spans="2:5" x14ac:dyDescent="0.4">
      <c r="C203" s="39" t="s">
        <v>359</v>
      </c>
      <c r="D203" s="10" t="s">
        <v>361</v>
      </c>
      <c r="E203" s="1">
        <v>4450.41</v>
      </c>
    </row>
    <row r="204" spans="2:5" x14ac:dyDescent="0.4">
      <c r="B204" s="10" t="s">
        <v>446</v>
      </c>
      <c r="C204" s="10" t="s">
        <v>316</v>
      </c>
      <c r="E204" s="1">
        <v>5000</v>
      </c>
    </row>
    <row r="205" spans="2:5" x14ac:dyDescent="0.4">
      <c r="C205" s="11" t="s">
        <v>5</v>
      </c>
      <c r="E205" s="1">
        <v>5000</v>
      </c>
    </row>
    <row r="206" spans="2:5" x14ac:dyDescent="0.4">
      <c r="C206" s="39" t="s">
        <v>359</v>
      </c>
      <c r="D206" s="10" t="s">
        <v>361</v>
      </c>
      <c r="E206" s="1">
        <v>5000</v>
      </c>
    </row>
    <row r="207" spans="2:5" x14ac:dyDescent="0.4">
      <c r="B207" s="10" t="s">
        <v>447</v>
      </c>
      <c r="C207" s="10" t="s">
        <v>316</v>
      </c>
      <c r="E207" s="1">
        <v>3654.88</v>
      </c>
    </row>
    <row r="208" spans="2:5" x14ac:dyDescent="0.4">
      <c r="C208" s="11" t="s">
        <v>5</v>
      </c>
      <c r="E208" s="1">
        <v>3654.88</v>
      </c>
    </row>
    <row r="209" spans="1:5" x14ac:dyDescent="0.4">
      <c r="C209" s="39" t="s">
        <v>359</v>
      </c>
      <c r="D209" s="10" t="s">
        <v>361</v>
      </c>
      <c r="E209" s="1">
        <v>3654.88</v>
      </c>
    </row>
    <row r="210" spans="1:5" x14ac:dyDescent="0.4">
      <c r="B210" s="10" t="s">
        <v>448</v>
      </c>
      <c r="C210" s="10" t="s">
        <v>316</v>
      </c>
      <c r="E210" s="1">
        <v>0</v>
      </c>
    </row>
    <row r="211" spans="1:5" x14ac:dyDescent="0.4">
      <c r="C211" s="11" t="s">
        <v>6</v>
      </c>
      <c r="E211" s="1">
        <v>0</v>
      </c>
    </row>
    <row r="212" spans="1:5" x14ac:dyDescent="0.4">
      <c r="C212" s="39" t="s">
        <v>415</v>
      </c>
      <c r="D212" s="10" t="s">
        <v>318</v>
      </c>
      <c r="E212" s="1">
        <v>0</v>
      </c>
    </row>
    <row r="213" spans="1:5" x14ac:dyDescent="0.4">
      <c r="B213" s="10" t="s">
        <v>449</v>
      </c>
      <c r="C213" s="10" t="s">
        <v>316</v>
      </c>
      <c r="E213" s="1">
        <v>1920</v>
      </c>
    </row>
    <row r="214" spans="1:5" x14ac:dyDescent="0.4">
      <c r="C214" s="11" t="s">
        <v>5</v>
      </c>
      <c r="E214" s="1">
        <v>1920</v>
      </c>
    </row>
    <row r="215" spans="1:5" x14ac:dyDescent="0.4">
      <c r="C215" s="39" t="s">
        <v>359</v>
      </c>
      <c r="D215" s="10" t="s">
        <v>395</v>
      </c>
      <c r="E215" s="1">
        <v>1920</v>
      </c>
    </row>
    <row r="216" spans="1:5" x14ac:dyDescent="0.4">
      <c r="B216" s="10" t="s">
        <v>450</v>
      </c>
      <c r="C216" s="10" t="s">
        <v>316</v>
      </c>
      <c r="E216" s="1">
        <v>200</v>
      </c>
    </row>
    <row r="217" spans="1:5" x14ac:dyDescent="0.4">
      <c r="C217" s="11" t="s">
        <v>4</v>
      </c>
      <c r="E217" s="1">
        <v>200</v>
      </c>
    </row>
    <row r="218" spans="1:5" x14ac:dyDescent="0.4">
      <c r="C218" s="39" t="s">
        <v>371</v>
      </c>
      <c r="D218" s="10" t="s">
        <v>322</v>
      </c>
      <c r="E218" s="1">
        <v>200</v>
      </c>
    </row>
    <row r="219" spans="1:5" x14ac:dyDescent="0.4">
      <c r="A219" s="10" t="s">
        <v>251</v>
      </c>
      <c r="B219" s="10" t="s">
        <v>368</v>
      </c>
      <c r="C219" s="10" t="s">
        <v>316</v>
      </c>
      <c r="E219" s="1">
        <v>25000</v>
      </c>
    </row>
    <row r="220" spans="1:5" x14ac:dyDescent="0.4">
      <c r="C220" s="11" t="s">
        <v>6</v>
      </c>
      <c r="E220" s="1">
        <v>25000</v>
      </c>
    </row>
    <row r="221" spans="1:5" x14ac:dyDescent="0.4">
      <c r="C221" s="39" t="s">
        <v>451</v>
      </c>
      <c r="D221" s="10" t="s">
        <v>414</v>
      </c>
      <c r="E221" s="1">
        <v>25000</v>
      </c>
    </row>
    <row r="222" spans="1:5" x14ac:dyDescent="0.4">
      <c r="B222" s="10" t="s">
        <v>437</v>
      </c>
      <c r="C222" s="10" t="s">
        <v>316</v>
      </c>
      <c r="E222" s="1">
        <v>160.44</v>
      </c>
    </row>
    <row r="223" spans="1:5" x14ac:dyDescent="0.4">
      <c r="C223" s="11" t="s">
        <v>6</v>
      </c>
      <c r="E223" s="1">
        <v>160.44</v>
      </c>
    </row>
    <row r="224" spans="1:5" x14ac:dyDescent="0.4">
      <c r="C224" s="39" t="s">
        <v>452</v>
      </c>
      <c r="D224" s="10" t="s">
        <v>318</v>
      </c>
      <c r="E224" s="1">
        <v>160.44</v>
      </c>
    </row>
    <row r="225" spans="2:5" x14ac:dyDescent="0.4">
      <c r="B225" s="10" t="s">
        <v>453</v>
      </c>
      <c r="C225" s="10" t="s">
        <v>316</v>
      </c>
      <c r="E225" s="1">
        <v>1056.27</v>
      </c>
    </row>
    <row r="226" spans="2:5" x14ac:dyDescent="0.4">
      <c r="C226" s="11" t="s">
        <v>1</v>
      </c>
      <c r="E226" s="1">
        <v>1056.27</v>
      </c>
    </row>
    <row r="227" spans="2:5" x14ac:dyDescent="0.4">
      <c r="C227" s="39" t="s">
        <v>454</v>
      </c>
      <c r="D227" s="10" t="s">
        <v>322</v>
      </c>
      <c r="E227" s="1">
        <v>1056.27</v>
      </c>
    </row>
    <row r="228" spans="2:5" x14ac:dyDescent="0.4">
      <c r="B228" s="10" t="s">
        <v>455</v>
      </c>
      <c r="C228" s="10" t="s">
        <v>316</v>
      </c>
      <c r="E228" s="1">
        <v>250</v>
      </c>
    </row>
    <row r="229" spans="2:5" x14ac:dyDescent="0.4">
      <c r="C229" s="11" t="s">
        <v>1</v>
      </c>
      <c r="E229" s="1">
        <v>250</v>
      </c>
    </row>
    <row r="230" spans="2:5" x14ac:dyDescent="0.4">
      <c r="C230" s="39" t="s">
        <v>456</v>
      </c>
      <c r="D230" s="10" t="s">
        <v>322</v>
      </c>
      <c r="E230" s="1">
        <v>250</v>
      </c>
    </row>
    <row r="231" spans="2:5" x14ac:dyDescent="0.4">
      <c r="B231" s="10" t="s">
        <v>457</v>
      </c>
      <c r="C231" s="10" t="s">
        <v>316</v>
      </c>
      <c r="E231" s="1">
        <v>2730</v>
      </c>
    </row>
    <row r="232" spans="2:5" x14ac:dyDescent="0.4">
      <c r="C232" s="11" t="s">
        <v>1</v>
      </c>
      <c r="E232" s="1">
        <v>2730</v>
      </c>
    </row>
    <row r="233" spans="2:5" x14ac:dyDescent="0.4">
      <c r="C233" s="39" t="s">
        <v>378</v>
      </c>
      <c r="D233" s="10" t="s">
        <v>322</v>
      </c>
      <c r="E233" s="1">
        <v>2730</v>
      </c>
    </row>
    <row r="234" spans="2:5" x14ac:dyDescent="0.4">
      <c r="B234" s="10" t="s">
        <v>458</v>
      </c>
      <c r="C234" s="10" t="s">
        <v>316</v>
      </c>
      <c r="E234" s="1">
        <v>1538.19</v>
      </c>
    </row>
    <row r="235" spans="2:5" x14ac:dyDescent="0.4">
      <c r="C235" s="11" t="s">
        <v>1</v>
      </c>
      <c r="E235" s="1">
        <v>1538.19</v>
      </c>
    </row>
    <row r="236" spans="2:5" x14ac:dyDescent="0.4">
      <c r="C236" s="39" t="s">
        <v>378</v>
      </c>
      <c r="D236" s="10" t="s">
        <v>322</v>
      </c>
      <c r="E236" s="1">
        <v>1538.19</v>
      </c>
    </row>
    <row r="237" spans="2:5" x14ac:dyDescent="0.4">
      <c r="B237" s="10" t="s">
        <v>459</v>
      </c>
      <c r="C237" s="10" t="s">
        <v>316</v>
      </c>
      <c r="E237" s="1">
        <v>79.959999999999994</v>
      </c>
    </row>
    <row r="238" spans="2:5" x14ac:dyDescent="0.4">
      <c r="C238" s="11" t="s">
        <v>1</v>
      </c>
      <c r="E238" s="1">
        <v>79.959999999999994</v>
      </c>
    </row>
    <row r="239" spans="2:5" x14ac:dyDescent="0.4">
      <c r="C239" s="39" t="s">
        <v>460</v>
      </c>
      <c r="D239" s="10" t="s">
        <v>322</v>
      </c>
      <c r="E239" s="1">
        <v>79.959999999999994</v>
      </c>
    </row>
    <row r="240" spans="2:5" x14ac:dyDescent="0.4">
      <c r="B240" s="10" t="s">
        <v>461</v>
      </c>
      <c r="C240" s="10" t="s">
        <v>316</v>
      </c>
      <c r="E240" s="1">
        <v>1047</v>
      </c>
    </row>
    <row r="241" spans="2:5" x14ac:dyDescent="0.4">
      <c r="C241" s="11" t="s">
        <v>1</v>
      </c>
      <c r="E241" s="1">
        <v>1047</v>
      </c>
    </row>
    <row r="242" spans="2:5" x14ac:dyDescent="0.4">
      <c r="C242" s="39" t="s">
        <v>460</v>
      </c>
      <c r="D242" s="10" t="s">
        <v>322</v>
      </c>
      <c r="E242" s="1">
        <v>1047</v>
      </c>
    </row>
    <row r="243" spans="2:5" x14ac:dyDescent="0.4">
      <c r="B243" s="10" t="s">
        <v>430</v>
      </c>
      <c r="C243" s="10" t="s">
        <v>316</v>
      </c>
      <c r="E243" s="1">
        <v>170.7</v>
      </c>
    </row>
    <row r="244" spans="2:5" x14ac:dyDescent="0.4">
      <c r="C244" s="11" t="s">
        <v>1</v>
      </c>
      <c r="E244" s="1">
        <v>170.7</v>
      </c>
    </row>
    <row r="245" spans="2:5" x14ac:dyDescent="0.4">
      <c r="C245" s="39" t="s">
        <v>462</v>
      </c>
      <c r="D245" s="10" t="s">
        <v>322</v>
      </c>
      <c r="E245" s="1">
        <v>170.7</v>
      </c>
    </row>
    <row r="246" spans="2:5" x14ac:dyDescent="0.4">
      <c r="B246" s="10" t="s">
        <v>463</v>
      </c>
      <c r="C246" s="10" t="s">
        <v>316</v>
      </c>
      <c r="E246" s="1">
        <v>571.14</v>
      </c>
    </row>
    <row r="247" spans="2:5" x14ac:dyDescent="0.4">
      <c r="C247" s="11" t="s">
        <v>1</v>
      </c>
      <c r="E247" s="1">
        <v>193.2</v>
      </c>
    </row>
    <row r="248" spans="2:5" x14ac:dyDescent="0.4">
      <c r="C248" s="39" t="s">
        <v>464</v>
      </c>
      <c r="D248" s="10" t="s">
        <v>322</v>
      </c>
      <c r="E248" s="1">
        <v>193.2</v>
      </c>
    </row>
    <row r="249" spans="2:5" x14ac:dyDescent="0.4">
      <c r="C249" s="11" t="s">
        <v>2</v>
      </c>
      <c r="E249" s="1">
        <v>377.94</v>
      </c>
    </row>
    <row r="250" spans="2:5" x14ac:dyDescent="0.4">
      <c r="C250" s="39" t="s">
        <v>465</v>
      </c>
      <c r="D250" s="10" t="s">
        <v>322</v>
      </c>
      <c r="E250" s="1">
        <v>377.94</v>
      </c>
    </row>
    <row r="251" spans="2:5" x14ac:dyDescent="0.4">
      <c r="B251" s="10" t="s">
        <v>466</v>
      </c>
      <c r="C251" s="10" t="s">
        <v>316</v>
      </c>
      <c r="E251" s="1">
        <v>7200</v>
      </c>
    </row>
    <row r="252" spans="2:5" x14ac:dyDescent="0.4">
      <c r="C252" s="11" t="s">
        <v>1</v>
      </c>
      <c r="E252" s="1">
        <v>7200</v>
      </c>
    </row>
    <row r="253" spans="2:5" x14ac:dyDescent="0.4">
      <c r="C253" s="39" t="s">
        <v>373</v>
      </c>
      <c r="D253" s="10" t="s">
        <v>322</v>
      </c>
      <c r="E253" s="1">
        <v>7200</v>
      </c>
    </row>
    <row r="254" spans="2:5" x14ac:dyDescent="0.4">
      <c r="B254" s="10" t="s">
        <v>467</v>
      </c>
      <c r="C254" s="10" t="s">
        <v>316</v>
      </c>
      <c r="E254" s="1">
        <v>490</v>
      </c>
    </row>
    <row r="255" spans="2:5" x14ac:dyDescent="0.4">
      <c r="C255" s="11" t="s">
        <v>1</v>
      </c>
      <c r="E255" s="1">
        <v>490</v>
      </c>
    </row>
    <row r="256" spans="2:5" x14ac:dyDescent="0.4">
      <c r="C256" s="39" t="s">
        <v>468</v>
      </c>
      <c r="D256" s="10" t="s">
        <v>322</v>
      </c>
      <c r="E256" s="1">
        <v>490</v>
      </c>
    </row>
    <row r="257" spans="2:5" x14ac:dyDescent="0.4">
      <c r="B257" s="10" t="s">
        <v>469</v>
      </c>
      <c r="C257" s="10" t="s">
        <v>316</v>
      </c>
      <c r="E257" s="1">
        <v>1583.56</v>
      </c>
    </row>
    <row r="258" spans="2:5" x14ac:dyDescent="0.4">
      <c r="C258" s="11" t="s">
        <v>1</v>
      </c>
      <c r="E258" s="1">
        <v>1583.56</v>
      </c>
    </row>
    <row r="259" spans="2:5" x14ac:dyDescent="0.4">
      <c r="C259" s="39" t="s">
        <v>468</v>
      </c>
      <c r="D259" s="10" t="s">
        <v>322</v>
      </c>
      <c r="E259" s="1">
        <v>1583.56</v>
      </c>
    </row>
    <row r="260" spans="2:5" x14ac:dyDescent="0.4">
      <c r="B260" s="10" t="s">
        <v>470</v>
      </c>
      <c r="C260" s="10" t="s">
        <v>316</v>
      </c>
      <c r="E260" s="1">
        <v>770</v>
      </c>
    </row>
    <row r="261" spans="2:5" x14ac:dyDescent="0.4">
      <c r="C261" s="11" t="s">
        <v>1</v>
      </c>
      <c r="E261" s="1">
        <v>770</v>
      </c>
    </row>
    <row r="262" spans="2:5" x14ac:dyDescent="0.4">
      <c r="C262" s="39" t="s">
        <v>468</v>
      </c>
      <c r="D262" s="10" t="s">
        <v>322</v>
      </c>
      <c r="E262" s="1">
        <v>770</v>
      </c>
    </row>
    <row r="263" spans="2:5" x14ac:dyDescent="0.4">
      <c r="B263" s="10" t="s">
        <v>471</v>
      </c>
      <c r="C263" s="10" t="s">
        <v>316</v>
      </c>
      <c r="E263" s="1">
        <v>3766.66</v>
      </c>
    </row>
    <row r="264" spans="2:5" x14ac:dyDescent="0.4">
      <c r="C264" s="11" t="s">
        <v>1</v>
      </c>
      <c r="E264" s="1">
        <v>3766.66</v>
      </c>
    </row>
    <row r="265" spans="2:5" x14ac:dyDescent="0.4">
      <c r="C265" s="39" t="s">
        <v>468</v>
      </c>
      <c r="D265" s="10" t="s">
        <v>322</v>
      </c>
      <c r="E265" s="1">
        <v>3766.66</v>
      </c>
    </row>
    <row r="266" spans="2:5" x14ac:dyDescent="0.4">
      <c r="B266" s="10" t="s">
        <v>472</v>
      </c>
      <c r="C266" s="10" t="s">
        <v>316</v>
      </c>
      <c r="E266" s="1">
        <v>8520</v>
      </c>
    </row>
    <row r="267" spans="2:5" x14ac:dyDescent="0.4">
      <c r="C267" s="11" t="s">
        <v>4</v>
      </c>
      <c r="E267" s="1">
        <v>8520</v>
      </c>
    </row>
    <row r="268" spans="2:5" x14ac:dyDescent="0.4">
      <c r="C268" s="39" t="s">
        <v>386</v>
      </c>
      <c r="D268" s="10" t="s">
        <v>322</v>
      </c>
      <c r="E268" s="1">
        <v>8520</v>
      </c>
    </row>
    <row r="269" spans="2:5" x14ac:dyDescent="0.4">
      <c r="B269" s="10" t="s">
        <v>473</v>
      </c>
      <c r="C269" s="10" t="s">
        <v>316</v>
      </c>
      <c r="E269" s="1">
        <v>500</v>
      </c>
    </row>
    <row r="270" spans="2:5" x14ac:dyDescent="0.4">
      <c r="C270" s="11" t="s">
        <v>1</v>
      </c>
      <c r="E270" s="1">
        <v>500</v>
      </c>
    </row>
    <row r="271" spans="2:5" x14ac:dyDescent="0.4">
      <c r="C271" s="39" t="s">
        <v>468</v>
      </c>
      <c r="D271" s="10" t="s">
        <v>322</v>
      </c>
      <c r="E271" s="1">
        <v>500</v>
      </c>
    </row>
    <row r="272" spans="2:5" x14ac:dyDescent="0.4">
      <c r="B272" s="10" t="s">
        <v>474</v>
      </c>
      <c r="C272" s="10" t="s">
        <v>316</v>
      </c>
      <c r="E272" s="1">
        <v>2295.7800000000002</v>
      </c>
    </row>
    <row r="273" spans="2:5" x14ac:dyDescent="0.4">
      <c r="C273" s="11" t="s">
        <v>1</v>
      </c>
      <c r="E273" s="1">
        <v>2295.7800000000002</v>
      </c>
    </row>
    <row r="274" spans="2:5" x14ac:dyDescent="0.4">
      <c r="C274" s="39" t="s">
        <v>373</v>
      </c>
      <c r="D274" s="10" t="s">
        <v>322</v>
      </c>
      <c r="E274" s="1">
        <v>2295.7800000000002</v>
      </c>
    </row>
    <row r="275" spans="2:5" x14ac:dyDescent="0.4">
      <c r="B275" s="10" t="s">
        <v>475</v>
      </c>
      <c r="C275" s="10" t="s">
        <v>316</v>
      </c>
      <c r="E275" s="1">
        <v>85.35</v>
      </c>
    </row>
    <row r="276" spans="2:5" x14ac:dyDescent="0.4">
      <c r="C276" s="11" t="s">
        <v>2</v>
      </c>
      <c r="E276" s="1">
        <v>85.35</v>
      </c>
    </row>
    <row r="277" spans="2:5" x14ac:dyDescent="0.4">
      <c r="C277" s="39" t="s">
        <v>465</v>
      </c>
      <c r="D277" s="10" t="s">
        <v>395</v>
      </c>
      <c r="E277" s="1">
        <v>85.35</v>
      </c>
    </row>
    <row r="278" spans="2:5" x14ac:dyDescent="0.4">
      <c r="B278" s="10" t="s">
        <v>476</v>
      </c>
      <c r="C278" s="10" t="s">
        <v>316</v>
      </c>
      <c r="E278" s="1">
        <v>7008.98</v>
      </c>
    </row>
    <row r="279" spans="2:5" x14ac:dyDescent="0.4">
      <c r="C279" s="11" t="s">
        <v>2</v>
      </c>
      <c r="E279" s="1">
        <v>7008.98</v>
      </c>
    </row>
    <row r="280" spans="2:5" x14ac:dyDescent="0.4">
      <c r="C280" s="39" t="s">
        <v>477</v>
      </c>
      <c r="D280" s="10" t="s">
        <v>322</v>
      </c>
      <c r="E280" s="1">
        <v>7008.98</v>
      </c>
    </row>
    <row r="281" spans="2:5" x14ac:dyDescent="0.4">
      <c r="B281" s="10" t="s">
        <v>478</v>
      </c>
      <c r="C281" s="10" t="s">
        <v>316</v>
      </c>
      <c r="E281" s="1">
        <v>460.49</v>
      </c>
    </row>
    <row r="282" spans="2:5" x14ac:dyDescent="0.4">
      <c r="C282" s="11" t="s">
        <v>2</v>
      </c>
      <c r="E282" s="1">
        <v>460.49</v>
      </c>
    </row>
    <row r="283" spans="2:5" x14ac:dyDescent="0.4">
      <c r="C283" s="39" t="s">
        <v>477</v>
      </c>
      <c r="D283" s="10" t="s">
        <v>322</v>
      </c>
      <c r="E283" s="1">
        <v>460.49</v>
      </c>
    </row>
    <row r="284" spans="2:5" x14ac:dyDescent="0.4">
      <c r="B284" s="10" t="s">
        <v>479</v>
      </c>
      <c r="C284" s="10" t="s">
        <v>316</v>
      </c>
      <c r="E284" s="1">
        <v>105</v>
      </c>
    </row>
    <row r="285" spans="2:5" x14ac:dyDescent="0.4">
      <c r="C285" s="11" t="s">
        <v>2</v>
      </c>
      <c r="E285" s="1">
        <v>105</v>
      </c>
    </row>
    <row r="286" spans="2:5" x14ac:dyDescent="0.4">
      <c r="C286" s="39" t="s">
        <v>477</v>
      </c>
      <c r="D286" s="10" t="s">
        <v>322</v>
      </c>
      <c r="E286" s="1">
        <v>105</v>
      </c>
    </row>
    <row r="287" spans="2:5" x14ac:dyDescent="0.4">
      <c r="B287" s="10" t="s">
        <v>480</v>
      </c>
      <c r="C287" s="10" t="s">
        <v>316</v>
      </c>
      <c r="E287" s="1">
        <v>845.81</v>
      </c>
    </row>
    <row r="288" spans="2:5" x14ac:dyDescent="0.4">
      <c r="C288" s="11" t="s">
        <v>2</v>
      </c>
      <c r="E288" s="1">
        <v>845.81</v>
      </c>
    </row>
    <row r="289" spans="2:5" x14ac:dyDescent="0.4">
      <c r="C289" s="39" t="s">
        <v>481</v>
      </c>
      <c r="D289" s="10" t="s">
        <v>322</v>
      </c>
      <c r="E289" s="1">
        <v>845.81</v>
      </c>
    </row>
    <row r="290" spans="2:5" x14ac:dyDescent="0.4">
      <c r="B290" s="10" t="s">
        <v>482</v>
      </c>
      <c r="C290" s="10" t="s">
        <v>316</v>
      </c>
      <c r="E290" s="1">
        <v>419.96</v>
      </c>
    </row>
    <row r="291" spans="2:5" x14ac:dyDescent="0.4">
      <c r="C291" s="11" t="s">
        <v>5</v>
      </c>
      <c r="E291" s="1">
        <v>419.96</v>
      </c>
    </row>
    <row r="292" spans="2:5" x14ac:dyDescent="0.4">
      <c r="C292" s="39" t="s">
        <v>483</v>
      </c>
      <c r="D292" s="10" t="s">
        <v>329</v>
      </c>
      <c r="E292" s="1">
        <v>419.96</v>
      </c>
    </row>
    <row r="293" spans="2:5" x14ac:dyDescent="0.4">
      <c r="B293" s="10" t="s">
        <v>484</v>
      </c>
      <c r="C293" s="10" t="s">
        <v>316</v>
      </c>
      <c r="E293" s="1">
        <v>2998.8</v>
      </c>
    </row>
    <row r="294" spans="2:5" x14ac:dyDescent="0.4">
      <c r="C294" s="11" t="s">
        <v>2</v>
      </c>
      <c r="E294" s="1">
        <v>2998.8</v>
      </c>
    </row>
    <row r="295" spans="2:5" x14ac:dyDescent="0.4">
      <c r="C295" s="39" t="s">
        <v>328</v>
      </c>
      <c r="D295" s="10" t="s">
        <v>395</v>
      </c>
      <c r="E295" s="1">
        <v>2998.8</v>
      </c>
    </row>
    <row r="296" spans="2:5" x14ac:dyDescent="0.4">
      <c r="B296" s="10" t="s">
        <v>485</v>
      </c>
      <c r="C296" s="10" t="s">
        <v>316</v>
      </c>
      <c r="E296" s="1">
        <v>1214.25</v>
      </c>
    </row>
    <row r="297" spans="2:5" x14ac:dyDescent="0.4">
      <c r="C297" s="11" t="s">
        <v>2</v>
      </c>
      <c r="E297" s="1">
        <v>1214.25</v>
      </c>
    </row>
    <row r="298" spans="2:5" x14ac:dyDescent="0.4">
      <c r="C298" s="39" t="s">
        <v>486</v>
      </c>
      <c r="D298" s="10" t="s">
        <v>322</v>
      </c>
      <c r="E298" s="1">
        <v>1214.25</v>
      </c>
    </row>
    <row r="299" spans="2:5" x14ac:dyDescent="0.4">
      <c r="B299" s="10" t="s">
        <v>487</v>
      </c>
      <c r="C299" s="10" t="s">
        <v>316</v>
      </c>
      <c r="E299" s="1">
        <v>161.88999999999999</v>
      </c>
    </row>
    <row r="300" spans="2:5" x14ac:dyDescent="0.4">
      <c r="C300" s="11" t="s">
        <v>2</v>
      </c>
      <c r="E300" s="1">
        <v>161.88999999999999</v>
      </c>
    </row>
    <row r="301" spans="2:5" x14ac:dyDescent="0.4">
      <c r="C301" s="39" t="s">
        <v>486</v>
      </c>
      <c r="D301" s="10" t="s">
        <v>322</v>
      </c>
      <c r="E301" s="1">
        <v>161.88999999999999</v>
      </c>
    </row>
    <row r="302" spans="2:5" x14ac:dyDescent="0.4">
      <c r="B302" s="10" t="s">
        <v>488</v>
      </c>
      <c r="C302" s="10" t="s">
        <v>316</v>
      </c>
      <c r="E302" s="1">
        <v>316.8</v>
      </c>
    </row>
    <row r="303" spans="2:5" x14ac:dyDescent="0.4">
      <c r="C303" s="11" t="s">
        <v>2</v>
      </c>
      <c r="E303" s="1">
        <v>316.8</v>
      </c>
    </row>
    <row r="304" spans="2:5" x14ac:dyDescent="0.4">
      <c r="C304" s="39" t="s">
        <v>489</v>
      </c>
      <c r="D304" s="10" t="s">
        <v>322</v>
      </c>
      <c r="E304" s="1">
        <v>316.8</v>
      </c>
    </row>
    <row r="305" spans="2:5" x14ac:dyDescent="0.4">
      <c r="B305" s="10" t="s">
        <v>490</v>
      </c>
      <c r="C305" s="10" t="s">
        <v>316</v>
      </c>
      <c r="E305" s="1">
        <v>64.39</v>
      </c>
    </row>
    <row r="306" spans="2:5" x14ac:dyDescent="0.4">
      <c r="C306" s="11" t="s">
        <v>2</v>
      </c>
      <c r="E306" s="1">
        <v>64.39</v>
      </c>
    </row>
    <row r="307" spans="2:5" x14ac:dyDescent="0.4">
      <c r="C307" s="39" t="s">
        <v>489</v>
      </c>
      <c r="D307" s="10" t="s">
        <v>322</v>
      </c>
      <c r="E307" s="1">
        <v>64.39</v>
      </c>
    </row>
    <row r="308" spans="2:5" x14ac:dyDescent="0.4">
      <c r="B308" s="10" t="s">
        <v>491</v>
      </c>
      <c r="C308" s="10" t="s">
        <v>316</v>
      </c>
      <c r="E308" s="1">
        <v>878.61</v>
      </c>
    </row>
    <row r="309" spans="2:5" x14ac:dyDescent="0.4">
      <c r="C309" s="11" t="s">
        <v>2</v>
      </c>
      <c r="E309" s="1">
        <v>878.61</v>
      </c>
    </row>
    <row r="310" spans="2:5" x14ac:dyDescent="0.4">
      <c r="C310" s="39" t="s">
        <v>418</v>
      </c>
      <c r="D310" s="10" t="s">
        <v>322</v>
      </c>
      <c r="E310" s="1">
        <v>878.61</v>
      </c>
    </row>
    <row r="311" spans="2:5" x14ac:dyDescent="0.4">
      <c r="B311" s="10" t="s">
        <v>492</v>
      </c>
      <c r="C311" s="10" t="s">
        <v>316</v>
      </c>
      <c r="E311" s="1">
        <v>249.99</v>
      </c>
    </row>
    <row r="312" spans="2:5" x14ac:dyDescent="0.4">
      <c r="C312" s="11" t="s">
        <v>2</v>
      </c>
      <c r="E312" s="1">
        <v>249.99</v>
      </c>
    </row>
    <row r="313" spans="2:5" x14ac:dyDescent="0.4">
      <c r="C313" s="39" t="s">
        <v>418</v>
      </c>
      <c r="D313" s="10" t="s">
        <v>395</v>
      </c>
      <c r="E313" s="1">
        <v>249.99</v>
      </c>
    </row>
    <row r="314" spans="2:5" x14ac:dyDescent="0.4">
      <c r="B314" s="10" t="s">
        <v>493</v>
      </c>
      <c r="C314" s="10" t="s">
        <v>316</v>
      </c>
      <c r="E314" s="1">
        <v>108.78</v>
      </c>
    </row>
    <row r="315" spans="2:5" x14ac:dyDescent="0.4">
      <c r="C315" s="11" t="s">
        <v>2</v>
      </c>
      <c r="E315" s="1">
        <v>108.78</v>
      </c>
    </row>
    <row r="316" spans="2:5" x14ac:dyDescent="0.4">
      <c r="C316" s="39" t="s">
        <v>418</v>
      </c>
      <c r="D316" s="10" t="s">
        <v>322</v>
      </c>
      <c r="E316" s="1">
        <v>108.78</v>
      </c>
    </row>
    <row r="317" spans="2:5" x14ac:dyDescent="0.4">
      <c r="B317" s="10" t="s">
        <v>494</v>
      </c>
      <c r="C317" s="10" t="s">
        <v>316</v>
      </c>
      <c r="E317" s="1">
        <v>7750</v>
      </c>
    </row>
    <row r="318" spans="2:5" x14ac:dyDescent="0.4">
      <c r="C318" s="11" t="s">
        <v>6</v>
      </c>
      <c r="E318" s="1">
        <v>7750</v>
      </c>
    </row>
    <row r="319" spans="2:5" x14ac:dyDescent="0.4">
      <c r="C319" s="39" t="s">
        <v>415</v>
      </c>
      <c r="D319" s="10" t="s">
        <v>414</v>
      </c>
      <c r="E319" s="1">
        <v>7750</v>
      </c>
    </row>
    <row r="320" spans="2:5" x14ac:dyDescent="0.4">
      <c r="B320" s="10" t="s">
        <v>495</v>
      </c>
      <c r="C320" s="10" t="s">
        <v>316</v>
      </c>
      <c r="E320" s="1">
        <v>7900</v>
      </c>
    </row>
    <row r="321" spans="2:5" x14ac:dyDescent="0.4">
      <c r="C321" s="11" t="s">
        <v>2</v>
      </c>
      <c r="E321" s="1">
        <v>7900</v>
      </c>
    </row>
    <row r="322" spans="2:5" x14ac:dyDescent="0.4">
      <c r="C322" s="39" t="s">
        <v>328</v>
      </c>
      <c r="D322" s="10" t="s">
        <v>322</v>
      </c>
      <c r="E322" s="1">
        <v>7900</v>
      </c>
    </row>
    <row r="323" spans="2:5" x14ac:dyDescent="0.4">
      <c r="B323" s="10" t="s">
        <v>496</v>
      </c>
      <c r="C323" s="10" t="s">
        <v>316</v>
      </c>
      <c r="E323" s="1">
        <v>0</v>
      </c>
    </row>
    <row r="324" spans="2:5" x14ac:dyDescent="0.4">
      <c r="C324" s="11" t="s">
        <v>2</v>
      </c>
      <c r="E324" s="1">
        <v>0</v>
      </c>
    </row>
    <row r="325" spans="2:5" x14ac:dyDescent="0.4">
      <c r="C325" s="39" t="s">
        <v>328</v>
      </c>
      <c r="D325" s="10" t="s">
        <v>329</v>
      </c>
      <c r="E325" s="1">
        <v>0</v>
      </c>
    </row>
    <row r="326" spans="2:5" x14ac:dyDescent="0.4">
      <c r="B326" s="10" t="s">
        <v>497</v>
      </c>
      <c r="C326" s="10" t="s">
        <v>316</v>
      </c>
      <c r="E326" s="1">
        <v>0</v>
      </c>
    </row>
    <row r="327" spans="2:5" x14ac:dyDescent="0.4">
      <c r="C327" s="11" t="s">
        <v>5</v>
      </c>
      <c r="E327" s="1">
        <v>0</v>
      </c>
    </row>
    <row r="328" spans="2:5" x14ac:dyDescent="0.4">
      <c r="C328" s="39" t="s">
        <v>498</v>
      </c>
      <c r="D328" s="10" t="s">
        <v>329</v>
      </c>
      <c r="E328" s="1">
        <v>0</v>
      </c>
    </row>
    <row r="329" spans="2:5" x14ac:dyDescent="0.4">
      <c r="B329" s="10" t="s">
        <v>499</v>
      </c>
      <c r="C329" s="10" t="s">
        <v>316</v>
      </c>
      <c r="E329" s="1">
        <v>860.84</v>
      </c>
    </row>
    <row r="330" spans="2:5" x14ac:dyDescent="0.4">
      <c r="C330" s="11" t="s">
        <v>2</v>
      </c>
      <c r="E330" s="1">
        <v>860.84</v>
      </c>
    </row>
    <row r="331" spans="2:5" x14ac:dyDescent="0.4">
      <c r="C331" s="39" t="s">
        <v>500</v>
      </c>
      <c r="D331" s="10" t="s">
        <v>322</v>
      </c>
      <c r="E331" s="1">
        <v>860.84</v>
      </c>
    </row>
    <row r="332" spans="2:5" x14ac:dyDescent="0.4">
      <c r="B332" s="10" t="s">
        <v>501</v>
      </c>
      <c r="C332" s="10" t="s">
        <v>316</v>
      </c>
      <c r="E332" s="1">
        <v>10140</v>
      </c>
    </row>
    <row r="333" spans="2:5" x14ac:dyDescent="0.4">
      <c r="C333" s="11" t="s">
        <v>5</v>
      </c>
      <c r="E333" s="1">
        <v>10140</v>
      </c>
    </row>
    <row r="334" spans="2:5" x14ac:dyDescent="0.4">
      <c r="C334" s="39" t="s">
        <v>359</v>
      </c>
      <c r="D334" s="10" t="s">
        <v>318</v>
      </c>
      <c r="E334" s="1">
        <v>10140</v>
      </c>
    </row>
    <row r="335" spans="2:5" x14ac:dyDescent="0.4">
      <c r="B335" s="10" t="s">
        <v>502</v>
      </c>
      <c r="C335" s="10" t="s">
        <v>316</v>
      </c>
      <c r="E335" s="1">
        <v>119</v>
      </c>
    </row>
    <row r="336" spans="2:5" x14ac:dyDescent="0.4">
      <c r="C336" s="11" t="s">
        <v>2</v>
      </c>
      <c r="E336" s="1">
        <v>119</v>
      </c>
    </row>
    <row r="337" spans="2:5" x14ac:dyDescent="0.4">
      <c r="C337" s="39" t="s">
        <v>321</v>
      </c>
      <c r="D337" s="10" t="s">
        <v>322</v>
      </c>
      <c r="E337" s="1">
        <v>119</v>
      </c>
    </row>
    <row r="338" spans="2:5" x14ac:dyDescent="0.4">
      <c r="B338" s="10" t="s">
        <v>503</v>
      </c>
      <c r="C338" s="10" t="s">
        <v>316</v>
      </c>
      <c r="E338" s="1">
        <v>430.42</v>
      </c>
    </row>
    <row r="339" spans="2:5" x14ac:dyDescent="0.4">
      <c r="C339" s="11" t="s">
        <v>2</v>
      </c>
      <c r="E339" s="1">
        <v>430.42</v>
      </c>
    </row>
    <row r="340" spans="2:5" x14ac:dyDescent="0.4">
      <c r="C340" s="39" t="s">
        <v>321</v>
      </c>
      <c r="D340" s="10" t="s">
        <v>322</v>
      </c>
      <c r="E340" s="1">
        <v>430.42</v>
      </c>
    </row>
    <row r="341" spans="2:5" x14ac:dyDescent="0.4">
      <c r="B341" s="10" t="s">
        <v>504</v>
      </c>
      <c r="C341" s="10" t="s">
        <v>316</v>
      </c>
      <c r="E341" s="1">
        <v>1666.95</v>
      </c>
    </row>
    <row r="342" spans="2:5" x14ac:dyDescent="0.4">
      <c r="C342" s="11" t="s">
        <v>2</v>
      </c>
      <c r="E342" s="1">
        <v>1666.95</v>
      </c>
    </row>
    <row r="343" spans="2:5" x14ac:dyDescent="0.4">
      <c r="C343" s="39" t="s">
        <v>321</v>
      </c>
      <c r="D343" s="10" t="s">
        <v>322</v>
      </c>
      <c r="E343" s="1">
        <v>1666.95</v>
      </c>
    </row>
    <row r="344" spans="2:5" x14ac:dyDescent="0.4">
      <c r="B344" s="10" t="s">
        <v>505</v>
      </c>
      <c r="C344" s="10" t="s">
        <v>316</v>
      </c>
      <c r="E344" s="1">
        <v>2500</v>
      </c>
    </row>
    <row r="345" spans="2:5" x14ac:dyDescent="0.4">
      <c r="C345" s="11" t="s">
        <v>2</v>
      </c>
      <c r="E345" s="1">
        <v>2500</v>
      </c>
    </row>
    <row r="346" spans="2:5" x14ac:dyDescent="0.4">
      <c r="C346" s="39" t="s">
        <v>328</v>
      </c>
      <c r="D346" s="10" t="s">
        <v>322</v>
      </c>
      <c r="E346" s="1">
        <v>2500</v>
      </c>
    </row>
    <row r="347" spans="2:5" x14ac:dyDescent="0.4">
      <c r="B347" s="10" t="s">
        <v>506</v>
      </c>
      <c r="C347" s="10" t="s">
        <v>316</v>
      </c>
      <c r="E347" s="1">
        <v>7818</v>
      </c>
    </row>
    <row r="348" spans="2:5" x14ac:dyDescent="0.4">
      <c r="C348" s="11" t="s">
        <v>2</v>
      </c>
      <c r="E348" s="1">
        <v>7818</v>
      </c>
    </row>
    <row r="349" spans="2:5" x14ac:dyDescent="0.4">
      <c r="C349" s="39" t="s">
        <v>507</v>
      </c>
      <c r="D349" s="10" t="s">
        <v>322</v>
      </c>
      <c r="E349" s="1">
        <v>7818</v>
      </c>
    </row>
    <row r="350" spans="2:5" x14ac:dyDescent="0.4">
      <c r="B350" s="10" t="s">
        <v>508</v>
      </c>
      <c r="C350" s="10" t="s">
        <v>316</v>
      </c>
      <c r="E350" s="1">
        <v>96</v>
      </c>
    </row>
    <row r="351" spans="2:5" x14ac:dyDescent="0.4">
      <c r="C351" s="11" t="s">
        <v>3</v>
      </c>
      <c r="E351" s="1">
        <v>96</v>
      </c>
    </row>
    <row r="352" spans="2:5" x14ac:dyDescent="0.4">
      <c r="C352" s="39" t="s">
        <v>509</v>
      </c>
      <c r="D352" s="10" t="s">
        <v>361</v>
      </c>
      <c r="E352" s="1">
        <v>96</v>
      </c>
    </row>
    <row r="353" spans="2:5" x14ac:dyDescent="0.4">
      <c r="B353" s="10" t="s">
        <v>510</v>
      </c>
      <c r="C353" s="10" t="s">
        <v>316</v>
      </c>
      <c r="E353" s="1">
        <v>319.83999999999997</v>
      </c>
    </row>
    <row r="354" spans="2:5" x14ac:dyDescent="0.4">
      <c r="C354" s="11" t="s">
        <v>2</v>
      </c>
      <c r="E354" s="1">
        <v>319.83999999999997</v>
      </c>
    </row>
    <row r="355" spans="2:5" x14ac:dyDescent="0.4">
      <c r="C355" s="39" t="s">
        <v>328</v>
      </c>
      <c r="D355" s="10" t="s">
        <v>395</v>
      </c>
      <c r="E355" s="1">
        <v>319.83999999999997</v>
      </c>
    </row>
    <row r="356" spans="2:5" x14ac:dyDescent="0.4">
      <c r="B356" s="10" t="s">
        <v>511</v>
      </c>
      <c r="C356" s="10" t="s">
        <v>316</v>
      </c>
      <c r="E356" s="1">
        <v>35.99</v>
      </c>
    </row>
    <row r="357" spans="2:5" x14ac:dyDescent="0.4">
      <c r="C357" s="11" t="s">
        <v>2</v>
      </c>
      <c r="E357" s="1">
        <v>35.99</v>
      </c>
    </row>
    <row r="358" spans="2:5" x14ac:dyDescent="0.4">
      <c r="C358" s="39" t="s">
        <v>512</v>
      </c>
      <c r="D358" s="10" t="s">
        <v>322</v>
      </c>
      <c r="E358" s="1">
        <v>35.99</v>
      </c>
    </row>
    <row r="359" spans="2:5" x14ac:dyDescent="0.4">
      <c r="B359" s="10" t="s">
        <v>513</v>
      </c>
      <c r="C359" s="10" t="s">
        <v>316</v>
      </c>
      <c r="E359" s="1">
        <v>310.44</v>
      </c>
    </row>
    <row r="360" spans="2:5" x14ac:dyDescent="0.4">
      <c r="C360" s="11" t="s">
        <v>3</v>
      </c>
      <c r="E360" s="1">
        <v>310.44</v>
      </c>
    </row>
    <row r="361" spans="2:5" x14ac:dyDescent="0.4">
      <c r="C361" s="39" t="s">
        <v>514</v>
      </c>
      <c r="D361" s="10" t="s">
        <v>322</v>
      </c>
      <c r="E361" s="1">
        <v>310.44</v>
      </c>
    </row>
    <row r="362" spans="2:5" x14ac:dyDescent="0.4">
      <c r="B362" s="10" t="s">
        <v>515</v>
      </c>
      <c r="C362" s="10" t="s">
        <v>316</v>
      </c>
      <c r="E362" s="1">
        <v>95</v>
      </c>
    </row>
    <row r="363" spans="2:5" x14ac:dyDescent="0.4">
      <c r="C363" s="11" t="s">
        <v>3</v>
      </c>
      <c r="E363" s="1">
        <v>95</v>
      </c>
    </row>
    <row r="364" spans="2:5" x14ac:dyDescent="0.4">
      <c r="C364" s="39" t="s">
        <v>516</v>
      </c>
      <c r="D364" s="10" t="s">
        <v>322</v>
      </c>
      <c r="E364" s="1">
        <v>95</v>
      </c>
    </row>
    <row r="365" spans="2:5" x14ac:dyDescent="0.4">
      <c r="B365" s="10" t="s">
        <v>517</v>
      </c>
      <c r="C365" s="10" t="s">
        <v>316</v>
      </c>
      <c r="E365" s="1">
        <v>310</v>
      </c>
    </row>
    <row r="366" spans="2:5" x14ac:dyDescent="0.4">
      <c r="C366" s="11" t="s">
        <v>5</v>
      </c>
      <c r="E366" s="1">
        <v>310</v>
      </c>
    </row>
    <row r="367" spans="2:5" x14ac:dyDescent="0.4">
      <c r="C367" s="39" t="s">
        <v>359</v>
      </c>
      <c r="D367" s="10" t="s">
        <v>318</v>
      </c>
      <c r="E367" s="1">
        <v>310</v>
      </c>
    </row>
    <row r="368" spans="2:5" x14ac:dyDescent="0.4">
      <c r="B368" s="10" t="s">
        <v>518</v>
      </c>
      <c r="C368" s="10" t="s">
        <v>316</v>
      </c>
      <c r="E368" s="1">
        <v>10154.530000000001</v>
      </c>
    </row>
    <row r="369" spans="2:5" x14ac:dyDescent="0.4">
      <c r="C369" s="11" t="s">
        <v>5</v>
      </c>
      <c r="E369" s="1">
        <v>10154.530000000001</v>
      </c>
    </row>
    <row r="370" spans="2:5" x14ac:dyDescent="0.4">
      <c r="C370" s="39" t="s">
        <v>359</v>
      </c>
      <c r="D370" s="10" t="s">
        <v>322</v>
      </c>
      <c r="E370" s="1">
        <v>10154.530000000001</v>
      </c>
    </row>
    <row r="371" spans="2:5" x14ac:dyDescent="0.4">
      <c r="B371" s="10" t="s">
        <v>519</v>
      </c>
      <c r="C371" s="10" t="s">
        <v>316</v>
      </c>
      <c r="E371" s="1">
        <v>420</v>
      </c>
    </row>
    <row r="372" spans="2:5" x14ac:dyDescent="0.4">
      <c r="C372" s="11" t="s">
        <v>3</v>
      </c>
      <c r="E372" s="1">
        <v>420</v>
      </c>
    </row>
    <row r="373" spans="2:5" x14ac:dyDescent="0.4">
      <c r="C373" s="39" t="s">
        <v>520</v>
      </c>
      <c r="D373" s="10" t="s">
        <v>322</v>
      </c>
      <c r="E373" s="1">
        <v>420</v>
      </c>
    </row>
    <row r="374" spans="2:5" x14ac:dyDescent="0.4">
      <c r="B374" s="10" t="s">
        <v>521</v>
      </c>
      <c r="C374" s="10" t="s">
        <v>316</v>
      </c>
      <c r="E374" s="1">
        <v>479.98</v>
      </c>
    </row>
    <row r="375" spans="2:5" x14ac:dyDescent="0.4">
      <c r="C375" s="11" t="s">
        <v>3</v>
      </c>
      <c r="E375" s="1">
        <v>239.99</v>
      </c>
    </row>
    <row r="376" spans="2:5" x14ac:dyDescent="0.4">
      <c r="C376" s="39" t="s">
        <v>343</v>
      </c>
      <c r="D376" s="10" t="s">
        <v>322</v>
      </c>
      <c r="E376" s="1">
        <v>239.99</v>
      </c>
    </row>
    <row r="377" spans="2:5" x14ac:dyDescent="0.4">
      <c r="C377" s="11" t="s">
        <v>4</v>
      </c>
      <c r="E377" s="1">
        <v>239.99</v>
      </c>
    </row>
    <row r="378" spans="2:5" x14ac:dyDescent="0.4">
      <c r="C378" s="39" t="s">
        <v>423</v>
      </c>
      <c r="D378" s="10" t="s">
        <v>322</v>
      </c>
      <c r="E378" s="1">
        <v>239.99</v>
      </c>
    </row>
    <row r="379" spans="2:5" x14ac:dyDescent="0.4">
      <c r="B379" s="10" t="s">
        <v>522</v>
      </c>
      <c r="C379" s="10" t="s">
        <v>316</v>
      </c>
      <c r="E379" s="1">
        <v>297</v>
      </c>
    </row>
    <row r="380" spans="2:5" x14ac:dyDescent="0.4">
      <c r="C380" s="11" t="s">
        <v>3</v>
      </c>
      <c r="E380" s="1">
        <v>297</v>
      </c>
    </row>
    <row r="381" spans="2:5" x14ac:dyDescent="0.4">
      <c r="C381" s="39" t="s">
        <v>343</v>
      </c>
      <c r="D381" s="10" t="s">
        <v>322</v>
      </c>
      <c r="E381" s="1">
        <v>297</v>
      </c>
    </row>
    <row r="382" spans="2:5" x14ac:dyDescent="0.4">
      <c r="B382" s="10" t="s">
        <v>523</v>
      </c>
      <c r="C382" s="10" t="s">
        <v>316</v>
      </c>
      <c r="E382" s="1">
        <v>735</v>
      </c>
    </row>
    <row r="383" spans="2:5" x14ac:dyDescent="0.4">
      <c r="C383" s="11" t="s">
        <v>4</v>
      </c>
      <c r="E383" s="1">
        <v>735</v>
      </c>
    </row>
    <row r="384" spans="2:5" x14ac:dyDescent="0.4">
      <c r="C384" s="39" t="s">
        <v>386</v>
      </c>
      <c r="D384" s="10" t="s">
        <v>322</v>
      </c>
      <c r="E384" s="1">
        <v>735</v>
      </c>
    </row>
    <row r="385" spans="2:5" x14ac:dyDescent="0.4">
      <c r="B385" s="10" t="s">
        <v>524</v>
      </c>
      <c r="C385" s="10" t="s">
        <v>316</v>
      </c>
      <c r="E385" s="1">
        <v>2579.4</v>
      </c>
    </row>
    <row r="386" spans="2:5" x14ac:dyDescent="0.4">
      <c r="C386" s="11" t="s">
        <v>3</v>
      </c>
      <c r="E386" s="1">
        <v>2579.4</v>
      </c>
    </row>
    <row r="387" spans="2:5" x14ac:dyDescent="0.4">
      <c r="C387" s="39" t="s">
        <v>343</v>
      </c>
      <c r="D387" s="10" t="s">
        <v>395</v>
      </c>
      <c r="E387" s="1">
        <v>2579.4</v>
      </c>
    </row>
    <row r="388" spans="2:5" x14ac:dyDescent="0.4">
      <c r="B388" s="10" t="s">
        <v>525</v>
      </c>
      <c r="C388" s="10" t="s">
        <v>316</v>
      </c>
      <c r="E388" s="1">
        <v>179</v>
      </c>
    </row>
    <row r="389" spans="2:5" x14ac:dyDescent="0.4">
      <c r="C389" s="11" t="s">
        <v>3</v>
      </c>
      <c r="E389" s="1">
        <v>179</v>
      </c>
    </row>
    <row r="390" spans="2:5" x14ac:dyDescent="0.4">
      <c r="C390" s="39" t="s">
        <v>343</v>
      </c>
      <c r="D390" s="10" t="s">
        <v>322</v>
      </c>
      <c r="E390" s="1">
        <v>179</v>
      </c>
    </row>
    <row r="391" spans="2:5" x14ac:dyDescent="0.4">
      <c r="B391" s="10" t="s">
        <v>526</v>
      </c>
      <c r="C391" s="10" t="s">
        <v>316</v>
      </c>
      <c r="E391" s="1">
        <v>1830</v>
      </c>
    </row>
    <row r="392" spans="2:5" x14ac:dyDescent="0.4">
      <c r="C392" s="11" t="s">
        <v>5</v>
      </c>
      <c r="E392" s="1">
        <v>1830</v>
      </c>
    </row>
    <row r="393" spans="2:5" x14ac:dyDescent="0.4">
      <c r="C393" s="39" t="s">
        <v>359</v>
      </c>
      <c r="D393" s="10" t="s">
        <v>361</v>
      </c>
      <c r="E393" s="1">
        <v>1830</v>
      </c>
    </row>
    <row r="394" spans="2:5" x14ac:dyDescent="0.4">
      <c r="B394" s="10" t="s">
        <v>527</v>
      </c>
      <c r="C394" s="10" t="s">
        <v>316</v>
      </c>
      <c r="E394" s="1">
        <v>107.99</v>
      </c>
    </row>
    <row r="395" spans="2:5" x14ac:dyDescent="0.4">
      <c r="C395" s="11" t="s">
        <v>3</v>
      </c>
      <c r="E395" s="1">
        <v>107.99</v>
      </c>
    </row>
    <row r="396" spans="2:5" x14ac:dyDescent="0.4">
      <c r="C396" s="39" t="s">
        <v>429</v>
      </c>
      <c r="D396" s="10" t="s">
        <v>322</v>
      </c>
      <c r="E396" s="1">
        <v>107.99</v>
      </c>
    </row>
    <row r="397" spans="2:5" x14ac:dyDescent="0.4">
      <c r="B397" s="10" t="s">
        <v>528</v>
      </c>
      <c r="C397" s="10" t="s">
        <v>316</v>
      </c>
      <c r="E397" s="1">
        <v>3075.3</v>
      </c>
    </row>
    <row r="398" spans="2:5" x14ac:dyDescent="0.4">
      <c r="C398" s="11" t="s">
        <v>3</v>
      </c>
      <c r="E398" s="1">
        <v>3075.3</v>
      </c>
    </row>
    <row r="399" spans="2:5" x14ac:dyDescent="0.4">
      <c r="C399" s="39" t="s">
        <v>529</v>
      </c>
      <c r="D399" s="10" t="s">
        <v>395</v>
      </c>
      <c r="E399" s="1">
        <v>3075.3</v>
      </c>
    </row>
    <row r="400" spans="2:5" x14ac:dyDescent="0.4">
      <c r="B400" s="10" t="s">
        <v>530</v>
      </c>
      <c r="C400" s="10" t="s">
        <v>316</v>
      </c>
      <c r="E400" s="1">
        <v>165.06</v>
      </c>
    </row>
    <row r="401" spans="2:5" x14ac:dyDescent="0.4">
      <c r="C401" s="11" t="s">
        <v>3</v>
      </c>
      <c r="E401" s="1">
        <v>165.06</v>
      </c>
    </row>
    <row r="402" spans="2:5" x14ac:dyDescent="0.4">
      <c r="C402" s="39" t="s">
        <v>529</v>
      </c>
      <c r="D402" s="10" t="s">
        <v>322</v>
      </c>
      <c r="E402" s="1">
        <v>165.06</v>
      </c>
    </row>
    <row r="403" spans="2:5" x14ac:dyDescent="0.4">
      <c r="B403" s="10" t="s">
        <v>531</v>
      </c>
      <c r="C403" s="10" t="s">
        <v>316</v>
      </c>
      <c r="E403" s="1">
        <v>3241.9</v>
      </c>
    </row>
    <row r="404" spans="2:5" x14ac:dyDescent="0.4">
      <c r="C404" s="11" t="s">
        <v>3</v>
      </c>
      <c r="E404" s="1">
        <v>3241.9</v>
      </c>
    </row>
    <row r="405" spans="2:5" x14ac:dyDescent="0.4">
      <c r="C405" s="39" t="s">
        <v>529</v>
      </c>
      <c r="D405" s="10" t="s">
        <v>322</v>
      </c>
      <c r="E405" s="1">
        <v>3241.9</v>
      </c>
    </row>
    <row r="406" spans="2:5" x14ac:dyDescent="0.4">
      <c r="B406" s="10" t="s">
        <v>532</v>
      </c>
      <c r="C406" s="10" t="s">
        <v>316</v>
      </c>
      <c r="E406" s="1">
        <v>576</v>
      </c>
    </row>
    <row r="407" spans="2:5" x14ac:dyDescent="0.4">
      <c r="C407" s="11" t="s">
        <v>4</v>
      </c>
      <c r="E407" s="1">
        <v>576</v>
      </c>
    </row>
    <row r="408" spans="2:5" x14ac:dyDescent="0.4">
      <c r="C408" s="39" t="s">
        <v>533</v>
      </c>
      <c r="D408" s="10" t="s">
        <v>322</v>
      </c>
      <c r="E408" s="1">
        <v>576</v>
      </c>
    </row>
    <row r="409" spans="2:5" x14ac:dyDescent="0.4">
      <c r="B409" s="10" t="s">
        <v>534</v>
      </c>
      <c r="C409" s="10" t="s">
        <v>316</v>
      </c>
      <c r="E409" s="1">
        <v>1537.65</v>
      </c>
    </row>
    <row r="410" spans="2:5" x14ac:dyDescent="0.4">
      <c r="C410" s="11" t="s">
        <v>4</v>
      </c>
      <c r="E410" s="1">
        <v>1537.65</v>
      </c>
    </row>
    <row r="411" spans="2:5" x14ac:dyDescent="0.4">
      <c r="C411" s="39" t="s">
        <v>535</v>
      </c>
      <c r="D411" s="10" t="s">
        <v>322</v>
      </c>
      <c r="E411" s="1">
        <v>1537.65</v>
      </c>
    </row>
    <row r="412" spans="2:5" x14ac:dyDescent="0.4">
      <c r="B412" s="10" t="s">
        <v>536</v>
      </c>
      <c r="C412" s="10" t="s">
        <v>316</v>
      </c>
      <c r="E412" s="1">
        <v>1225</v>
      </c>
    </row>
    <row r="413" spans="2:5" x14ac:dyDescent="0.4">
      <c r="C413" s="11" t="s">
        <v>4</v>
      </c>
      <c r="E413" s="1">
        <v>1225</v>
      </c>
    </row>
    <row r="414" spans="2:5" x14ac:dyDescent="0.4">
      <c r="C414" s="39" t="s">
        <v>537</v>
      </c>
      <c r="D414" s="10" t="s">
        <v>322</v>
      </c>
      <c r="E414" s="1">
        <v>1225</v>
      </c>
    </row>
    <row r="415" spans="2:5" x14ac:dyDescent="0.4">
      <c r="B415" s="10" t="s">
        <v>538</v>
      </c>
      <c r="C415" s="10" t="s">
        <v>316</v>
      </c>
      <c r="E415" s="1">
        <v>636</v>
      </c>
    </row>
    <row r="416" spans="2:5" x14ac:dyDescent="0.4">
      <c r="C416" s="11" t="s">
        <v>5</v>
      </c>
      <c r="E416" s="1">
        <v>636</v>
      </c>
    </row>
    <row r="417" spans="2:5" x14ac:dyDescent="0.4">
      <c r="C417" s="39" t="s">
        <v>359</v>
      </c>
      <c r="D417" s="10" t="s">
        <v>539</v>
      </c>
      <c r="E417" s="1">
        <v>636</v>
      </c>
    </row>
    <row r="418" spans="2:5" x14ac:dyDescent="0.4">
      <c r="B418" s="10" t="s">
        <v>540</v>
      </c>
      <c r="C418" s="10" t="s">
        <v>316</v>
      </c>
      <c r="E418" s="1">
        <v>0</v>
      </c>
    </row>
    <row r="419" spans="2:5" x14ac:dyDescent="0.4">
      <c r="C419" s="11" t="s">
        <v>4</v>
      </c>
      <c r="E419" s="1">
        <v>0</v>
      </c>
    </row>
    <row r="420" spans="2:5" x14ac:dyDescent="0.4">
      <c r="C420" s="39" t="s">
        <v>386</v>
      </c>
      <c r="D420" s="10" t="s">
        <v>361</v>
      </c>
      <c r="E420" s="1">
        <v>0</v>
      </c>
    </row>
    <row r="421" spans="2:5" x14ac:dyDescent="0.4">
      <c r="B421" s="10" t="s">
        <v>541</v>
      </c>
      <c r="C421" s="10" t="s">
        <v>316</v>
      </c>
      <c r="E421" s="1">
        <v>465</v>
      </c>
    </row>
    <row r="422" spans="2:5" x14ac:dyDescent="0.4">
      <c r="C422" s="11" t="s">
        <v>4</v>
      </c>
      <c r="E422" s="1">
        <v>465</v>
      </c>
    </row>
    <row r="423" spans="2:5" x14ac:dyDescent="0.4">
      <c r="C423" s="39" t="s">
        <v>542</v>
      </c>
      <c r="D423" s="10" t="s">
        <v>322</v>
      </c>
      <c r="E423" s="1">
        <v>465</v>
      </c>
    </row>
    <row r="424" spans="2:5" x14ac:dyDescent="0.4">
      <c r="B424" s="10" t="s">
        <v>543</v>
      </c>
      <c r="C424" s="10" t="s">
        <v>316</v>
      </c>
      <c r="E424" s="1">
        <v>0</v>
      </c>
    </row>
    <row r="425" spans="2:5" x14ac:dyDescent="0.4">
      <c r="C425" s="11" t="s">
        <v>5</v>
      </c>
      <c r="E425" s="1">
        <v>0</v>
      </c>
    </row>
    <row r="426" spans="2:5" x14ac:dyDescent="0.4">
      <c r="C426" s="39" t="s">
        <v>359</v>
      </c>
      <c r="D426" s="10" t="s">
        <v>539</v>
      </c>
      <c r="E426" s="1">
        <v>0</v>
      </c>
    </row>
    <row r="427" spans="2:5" x14ac:dyDescent="0.4">
      <c r="B427" s="10" t="s">
        <v>544</v>
      </c>
      <c r="C427" s="10" t="s">
        <v>316</v>
      </c>
      <c r="E427" s="1">
        <v>500</v>
      </c>
    </row>
    <row r="428" spans="2:5" x14ac:dyDescent="0.4">
      <c r="C428" s="11" t="s">
        <v>5</v>
      </c>
      <c r="E428" s="1">
        <v>500</v>
      </c>
    </row>
    <row r="429" spans="2:5" x14ac:dyDescent="0.4">
      <c r="C429" s="39" t="s">
        <v>359</v>
      </c>
      <c r="D429" s="10" t="s">
        <v>318</v>
      </c>
      <c r="E429" s="1">
        <v>500</v>
      </c>
    </row>
    <row r="430" spans="2:5" x14ac:dyDescent="0.4">
      <c r="B430" s="10" t="s">
        <v>545</v>
      </c>
      <c r="C430" s="10" t="s">
        <v>316</v>
      </c>
      <c r="E430" s="1">
        <v>177.62</v>
      </c>
    </row>
    <row r="431" spans="2:5" x14ac:dyDescent="0.4">
      <c r="C431" s="11" t="s">
        <v>4</v>
      </c>
      <c r="E431" s="1">
        <v>177.62</v>
      </c>
    </row>
    <row r="432" spans="2:5" x14ac:dyDescent="0.4">
      <c r="C432" s="39" t="s">
        <v>542</v>
      </c>
      <c r="D432" s="10" t="s">
        <v>322</v>
      </c>
      <c r="E432" s="1">
        <v>177.62</v>
      </c>
    </row>
    <row r="433" spans="2:5" x14ac:dyDescent="0.4">
      <c r="B433" s="10" t="s">
        <v>546</v>
      </c>
      <c r="C433" s="10" t="s">
        <v>316</v>
      </c>
      <c r="E433" s="1">
        <v>179.97</v>
      </c>
    </row>
    <row r="434" spans="2:5" x14ac:dyDescent="0.4">
      <c r="C434" s="11" t="s">
        <v>4</v>
      </c>
      <c r="E434" s="1">
        <v>179.97</v>
      </c>
    </row>
    <row r="435" spans="2:5" x14ac:dyDescent="0.4">
      <c r="C435" s="39" t="s">
        <v>423</v>
      </c>
      <c r="D435" s="10" t="s">
        <v>322</v>
      </c>
      <c r="E435" s="1">
        <v>179.97</v>
      </c>
    </row>
    <row r="436" spans="2:5" x14ac:dyDescent="0.4">
      <c r="B436" s="10" t="s">
        <v>547</v>
      </c>
      <c r="C436" s="10" t="s">
        <v>316</v>
      </c>
      <c r="E436" s="1">
        <v>1469.74</v>
      </c>
    </row>
    <row r="437" spans="2:5" x14ac:dyDescent="0.4">
      <c r="C437" s="11" t="s">
        <v>4</v>
      </c>
      <c r="E437" s="1">
        <v>1469.74</v>
      </c>
    </row>
    <row r="438" spans="2:5" x14ac:dyDescent="0.4">
      <c r="C438" s="39" t="s">
        <v>542</v>
      </c>
      <c r="D438" s="10" t="s">
        <v>322</v>
      </c>
      <c r="E438" s="1">
        <v>1469.74</v>
      </c>
    </row>
    <row r="439" spans="2:5" x14ac:dyDescent="0.4">
      <c r="B439" s="10" t="s">
        <v>548</v>
      </c>
      <c r="C439" s="10" t="s">
        <v>316</v>
      </c>
      <c r="E439" s="1">
        <v>1280.49</v>
      </c>
    </row>
    <row r="440" spans="2:5" x14ac:dyDescent="0.4">
      <c r="C440" s="11" t="s">
        <v>4</v>
      </c>
      <c r="E440" s="1">
        <v>1280.49</v>
      </c>
    </row>
    <row r="441" spans="2:5" x14ac:dyDescent="0.4">
      <c r="C441" s="39" t="s">
        <v>549</v>
      </c>
      <c r="D441" s="10" t="s">
        <v>322</v>
      </c>
      <c r="E441" s="1">
        <v>1280.49</v>
      </c>
    </row>
    <row r="442" spans="2:5" x14ac:dyDescent="0.4">
      <c r="B442" s="10" t="s">
        <v>550</v>
      </c>
      <c r="C442" s="10" t="s">
        <v>316</v>
      </c>
      <c r="E442" s="1">
        <v>2289.5</v>
      </c>
    </row>
    <row r="443" spans="2:5" x14ac:dyDescent="0.4">
      <c r="C443" s="11" t="s">
        <v>5</v>
      </c>
      <c r="E443" s="1">
        <v>2289.5</v>
      </c>
    </row>
    <row r="444" spans="2:5" x14ac:dyDescent="0.4">
      <c r="C444" s="39" t="s">
        <v>359</v>
      </c>
      <c r="D444" s="10" t="s">
        <v>361</v>
      </c>
      <c r="E444" s="1">
        <v>2289.5</v>
      </c>
    </row>
    <row r="445" spans="2:5" x14ac:dyDescent="0.4">
      <c r="B445" s="10" t="s">
        <v>551</v>
      </c>
      <c r="C445" s="10" t="s">
        <v>316</v>
      </c>
      <c r="E445" s="1">
        <v>559.57000000000005</v>
      </c>
    </row>
    <row r="446" spans="2:5" x14ac:dyDescent="0.4">
      <c r="C446" s="11" t="s">
        <v>4</v>
      </c>
      <c r="E446" s="1">
        <v>559.57000000000005</v>
      </c>
    </row>
    <row r="447" spans="2:5" x14ac:dyDescent="0.4">
      <c r="C447" s="39" t="s">
        <v>552</v>
      </c>
      <c r="D447" s="10" t="s">
        <v>322</v>
      </c>
      <c r="E447" s="1">
        <v>559.57000000000005</v>
      </c>
    </row>
    <row r="448" spans="2:5" x14ac:dyDescent="0.4">
      <c r="B448" s="10" t="s">
        <v>553</v>
      </c>
      <c r="C448" s="10" t="s">
        <v>316</v>
      </c>
      <c r="E448" s="1">
        <v>0</v>
      </c>
    </row>
    <row r="449" spans="1:5" x14ac:dyDescent="0.4">
      <c r="C449" s="11" t="s">
        <v>5</v>
      </c>
      <c r="E449" s="1">
        <v>0</v>
      </c>
    </row>
    <row r="450" spans="1:5" x14ac:dyDescent="0.4">
      <c r="C450" s="39" t="s">
        <v>359</v>
      </c>
      <c r="D450" s="10" t="s">
        <v>361</v>
      </c>
      <c r="E450" s="1">
        <v>0</v>
      </c>
    </row>
    <row r="451" spans="1:5" x14ac:dyDescent="0.4">
      <c r="B451" s="10" t="s">
        <v>554</v>
      </c>
      <c r="C451" s="10" t="s">
        <v>316</v>
      </c>
      <c r="E451" s="1">
        <v>2869.58</v>
      </c>
    </row>
    <row r="452" spans="1:5" x14ac:dyDescent="0.4">
      <c r="C452" s="11" t="s">
        <v>4</v>
      </c>
      <c r="E452" s="1">
        <v>2869.58</v>
      </c>
    </row>
    <row r="453" spans="1:5" x14ac:dyDescent="0.4">
      <c r="C453" s="39" t="s">
        <v>555</v>
      </c>
      <c r="D453" s="10" t="s">
        <v>322</v>
      </c>
      <c r="E453" s="1">
        <v>2869.58</v>
      </c>
    </row>
    <row r="454" spans="1:5" x14ac:dyDescent="0.4">
      <c r="B454" s="10" t="s">
        <v>556</v>
      </c>
      <c r="C454" s="10" t="s">
        <v>316</v>
      </c>
      <c r="E454" s="1">
        <v>4307.7</v>
      </c>
    </row>
    <row r="455" spans="1:5" x14ac:dyDescent="0.4">
      <c r="C455" s="11" t="s">
        <v>4</v>
      </c>
      <c r="E455" s="1">
        <v>4307.7</v>
      </c>
    </row>
    <row r="456" spans="1:5" x14ac:dyDescent="0.4">
      <c r="C456" s="39" t="s">
        <v>557</v>
      </c>
      <c r="D456" s="10" t="s">
        <v>329</v>
      </c>
      <c r="E456" s="1">
        <v>4307.7</v>
      </c>
    </row>
    <row r="457" spans="1:5" x14ac:dyDescent="0.4">
      <c r="B457" s="10" t="s">
        <v>558</v>
      </c>
      <c r="C457" s="10" t="s">
        <v>316</v>
      </c>
      <c r="E457" s="1">
        <v>0</v>
      </c>
    </row>
    <row r="458" spans="1:5" x14ac:dyDescent="0.4">
      <c r="C458" s="11" t="s">
        <v>5</v>
      </c>
      <c r="E458" s="1">
        <v>0</v>
      </c>
    </row>
    <row r="459" spans="1:5" x14ac:dyDescent="0.4">
      <c r="C459" s="39" t="s">
        <v>359</v>
      </c>
      <c r="D459" s="10" t="s">
        <v>322</v>
      </c>
      <c r="E459" s="1">
        <v>0</v>
      </c>
    </row>
    <row r="460" spans="1:5" x14ac:dyDescent="0.4">
      <c r="B460" s="10" t="s">
        <v>559</v>
      </c>
      <c r="C460" s="10" t="s">
        <v>316</v>
      </c>
      <c r="E460" s="1">
        <v>9037.56</v>
      </c>
    </row>
    <row r="461" spans="1:5" x14ac:dyDescent="0.4">
      <c r="C461" s="11" t="s">
        <v>5</v>
      </c>
      <c r="E461" s="1">
        <v>9037.56</v>
      </c>
    </row>
    <row r="462" spans="1:5" x14ac:dyDescent="0.4">
      <c r="C462" s="39" t="s">
        <v>359</v>
      </c>
      <c r="D462" s="10" t="s">
        <v>395</v>
      </c>
      <c r="E462" s="1">
        <v>9037.56</v>
      </c>
    </row>
    <row r="463" spans="1:5" x14ac:dyDescent="0.4">
      <c r="A463" s="10" t="s">
        <v>560</v>
      </c>
      <c r="B463" s="10" t="s">
        <v>368</v>
      </c>
      <c r="C463" s="10" t="s">
        <v>316</v>
      </c>
      <c r="E463" s="1">
        <v>5000</v>
      </c>
    </row>
    <row r="464" spans="1:5" x14ac:dyDescent="0.4">
      <c r="C464" s="11" t="s">
        <v>10</v>
      </c>
      <c r="E464" s="1">
        <v>5000</v>
      </c>
    </row>
    <row r="465" spans="1:5" x14ac:dyDescent="0.4">
      <c r="C465" s="39" t="s">
        <v>561</v>
      </c>
      <c r="D465" s="10" t="s">
        <v>539</v>
      </c>
      <c r="E465" s="1">
        <v>5000</v>
      </c>
    </row>
    <row r="466" spans="1:5" x14ac:dyDescent="0.4">
      <c r="B466" s="10" t="s">
        <v>562</v>
      </c>
      <c r="C466" s="10" t="s">
        <v>316</v>
      </c>
      <c r="E466" s="1">
        <v>7000</v>
      </c>
    </row>
    <row r="467" spans="1:5" x14ac:dyDescent="0.4">
      <c r="C467" s="11" t="s">
        <v>5</v>
      </c>
      <c r="E467" s="1">
        <v>7000</v>
      </c>
    </row>
    <row r="468" spans="1:5" x14ac:dyDescent="0.4">
      <c r="C468" s="39" t="s">
        <v>483</v>
      </c>
      <c r="D468" s="10" t="s">
        <v>361</v>
      </c>
      <c r="E468" s="1">
        <v>7000</v>
      </c>
    </row>
    <row r="469" spans="1:5" x14ac:dyDescent="0.4">
      <c r="B469" s="10" t="s">
        <v>434</v>
      </c>
      <c r="C469" s="10" t="s">
        <v>316</v>
      </c>
      <c r="E469" s="1">
        <v>250</v>
      </c>
    </row>
    <row r="470" spans="1:5" x14ac:dyDescent="0.4">
      <c r="C470" s="11" t="s">
        <v>6</v>
      </c>
      <c r="E470" s="1">
        <v>250</v>
      </c>
    </row>
    <row r="471" spans="1:5" x14ac:dyDescent="0.4">
      <c r="C471" s="39" t="s">
        <v>415</v>
      </c>
      <c r="D471" s="10" t="s">
        <v>361</v>
      </c>
      <c r="E471" s="1">
        <v>250</v>
      </c>
    </row>
    <row r="472" spans="1:5" x14ac:dyDescent="0.4">
      <c r="B472" s="10" t="s">
        <v>475</v>
      </c>
      <c r="C472" s="10" t="s">
        <v>316</v>
      </c>
      <c r="E472" s="1">
        <v>76.510000000000005</v>
      </c>
    </row>
    <row r="473" spans="1:5" x14ac:dyDescent="0.4">
      <c r="C473" s="11" t="s">
        <v>2</v>
      </c>
      <c r="E473" s="1">
        <v>76.510000000000005</v>
      </c>
    </row>
    <row r="474" spans="1:5" x14ac:dyDescent="0.4">
      <c r="C474" s="39" t="s">
        <v>500</v>
      </c>
      <c r="D474" s="10" t="s">
        <v>329</v>
      </c>
      <c r="E474" s="1">
        <v>76.510000000000005</v>
      </c>
    </row>
    <row r="475" spans="1:5" x14ac:dyDescent="0.4">
      <c r="A475" s="10" t="s">
        <v>563</v>
      </c>
      <c r="B475" s="10" t="s">
        <v>564</v>
      </c>
      <c r="C475" s="10" t="s">
        <v>316</v>
      </c>
      <c r="E475" s="1">
        <v>1365.51</v>
      </c>
    </row>
    <row r="476" spans="1:5" x14ac:dyDescent="0.4">
      <c r="C476" s="11" t="s">
        <v>1</v>
      </c>
      <c r="E476" s="1">
        <v>1365.51</v>
      </c>
    </row>
    <row r="477" spans="1:5" x14ac:dyDescent="0.4">
      <c r="C477" s="39" t="s">
        <v>373</v>
      </c>
      <c r="D477" s="10" t="s">
        <v>322</v>
      </c>
      <c r="E477" s="1">
        <v>1365.51</v>
      </c>
    </row>
    <row r="478" spans="1:5" x14ac:dyDescent="0.4">
      <c r="A478" s="10" t="s">
        <v>565</v>
      </c>
      <c r="B478" s="10" t="s">
        <v>320</v>
      </c>
      <c r="C478" s="10" t="s">
        <v>316</v>
      </c>
      <c r="E478" s="1">
        <v>400</v>
      </c>
    </row>
    <row r="479" spans="1:5" x14ac:dyDescent="0.4">
      <c r="C479" s="11" t="s">
        <v>1</v>
      </c>
      <c r="E479" s="1">
        <v>400</v>
      </c>
    </row>
    <row r="480" spans="1:5" x14ac:dyDescent="0.4">
      <c r="C480" s="39" t="s">
        <v>392</v>
      </c>
      <c r="D480" s="10" t="s">
        <v>322</v>
      </c>
      <c r="E480" s="1">
        <v>400</v>
      </c>
    </row>
    <row r="481" spans="1:5" x14ac:dyDescent="0.4">
      <c r="B481" s="10" t="s">
        <v>566</v>
      </c>
      <c r="C481" s="10" t="s">
        <v>316</v>
      </c>
      <c r="E481" s="1">
        <v>12164.15</v>
      </c>
    </row>
    <row r="482" spans="1:5" x14ac:dyDescent="0.4">
      <c r="C482" s="11" t="s">
        <v>5</v>
      </c>
      <c r="E482" s="1">
        <v>12164.15</v>
      </c>
    </row>
    <row r="483" spans="1:5" x14ac:dyDescent="0.4">
      <c r="C483" s="39" t="s">
        <v>359</v>
      </c>
      <c r="D483" s="10" t="s">
        <v>395</v>
      </c>
      <c r="E483" s="1">
        <v>12164.15</v>
      </c>
    </row>
    <row r="484" spans="1:5" x14ac:dyDescent="0.4">
      <c r="B484" s="10" t="s">
        <v>567</v>
      </c>
      <c r="C484" s="10" t="s">
        <v>316</v>
      </c>
      <c r="E484" s="1">
        <v>0</v>
      </c>
    </row>
    <row r="485" spans="1:5" x14ac:dyDescent="0.4">
      <c r="C485" s="11" t="s">
        <v>1</v>
      </c>
      <c r="E485" s="1">
        <v>0</v>
      </c>
    </row>
    <row r="486" spans="1:5" x14ac:dyDescent="0.4">
      <c r="C486" s="39" t="s">
        <v>373</v>
      </c>
      <c r="D486" s="10" t="s">
        <v>395</v>
      </c>
      <c r="E486" s="1">
        <v>0</v>
      </c>
    </row>
    <row r="487" spans="1:5" x14ac:dyDescent="0.4">
      <c r="A487" s="10" t="s">
        <v>568</v>
      </c>
      <c r="B487" s="10" t="s">
        <v>368</v>
      </c>
      <c r="C487" s="10" t="s">
        <v>316</v>
      </c>
      <c r="E487" s="1">
        <v>3000</v>
      </c>
    </row>
    <row r="488" spans="1:5" x14ac:dyDescent="0.4">
      <c r="C488" s="11" t="s">
        <v>6</v>
      </c>
      <c r="E488" s="1">
        <v>3000</v>
      </c>
    </row>
    <row r="489" spans="1:5" x14ac:dyDescent="0.4">
      <c r="C489" s="39" t="s">
        <v>569</v>
      </c>
      <c r="D489" s="10" t="s">
        <v>318</v>
      </c>
      <c r="E489" s="1">
        <v>3000</v>
      </c>
    </row>
    <row r="490" spans="1:5" x14ac:dyDescent="0.4">
      <c r="B490" s="10" t="s">
        <v>390</v>
      </c>
      <c r="C490" s="10" t="s">
        <v>316</v>
      </c>
      <c r="E490" s="1">
        <v>695</v>
      </c>
    </row>
    <row r="491" spans="1:5" x14ac:dyDescent="0.4">
      <c r="C491" s="11" t="s">
        <v>3</v>
      </c>
      <c r="E491" s="1">
        <v>695</v>
      </c>
    </row>
    <row r="492" spans="1:5" x14ac:dyDescent="0.4">
      <c r="C492" s="39" t="s">
        <v>343</v>
      </c>
      <c r="D492" s="10" t="s">
        <v>329</v>
      </c>
      <c r="E492" s="1">
        <v>695</v>
      </c>
    </row>
    <row r="493" spans="1:5" x14ac:dyDescent="0.4">
      <c r="B493" s="10" t="s">
        <v>570</v>
      </c>
      <c r="C493" s="10" t="s">
        <v>316</v>
      </c>
      <c r="E493" s="1">
        <v>825</v>
      </c>
    </row>
    <row r="494" spans="1:5" x14ac:dyDescent="0.4">
      <c r="C494" s="11" t="s">
        <v>2</v>
      </c>
      <c r="E494" s="1">
        <v>825</v>
      </c>
    </row>
    <row r="495" spans="1:5" x14ac:dyDescent="0.4">
      <c r="C495" s="39" t="s">
        <v>489</v>
      </c>
      <c r="D495" s="10" t="s">
        <v>322</v>
      </c>
      <c r="E495" s="1">
        <v>825</v>
      </c>
    </row>
    <row r="496" spans="1:5" x14ac:dyDescent="0.4">
      <c r="B496" s="10" t="s">
        <v>571</v>
      </c>
      <c r="C496" s="10" t="s">
        <v>316</v>
      </c>
      <c r="E496" s="1">
        <v>1775.37</v>
      </c>
    </row>
    <row r="497" spans="1:5" x14ac:dyDescent="0.4">
      <c r="C497" s="11" t="s">
        <v>4</v>
      </c>
      <c r="E497" s="1">
        <v>1775.37</v>
      </c>
    </row>
    <row r="498" spans="1:5" x14ac:dyDescent="0.4">
      <c r="C498" s="39" t="s">
        <v>386</v>
      </c>
      <c r="D498" s="10" t="s">
        <v>329</v>
      </c>
      <c r="E498" s="1">
        <v>1775.37</v>
      </c>
    </row>
    <row r="499" spans="1:5" x14ac:dyDescent="0.4">
      <c r="A499" s="10" t="s">
        <v>197</v>
      </c>
      <c r="B499" s="10" t="s">
        <v>572</v>
      </c>
      <c r="C499" s="10" t="s">
        <v>316</v>
      </c>
      <c r="E499" s="1">
        <v>5000</v>
      </c>
    </row>
    <row r="500" spans="1:5" x14ac:dyDescent="0.4">
      <c r="C500" s="11" t="s">
        <v>12</v>
      </c>
      <c r="E500" s="1">
        <v>5000</v>
      </c>
    </row>
    <row r="501" spans="1:5" x14ac:dyDescent="0.4">
      <c r="C501" s="39" t="s">
        <v>398</v>
      </c>
      <c r="D501" s="10" t="s">
        <v>573</v>
      </c>
      <c r="E501" s="1">
        <v>5000</v>
      </c>
    </row>
    <row r="502" spans="1:5" x14ac:dyDescent="0.4">
      <c r="B502" s="10" t="s">
        <v>574</v>
      </c>
      <c r="C502" s="10" t="s">
        <v>316</v>
      </c>
      <c r="E502" s="1">
        <v>10000</v>
      </c>
    </row>
    <row r="503" spans="1:5" x14ac:dyDescent="0.4">
      <c r="C503" s="11" t="s">
        <v>12</v>
      </c>
      <c r="E503" s="1">
        <v>10000</v>
      </c>
    </row>
    <row r="504" spans="1:5" x14ac:dyDescent="0.4">
      <c r="C504" s="39" t="s">
        <v>398</v>
      </c>
      <c r="D504" s="10" t="s">
        <v>573</v>
      </c>
      <c r="E504" s="1">
        <v>10000</v>
      </c>
    </row>
    <row r="505" spans="1:5" x14ac:dyDescent="0.4">
      <c r="B505" s="10" t="s">
        <v>575</v>
      </c>
      <c r="C505" s="10" t="s">
        <v>316</v>
      </c>
      <c r="E505" s="1">
        <v>770.99</v>
      </c>
    </row>
    <row r="506" spans="1:5" x14ac:dyDescent="0.4">
      <c r="C506" s="11" t="s">
        <v>2</v>
      </c>
      <c r="E506" s="1">
        <v>770.99</v>
      </c>
    </row>
    <row r="507" spans="1:5" x14ac:dyDescent="0.4">
      <c r="C507" s="39" t="s">
        <v>418</v>
      </c>
      <c r="D507" s="10" t="s">
        <v>322</v>
      </c>
      <c r="E507" s="1">
        <v>770.99</v>
      </c>
    </row>
    <row r="508" spans="1:5" x14ac:dyDescent="0.4">
      <c r="B508" s="10" t="s">
        <v>576</v>
      </c>
      <c r="C508" s="10" t="s">
        <v>316</v>
      </c>
      <c r="E508" s="1">
        <v>186.99</v>
      </c>
    </row>
    <row r="509" spans="1:5" x14ac:dyDescent="0.4">
      <c r="C509" s="11" t="s">
        <v>1</v>
      </c>
      <c r="E509" s="1">
        <v>186.99</v>
      </c>
    </row>
    <row r="510" spans="1:5" x14ac:dyDescent="0.4">
      <c r="C510" s="39" t="s">
        <v>468</v>
      </c>
      <c r="D510" s="10" t="s">
        <v>322</v>
      </c>
      <c r="E510" s="1">
        <v>186.99</v>
      </c>
    </row>
    <row r="511" spans="1:5" x14ac:dyDescent="0.4">
      <c r="B511" s="10" t="s">
        <v>577</v>
      </c>
      <c r="C511" s="10" t="s">
        <v>316</v>
      </c>
      <c r="E511" s="1">
        <v>4650</v>
      </c>
    </row>
    <row r="512" spans="1:5" x14ac:dyDescent="0.4">
      <c r="C512" s="11" t="s">
        <v>12</v>
      </c>
      <c r="E512" s="1">
        <v>4650</v>
      </c>
    </row>
    <row r="513" spans="2:5" x14ac:dyDescent="0.4">
      <c r="C513" s="39" t="s">
        <v>398</v>
      </c>
      <c r="D513" s="10" t="s">
        <v>322</v>
      </c>
      <c r="E513" s="1">
        <v>4650</v>
      </c>
    </row>
    <row r="514" spans="2:5" x14ac:dyDescent="0.4">
      <c r="B514" s="10" t="s">
        <v>578</v>
      </c>
      <c r="C514" s="10" t="s">
        <v>316</v>
      </c>
      <c r="E514" s="1">
        <v>200</v>
      </c>
    </row>
    <row r="515" spans="2:5" x14ac:dyDescent="0.4">
      <c r="C515" s="11" t="s">
        <v>12</v>
      </c>
      <c r="E515" s="1">
        <v>200</v>
      </c>
    </row>
    <row r="516" spans="2:5" x14ac:dyDescent="0.4">
      <c r="C516" s="39" t="s">
        <v>398</v>
      </c>
      <c r="D516" s="10" t="s">
        <v>361</v>
      </c>
      <c r="E516" s="1">
        <v>200</v>
      </c>
    </row>
    <row r="517" spans="2:5" x14ac:dyDescent="0.4">
      <c r="B517" s="10" t="s">
        <v>579</v>
      </c>
      <c r="C517" s="10" t="s">
        <v>316</v>
      </c>
      <c r="E517" s="1">
        <v>399.98</v>
      </c>
    </row>
    <row r="518" spans="2:5" x14ac:dyDescent="0.4">
      <c r="C518" s="11" t="s">
        <v>3</v>
      </c>
      <c r="E518" s="1">
        <v>399.98</v>
      </c>
    </row>
    <row r="519" spans="2:5" x14ac:dyDescent="0.4">
      <c r="C519" s="39" t="s">
        <v>520</v>
      </c>
      <c r="D519" s="10" t="s">
        <v>322</v>
      </c>
      <c r="E519" s="1">
        <v>399.98</v>
      </c>
    </row>
    <row r="520" spans="2:5" x14ac:dyDescent="0.4">
      <c r="B520" s="10" t="s">
        <v>580</v>
      </c>
      <c r="C520" s="10" t="s">
        <v>316</v>
      </c>
      <c r="E520" s="1">
        <v>2345.91</v>
      </c>
    </row>
    <row r="521" spans="2:5" x14ac:dyDescent="0.4">
      <c r="C521" s="11" t="s">
        <v>1</v>
      </c>
      <c r="E521" s="1">
        <v>2345.91</v>
      </c>
    </row>
    <row r="522" spans="2:5" x14ac:dyDescent="0.4">
      <c r="C522" s="39" t="s">
        <v>454</v>
      </c>
      <c r="D522" s="10" t="s">
        <v>322</v>
      </c>
      <c r="E522" s="1">
        <v>2345.91</v>
      </c>
    </row>
    <row r="523" spans="2:5" x14ac:dyDescent="0.4">
      <c r="B523" s="10" t="s">
        <v>581</v>
      </c>
      <c r="C523" s="10" t="s">
        <v>316</v>
      </c>
      <c r="E523" s="1">
        <v>549.95000000000005</v>
      </c>
    </row>
    <row r="524" spans="2:5" x14ac:dyDescent="0.4">
      <c r="C524" s="11" t="s">
        <v>1</v>
      </c>
      <c r="E524" s="1">
        <v>549.95000000000005</v>
      </c>
    </row>
    <row r="525" spans="2:5" x14ac:dyDescent="0.4">
      <c r="C525" s="39" t="s">
        <v>582</v>
      </c>
      <c r="D525" s="10" t="s">
        <v>322</v>
      </c>
      <c r="E525" s="1">
        <v>549.95000000000005</v>
      </c>
    </row>
    <row r="526" spans="2:5" x14ac:dyDescent="0.4">
      <c r="B526" s="10" t="s">
        <v>583</v>
      </c>
      <c r="C526" s="10" t="s">
        <v>316</v>
      </c>
      <c r="E526" s="1">
        <v>1735.91</v>
      </c>
    </row>
    <row r="527" spans="2:5" x14ac:dyDescent="0.4">
      <c r="C527" s="11" t="s">
        <v>2</v>
      </c>
      <c r="E527" s="1">
        <v>1735.91</v>
      </c>
    </row>
    <row r="528" spans="2:5" x14ac:dyDescent="0.4">
      <c r="C528" s="39" t="s">
        <v>328</v>
      </c>
      <c r="D528" s="10" t="s">
        <v>322</v>
      </c>
      <c r="E528" s="1">
        <v>1735.91</v>
      </c>
    </row>
    <row r="529" spans="2:5" x14ac:dyDescent="0.4">
      <c r="B529" s="10" t="s">
        <v>584</v>
      </c>
      <c r="C529" s="10" t="s">
        <v>316</v>
      </c>
      <c r="E529" s="1">
        <v>359.99</v>
      </c>
    </row>
    <row r="530" spans="2:5" x14ac:dyDescent="0.4">
      <c r="C530" s="11" t="s">
        <v>2</v>
      </c>
      <c r="E530" s="1">
        <v>359.99</v>
      </c>
    </row>
    <row r="531" spans="2:5" x14ac:dyDescent="0.4">
      <c r="C531" s="39" t="s">
        <v>585</v>
      </c>
      <c r="D531" s="10" t="s">
        <v>322</v>
      </c>
      <c r="E531" s="1">
        <v>359.99</v>
      </c>
    </row>
    <row r="532" spans="2:5" x14ac:dyDescent="0.4">
      <c r="B532" s="10" t="s">
        <v>586</v>
      </c>
      <c r="C532" s="10" t="s">
        <v>316</v>
      </c>
      <c r="E532" s="1">
        <v>41.95</v>
      </c>
    </row>
    <row r="533" spans="2:5" x14ac:dyDescent="0.4">
      <c r="C533" s="11" t="s">
        <v>2</v>
      </c>
      <c r="E533" s="1">
        <v>41.95</v>
      </c>
    </row>
    <row r="534" spans="2:5" x14ac:dyDescent="0.4">
      <c r="C534" s="39" t="s">
        <v>418</v>
      </c>
      <c r="D534" s="10" t="s">
        <v>322</v>
      </c>
      <c r="E534" s="1">
        <v>41.95</v>
      </c>
    </row>
    <row r="535" spans="2:5" x14ac:dyDescent="0.4">
      <c r="B535" s="10" t="s">
        <v>587</v>
      </c>
      <c r="C535" s="10" t="s">
        <v>316</v>
      </c>
      <c r="E535" s="1">
        <v>97.35</v>
      </c>
    </row>
    <row r="536" spans="2:5" x14ac:dyDescent="0.4">
      <c r="C536" s="11" t="s">
        <v>2</v>
      </c>
      <c r="E536" s="1">
        <v>97.35</v>
      </c>
    </row>
    <row r="537" spans="2:5" x14ac:dyDescent="0.4">
      <c r="C537" s="39" t="s">
        <v>328</v>
      </c>
      <c r="D537" s="10" t="s">
        <v>322</v>
      </c>
      <c r="E537" s="1">
        <v>97.35</v>
      </c>
    </row>
    <row r="538" spans="2:5" x14ac:dyDescent="0.4">
      <c r="B538" s="10" t="s">
        <v>588</v>
      </c>
      <c r="C538" s="10" t="s">
        <v>316</v>
      </c>
      <c r="E538" s="1">
        <v>2345.91</v>
      </c>
    </row>
    <row r="539" spans="2:5" x14ac:dyDescent="0.4">
      <c r="C539" s="11" t="s">
        <v>3</v>
      </c>
      <c r="E539" s="1">
        <v>2345.91</v>
      </c>
    </row>
    <row r="540" spans="2:5" x14ac:dyDescent="0.4">
      <c r="C540" s="39" t="s">
        <v>429</v>
      </c>
      <c r="D540" s="10" t="s">
        <v>322</v>
      </c>
      <c r="E540" s="1">
        <v>2345.91</v>
      </c>
    </row>
    <row r="541" spans="2:5" x14ac:dyDescent="0.4">
      <c r="B541" s="10" t="s">
        <v>589</v>
      </c>
      <c r="C541" s="10" t="s">
        <v>316</v>
      </c>
      <c r="E541" s="1">
        <v>2400.91</v>
      </c>
    </row>
    <row r="542" spans="2:5" x14ac:dyDescent="0.4">
      <c r="C542" s="11" t="s">
        <v>4</v>
      </c>
      <c r="E542" s="1">
        <v>2400.91</v>
      </c>
    </row>
    <row r="543" spans="2:5" x14ac:dyDescent="0.4">
      <c r="C543" s="39" t="s">
        <v>533</v>
      </c>
      <c r="D543" s="10" t="s">
        <v>395</v>
      </c>
      <c r="E543" s="1">
        <v>2400.91</v>
      </c>
    </row>
    <row r="544" spans="2:5" x14ac:dyDescent="0.4">
      <c r="B544" s="10" t="s">
        <v>590</v>
      </c>
      <c r="C544" s="10" t="s">
        <v>316</v>
      </c>
      <c r="E544" s="1">
        <v>1557.99</v>
      </c>
    </row>
    <row r="545" spans="1:5" x14ac:dyDescent="0.4">
      <c r="C545" s="11" t="s">
        <v>4</v>
      </c>
      <c r="E545" s="1">
        <v>1557.99</v>
      </c>
    </row>
    <row r="546" spans="1:5" x14ac:dyDescent="0.4">
      <c r="C546" s="39" t="s">
        <v>537</v>
      </c>
      <c r="D546" s="10" t="s">
        <v>322</v>
      </c>
      <c r="E546" s="1">
        <v>1557.99</v>
      </c>
    </row>
    <row r="547" spans="1:5" x14ac:dyDescent="0.4">
      <c r="B547" s="10" t="s">
        <v>591</v>
      </c>
      <c r="C547" s="10" t="s">
        <v>316</v>
      </c>
      <c r="E547" s="1">
        <v>15.99</v>
      </c>
    </row>
    <row r="548" spans="1:5" x14ac:dyDescent="0.4">
      <c r="C548" s="11" t="s">
        <v>4</v>
      </c>
      <c r="E548" s="1">
        <v>15.99</v>
      </c>
    </row>
    <row r="549" spans="1:5" x14ac:dyDescent="0.4">
      <c r="C549" s="39" t="s">
        <v>592</v>
      </c>
      <c r="D549" s="10" t="s">
        <v>322</v>
      </c>
      <c r="E549" s="1">
        <v>15.99</v>
      </c>
    </row>
    <row r="550" spans="1:5" x14ac:dyDescent="0.4">
      <c r="B550" s="10" t="s">
        <v>593</v>
      </c>
      <c r="C550" s="10" t="s">
        <v>316</v>
      </c>
      <c r="E550" s="1">
        <v>61.66</v>
      </c>
    </row>
    <row r="551" spans="1:5" x14ac:dyDescent="0.4">
      <c r="C551" s="11" t="s">
        <v>4</v>
      </c>
      <c r="E551" s="1">
        <v>61.66</v>
      </c>
    </row>
    <row r="552" spans="1:5" x14ac:dyDescent="0.4">
      <c r="C552" s="39" t="s">
        <v>371</v>
      </c>
      <c r="D552" s="10" t="s">
        <v>322</v>
      </c>
      <c r="E552" s="1">
        <v>61.66</v>
      </c>
    </row>
    <row r="553" spans="1:5" x14ac:dyDescent="0.4">
      <c r="A553" s="10" t="s">
        <v>594</v>
      </c>
      <c r="B553" s="10" t="s">
        <v>368</v>
      </c>
      <c r="C553" s="10" t="s">
        <v>316</v>
      </c>
      <c r="E553" s="1">
        <v>1209</v>
      </c>
    </row>
    <row r="554" spans="1:5" x14ac:dyDescent="0.4">
      <c r="C554" s="11" t="s">
        <v>3</v>
      </c>
      <c r="E554" s="1">
        <v>1209</v>
      </c>
    </row>
    <row r="555" spans="1:5" x14ac:dyDescent="0.4">
      <c r="C555" s="39" t="s">
        <v>529</v>
      </c>
      <c r="D555" s="10" t="s">
        <v>395</v>
      </c>
      <c r="E555" s="1">
        <v>1209</v>
      </c>
    </row>
    <row r="556" spans="1:5" x14ac:dyDescent="0.4">
      <c r="B556" s="10" t="s">
        <v>320</v>
      </c>
      <c r="C556" s="10" t="s">
        <v>316</v>
      </c>
      <c r="E556" s="1">
        <v>1078</v>
      </c>
    </row>
    <row r="557" spans="1:5" x14ac:dyDescent="0.4">
      <c r="C557" s="11" t="s">
        <v>2</v>
      </c>
      <c r="E557" s="1">
        <v>1078</v>
      </c>
    </row>
    <row r="558" spans="1:5" x14ac:dyDescent="0.4">
      <c r="C558" s="39" t="s">
        <v>585</v>
      </c>
      <c r="D558" s="10" t="s">
        <v>322</v>
      </c>
      <c r="E558" s="1">
        <v>1078</v>
      </c>
    </row>
    <row r="559" spans="1:5" x14ac:dyDescent="0.4">
      <c r="B559" s="10" t="s">
        <v>595</v>
      </c>
      <c r="C559" s="10" t="s">
        <v>316</v>
      </c>
      <c r="E559" s="1">
        <v>475.99</v>
      </c>
    </row>
    <row r="560" spans="1:5" x14ac:dyDescent="0.4">
      <c r="C560" s="11" t="s">
        <v>3</v>
      </c>
      <c r="E560" s="1">
        <v>475.99</v>
      </c>
    </row>
    <row r="561" spans="1:5" x14ac:dyDescent="0.4">
      <c r="C561" s="39" t="s">
        <v>428</v>
      </c>
      <c r="D561" s="10" t="s">
        <v>322</v>
      </c>
      <c r="E561" s="1">
        <v>475.99</v>
      </c>
    </row>
    <row r="562" spans="1:5" x14ac:dyDescent="0.4">
      <c r="A562" s="10" t="s">
        <v>596</v>
      </c>
      <c r="B562" s="10" t="s">
        <v>368</v>
      </c>
      <c r="C562" s="10" t="s">
        <v>316</v>
      </c>
      <c r="E562" s="1">
        <v>3000</v>
      </c>
    </row>
    <row r="563" spans="1:5" x14ac:dyDescent="0.4">
      <c r="C563" s="11" t="s">
        <v>369</v>
      </c>
      <c r="E563" s="1">
        <v>3000</v>
      </c>
    </row>
    <row r="564" spans="1:5" x14ac:dyDescent="0.4">
      <c r="C564" s="39" t="s">
        <v>597</v>
      </c>
      <c r="D564" s="10" t="s">
        <v>414</v>
      </c>
      <c r="E564" s="1">
        <v>3000</v>
      </c>
    </row>
    <row r="565" spans="1:5" x14ac:dyDescent="0.4">
      <c r="B565" s="10" t="s">
        <v>598</v>
      </c>
      <c r="C565" s="10" t="s">
        <v>316</v>
      </c>
      <c r="E565" s="1">
        <v>465</v>
      </c>
    </row>
    <row r="566" spans="1:5" x14ac:dyDescent="0.4">
      <c r="C566" s="11" t="s">
        <v>5</v>
      </c>
      <c r="E566" s="1">
        <v>465</v>
      </c>
    </row>
    <row r="567" spans="1:5" x14ac:dyDescent="0.4">
      <c r="C567" s="39" t="s">
        <v>359</v>
      </c>
      <c r="D567" s="10" t="s">
        <v>395</v>
      </c>
      <c r="E567" s="1">
        <v>465</v>
      </c>
    </row>
    <row r="568" spans="1:5" x14ac:dyDescent="0.4">
      <c r="A568" s="10" t="s">
        <v>599</v>
      </c>
      <c r="B568" s="10" t="s">
        <v>368</v>
      </c>
      <c r="C568" s="10" t="s">
        <v>316</v>
      </c>
      <c r="E568" s="1">
        <v>9000</v>
      </c>
    </row>
    <row r="569" spans="1:5" x14ac:dyDescent="0.4">
      <c r="C569" s="11" t="s">
        <v>3</v>
      </c>
      <c r="E569" s="1">
        <v>9000</v>
      </c>
    </row>
    <row r="570" spans="1:5" x14ac:dyDescent="0.4">
      <c r="C570" s="39" t="s">
        <v>600</v>
      </c>
      <c r="D570" s="10" t="s">
        <v>601</v>
      </c>
      <c r="E570" s="1">
        <v>9000</v>
      </c>
    </row>
    <row r="571" spans="1:5" x14ac:dyDescent="0.4">
      <c r="B571" s="10" t="s">
        <v>602</v>
      </c>
      <c r="C571" s="10" t="s">
        <v>316</v>
      </c>
      <c r="E571" s="1">
        <v>1248</v>
      </c>
    </row>
    <row r="572" spans="1:5" x14ac:dyDescent="0.4">
      <c r="C572" s="11" t="s">
        <v>5</v>
      </c>
      <c r="E572" s="1">
        <v>1248</v>
      </c>
    </row>
    <row r="573" spans="1:5" x14ac:dyDescent="0.4">
      <c r="C573" s="39" t="s">
        <v>364</v>
      </c>
      <c r="D573" s="10" t="s">
        <v>395</v>
      </c>
      <c r="E573" s="1">
        <v>1248</v>
      </c>
    </row>
    <row r="574" spans="1:5" x14ac:dyDescent="0.4">
      <c r="B574" s="10" t="s">
        <v>437</v>
      </c>
      <c r="C574" s="10" t="s">
        <v>316</v>
      </c>
      <c r="E574" s="1">
        <v>360</v>
      </c>
    </row>
    <row r="575" spans="1:5" x14ac:dyDescent="0.4">
      <c r="C575" s="11" t="s">
        <v>4</v>
      </c>
      <c r="E575" s="1">
        <v>360</v>
      </c>
    </row>
    <row r="576" spans="1:5" x14ac:dyDescent="0.4">
      <c r="C576" s="39" t="s">
        <v>603</v>
      </c>
      <c r="D576" s="10" t="s">
        <v>322</v>
      </c>
      <c r="E576" s="1">
        <v>360</v>
      </c>
    </row>
    <row r="577" spans="1:5" x14ac:dyDescent="0.4">
      <c r="B577" s="10" t="s">
        <v>579</v>
      </c>
      <c r="C577" s="10" t="s">
        <v>316</v>
      </c>
      <c r="E577" s="1">
        <v>230.35</v>
      </c>
    </row>
    <row r="578" spans="1:5" x14ac:dyDescent="0.4">
      <c r="C578" s="11" t="s">
        <v>4</v>
      </c>
      <c r="E578" s="1">
        <v>230.35</v>
      </c>
    </row>
    <row r="579" spans="1:5" x14ac:dyDescent="0.4">
      <c r="C579" s="39" t="s">
        <v>371</v>
      </c>
      <c r="D579" s="10" t="s">
        <v>322</v>
      </c>
      <c r="E579" s="1">
        <v>230.35</v>
      </c>
    </row>
    <row r="580" spans="1:5" x14ac:dyDescent="0.4">
      <c r="B580" s="10" t="s">
        <v>604</v>
      </c>
      <c r="C580" s="10" t="s">
        <v>316</v>
      </c>
      <c r="E580" s="1">
        <v>172.12</v>
      </c>
    </row>
    <row r="581" spans="1:5" x14ac:dyDescent="0.4">
      <c r="C581" s="11" t="s">
        <v>2</v>
      </c>
      <c r="E581" s="1">
        <v>172.12</v>
      </c>
    </row>
    <row r="582" spans="1:5" x14ac:dyDescent="0.4">
      <c r="C582" s="39" t="s">
        <v>465</v>
      </c>
      <c r="D582" s="10" t="s">
        <v>322</v>
      </c>
      <c r="E582" s="1">
        <v>172.12</v>
      </c>
    </row>
    <row r="583" spans="1:5" x14ac:dyDescent="0.4">
      <c r="B583" s="10" t="s">
        <v>605</v>
      </c>
      <c r="C583" s="10" t="s">
        <v>316</v>
      </c>
      <c r="E583" s="1">
        <v>1452.98</v>
      </c>
    </row>
    <row r="584" spans="1:5" x14ac:dyDescent="0.4">
      <c r="C584" s="11" t="s">
        <v>2</v>
      </c>
      <c r="E584" s="1">
        <v>1452.98</v>
      </c>
    </row>
    <row r="585" spans="1:5" x14ac:dyDescent="0.4">
      <c r="C585" s="39" t="s">
        <v>328</v>
      </c>
      <c r="D585" s="10" t="s">
        <v>395</v>
      </c>
      <c r="E585" s="1">
        <v>1452.98</v>
      </c>
    </row>
    <row r="586" spans="1:5" x14ac:dyDescent="0.4">
      <c r="B586" s="10" t="s">
        <v>606</v>
      </c>
      <c r="C586" s="10" t="s">
        <v>316</v>
      </c>
      <c r="E586" s="1">
        <v>14.95</v>
      </c>
    </row>
    <row r="587" spans="1:5" x14ac:dyDescent="0.4">
      <c r="C587" s="11" t="s">
        <v>5</v>
      </c>
      <c r="E587" s="1">
        <v>14.95</v>
      </c>
    </row>
    <row r="588" spans="1:5" x14ac:dyDescent="0.4">
      <c r="C588" s="39" t="s">
        <v>364</v>
      </c>
      <c r="D588" s="10" t="s">
        <v>361</v>
      </c>
      <c r="E588" s="1">
        <v>14.95</v>
      </c>
    </row>
    <row r="589" spans="1:5" x14ac:dyDescent="0.4">
      <c r="A589" s="10" t="s">
        <v>607</v>
      </c>
      <c r="B589" s="10" t="s">
        <v>388</v>
      </c>
      <c r="C589" s="10" t="s">
        <v>316</v>
      </c>
      <c r="E589" s="1">
        <v>181.48</v>
      </c>
    </row>
    <row r="590" spans="1:5" x14ac:dyDescent="0.4">
      <c r="C590" s="11" t="s">
        <v>4</v>
      </c>
      <c r="E590" s="1">
        <v>181.48</v>
      </c>
    </row>
    <row r="591" spans="1:5" x14ac:dyDescent="0.4">
      <c r="C591" s="39" t="s">
        <v>603</v>
      </c>
      <c r="D591" s="10" t="s">
        <v>322</v>
      </c>
      <c r="E591" s="1">
        <v>181.48</v>
      </c>
    </row>
    <row r="592" spans="1:5" x14ac:dyDescent="0.4">
      <c r="A592" s="10" t="s">
        <v>608</v>
      </c>
      <c r="B592" s="10" t="s">
        <v>368</v>
      </c>
      <c r="C592" s="10" t="s">
        <v>316</v>
      </c>
      <c r="E592" s="1">
        <v>2000</v>
      </c>
    </row>
    <row r="593" spans="2:5" x14ac:dyDescent="0.4">
      <c r="C593" s="11" t="s">
        <v>8</v>
      </c>
      <c r="E593" s="1">
        <v>2000</v>
      </c>
    </row>
    <row r="594" spans="2:5" x14ac:dyDescent="0.4">
      <c r="C594" s="39" t="s">
        <v>400</v>
      </c>
      <c r="D594" s="10" t="s">
        <v>414</v>
      </c>
      <c r="E594" s="1">
        <v>2000</v>
      </c>
    </row>
    <row r="595" spans="2:5" x14ac:dyDescent="0.4">
      <c r="B595" s="10" t="s">
        <v>609</v>
      </c>
      <c r="C595" s="10" t="s">
        <v>316</v>
      </c>
      <c r="E595" s="1">
        <v>8000</v>
      </c>
    </row>
    <row r="596" spans="2:5" x14ac:dyDescent="0.4">
      <c r="C596" s="11" t="s">
        <v>3</v>
      </c>
      <c r="E596" s="1">
        <v>8000</v>
      </c>
    </row>
    <row r="597" spans="2:5" x14ac:dyDescent="0.4">
      <c r="C597" s="39" t="s">
        <v>343</v>
      </c>
      <c r="D597" s="10" t="s">
        <v>322</v>
      </c>
      <c r="E597" s="1">
        <v>8000</v>
      </c>
    </row>
    <row r="598" spans="2:5" x14ac:dyDescent="0.4">
      <c r="B598" s="10" t="s">
        <v>610</v>
      </c>
      <c r="C598" s="10" t="s">
        <v>316</v>
      </c>
      <c r="E598" s="1">
        <v>500</v>
      </c>
    </row>
    <row r="599" spans="2:5" x14ac:dyDescent="0.4">
      <c r="C599" s="11" t="s">
        <v>5</v>
      </c>
      <c r="E599" s="1">
        <v>500</v>
      </c>
    </row>
    <row r="600" spans="2:5" x14ac:dyDescent="0.4">
      <c r="C600" s="39" t="s">
        <v>359</v>
      </c>
      <c r="D600" s="10" t="s">
        <v>401</v>
      </c>
      <c r="E600" s="1">
        <v>500</v>
      </c>
    </row>
    <row r="601" spans="2:5" x14ac:dyDescent="0.4">
      <c r="B601" s="10" t="s">
        <v>611</v>
      </c>
      <c r="C601" s="10" t="s">
        <v>316</v>
      </c>
      <c r="E601" s="1">
        <v>89.45</v>
      </c>
    </row>
    <row r="602" spans="2:5" x14ac:dyDescent="0.4">
      <c r="C602" s="11" t="s">
        <v>1</v>
      </c>
      <c r="E602" s="1">
        <v>89.45</v>
      </c>
    </row>
    <row r="603" spans="2:5" x14ac:dyDescent="0.4">
      <c r="C603" s="39" t="s">
        <v>376</v>
      </c>
      <c r="D603" s="10" t="s">
        <v>322</v>
      </c>
      <c r="E603" s="1">
        <v>89.45</v>
      </c>
    </row>
    <row r="604" spans="2:5" x14ac:dyDescent="0.4">
      <c r="B604" s="10" t="s">
        <v>612</v>
      </c>
      <c r="C604" s="10" t="s">
        <v>316</v>
      </c>
      <c r="E604" s="1">
        <v>7279.46</v>
      </c>
    </row>
    <row r="605" spans="2:5" x14ac:dyDescent="0.4">
      <c r="C605" s="11" t="s">
        <v>3</v>
      </c>
      <c r="E605" s="1">
        <v>7279.46</v>
      </c>
    </row>
    <row r="606" spans="2:5" x14ac:dyDescent="0.4">
      <c r="C606" s="39" t="s">
        <v>516</v>
      </c>
      <c r="D606" s="10" t="s">
        <v>322</v>
      </c>
      <c r="E606" s="1">
        <v>7279.46</v>
      </c>
    </row>
    <row r="607" spans="2:5" x14ac:dyDescent="0.4">
      <c r="B607" s="10" t="s">
        <v>613</v>
      </c>
      <c r="C607" s="10" t="s">
        <v>316</v>
      </c>
      <c r="E607" s="1">
        <v>262.99</v>
      </c>
    </row>
    <row r="608" spans="2:5" x14ac:dyDescent="0.4">
      <c r="C608" s="11" t="s">
        <v>3</v>
      </c>
      <c r="E608" s="1">
        <v>262.99</v>
      </c>
    </row>
    <row r="609" spans="2:5" x14ac:dyDescent="0.4">
      <c r="C609" s="39" t="s">
        <v>343</v>
      </c>
      <c r="D609" s="10" t="s">
        <v>322</v>
      </c>
      <c r="E609" s="1">
        <v>262.99</v>
      </c>
    </row>
    <row r="610" spans="2:5" x14ac:dyDescent="0.4">
      <c r="B610" s="10" t="s">
        <v>614</v>
      </c>
      <c r="C610" s="10" t="s">
        <v>316</v>
      </c>
      <c r="E610" s="1">
        <v>1625</v>
      </c>
    </row>
    <row r="611" spans="2:5" x14ac:dyDescent="0.4">
      <c r="C611" s="11" t="s">
        <v>4</v>
      </c>
      <c r="E611" s="1">
        <v>1625</v>
      </c>
    </row>
    <row r="612" spans="2:5" x14ac:dyDescent="0.4">
      <c r="C612" s="39" t="s">
        <v>386</v>
      </c>
      <c r="D612" s="10" t="s">
        <v>395</v>
      </c>
      <c r="E612" s="1">
        <v>1625</v>
      </c>
    </row>
    <row r="613" spans="2:5" x14ac:dyDescent="0.4">
      <c r="B613" s="10" t="s">
        <v>615</v>
      </c>
      <c r="C613" s="10" t="s">
        <v>316</v>
      </c>
      <c r="E613" s="1">
        <v>321.29000000000002</v>
      </c>
    </row>
    <row r="614" spans="2:5" x14ac:dyDescent="0.4">
      <c r="C614" s="11" t="s">
        <v>3</v>
      </c>
      <c r="E614" s="1">
        <v>321.29000000000002</v>
      </c>
    </row>
    <row r="615" spans="2:5" x14ac:dyDescent="0.4">
      <c r="C615" s="39" t="s">
        <v>616</v>
      </c>
      <c r="D615" s="10" t="s">
        <v>322</v>
      </c>
      <c r="E615" s="1">
        <v>321.29000000000002</v>
      </c>
    </row>
    <row r="616" spans="2:5" x14ac:dyDescent="0.4">
      <c r="B616" s="10" t="s">
        <v>617</v>
      </c>
      <c r="C616" s="10" t="s">
        <v>316</v>
      </c>
      <c r="E616" s="1">
        <v>349.25</v>
      </c>
    </row>
    <row r="617" spans="2:5" x14ac:dyDescent="0.4">
      <c r="C617" s="11" t="s">
        <v>3</v>
      </c>
      <c r="E617" s="1">
        <v>349.25</v>
      </c>
    </row>
    <row r="618" spans="2:5" x14ac:dyDescent="0.4">
      <c r="C618" s="39" t="s">
        <v>429</v>
      </c>
      <c r="D618" s="10" t="s">
        <v>401</v>
      </c>
      <c r="E618" s="1">
        <v>349.25</v>
      </c>
    </row>
    <row r="619" spans="2:5" x14ac:dyDescent="0.4">
      <c r="B619" s="10" t="s">
        <v>618</v>
      </c>
      <c r="C619" s="10" t="s">
        <v>316</v>
      </c>
      <c r="E619" s="1">
        <v>0</v>
      </c>
    </row>
    <row r="620" spans="2:5" x14ac:dyDescent="0.4">
      <c r="C620" s="11" t="s">
        <v>11</v>
      </c>
      <c r="E620" s="1">
        <v>0</v>
      </c>
    </row>
    <row r="621" spans="2:5" x14ac:dyDescent="0.4">
      <c r="C621" s="39" t="s">
        <v>619</v>
      </c>
      <c r="D621" s="10" t="s">
        <v>361</v>
      </c>
      <c r="E621" s="1">
        <v>0</v>
      </c>
    </row>
    <row r="622" spans="2:5" x14ac:dyDescent="0.4">
      <c r="B622" s="10" t="s">
        <v>620</v>
      </c>
      <c r="C622" s="10" t="s">
        <v>316</v>
      </c>
      <c r="E622" s="1">
        <v>707.19</v>
      </c>
    </row>
    <row r="623" spans="2:5" x14ac:dyDescent="0.4">
      <c r="C623" s="11" t="s">
        <v>4</v>
      </c>
      <c r="E623" s="1">
        <v>707.19</v>
      </c>
    </row>
    <row r="624" spans="2:5" x14ac:dyDescent="0.4">
      <c r="C624" s="39" t="s">
        <v>621</v>
      </c>
      <c r="D624" s="10" t="s">
        <v>322</v>
      </c>
      <c r="E624" s="1">
        <v>707.19</v>
      </c>
    </row>
    <row r="625" spans="1:5" x14ac:dyDescent="0.4">
      <c r="A625" s="10" t="s">
        <v>622</v>
      </c>
      <c r="B625" s="10" t="s">
        <v>623</v>
      </c>
      <c r="C625" s="10" t="s">
        <v>316</v>
      </c>
      <c r="E625" s="1">
        <v>0</v>
      </c>
    </row>
    <row r="626" spans="1:5" x14ac:dyDescent="0.4">
      <c r="C626" s="11" t="s">
        <v>5</v>
      </c>
      <c r="E626" s="1">
        <v>0</v>
      </c>
    </row>
    <row r="627" spans="1:5" x14ac:dyDescent="0.4">
      <c r="C627" s="39" t="s">
        <v>359</v>
      </c>
      <c r="D627" s="10" t="s">
        <v>318</v>
      </c>
      <c r="E627" s="1">
        <v>0</v>
      </c>
    </row>
    <row r="628" spans="1:5" x14ac:dyDescent="0.4">
      <c r="B628" s="10" t="s">
        <v>624</v>
      </c>
      <c r="C628" s="10" t="s">
        <v>316</v>
      </c>
      <c r="E628" s="1">
        <v>1792.39</v>
      </c>
    </row>
    <row r="629" spans="1:5" x14ac:dyDescent="0.4">
      <c r="C629" s="11" t="s">
        <v>3</v>
      </c>
      <c r="E629" s="1">
        <v>1792.39</v>
      </c>
    </row>
    <row r="630" spans="1:5" x14ac:dyDescent="0.4">
      <c r="C630" s="39" t="s">
        <v>343</v>
      </c>
      <c r="D630" s="10" t="s">
        <v>573</v>
      </c>
      <c r="E630" s="1">
        <v>1792.39</v>
      </c>
    </row>
    <row r="631" spans="1:5" x14ac:dyDescent="0.4">
      <c r="B631" s="10" t="s">
        <v>625</v>
      </c>
      <c r="C631" s="10" t="s">
        <v>316</v>
      </c>
      <c r="E631" s="1">
        <v>0</v>
      </c>
    </row>
    <row r="632" spans="1:5" x14ac:dyDescent="0.4">
      <c r="C632" s="11" t="s">
        <v>2</v>
      </c>
      <c r="E632" s="1">
        <v>0</v>
      </c>
    </row>
    <row r="633" spans="1:5" x14ac:dyDescent="0.4">
      <c r="C633" s="39" t="s">
        <v>328</v>
      </c>
      <c r="D633" s="10" t="s">
        <v>329</v>
      </c>
      <c r="E633" s="1">
        <v>0</v>
      </c>
    </row>
    <row r="634" spans="1:5" x14ac:dyDescent="0.4">
      <c r="B634" s="10" t="s">
        <v>626</v>
      </c>
      <c r="C634" s="10" t="s">
        <v>316</v>
      </c>
      <c r="E634" s="1">
        <v>4406</v>
      </c>
    </row>
    <row r="635" spans="1:5" x14ac:dyDescent="0.4">
      <c r="C635" s="11" t="s">
        <v>3</v>
      </c>
      <c r="E635" s="1">
        <v>4406</v>
      </c>
    </row>
    <row r="636" spans="1:5" x14ac:dyDescent="0.4">
      <c r="C636" s="39" t="s">
        <v>343</v>
      </c>
      <c r="D636" s="10" t="s">
        <v>395</v>
      </c>
      <c r="E636" s="1">
        <v>4406</v>
      </c>
    </row>
    <row r="637" spans="1:5" x14ac:dyDescent="0.4">
      <c r="B637" s="10" t="s">
        <v>627</v>
      </c>
      <c r="C637" s="10" t="s">
        <v>316</v>
      </c>
      <c r="E637" s="1">
        <v>0</v>
      </c>
    </row>
    <row r="638" spans="1:5" x14ac:dyDescent="0.4">
      <c r="C638" s="11" t="s">
        <v>5</v>
      </c>
      <c r="E638" s="1">
        <v>0</v>
      </c>
    </row>
    <row r="639" spans="1:5" x14ac:dyDescent="0.4">
      <c r="C639" s="39" t="s">
        <v>359</v>
      </c>
      <c r="D639" s="10" t="s">
        <v>361</v>
      </c>
      <c r="E639" s="1">
        <v>0</v>
      </c>
    </row>
    <row r="640" spans="1:5" x14ac:dyDescent="0.4">
      <c r="A640" s="10" t="s">
        <v>628</v>
      </c>
      <c r="B640" s="10" t="s">
        <v>629</v>
      </c>
      <c r="C640" s="10" t="s">
        <v>316</v>
      </c>
      <c r="E640" s="1">
        <v>892.84</v>
      </c>
    </row>
    <row r="641" spans="1:5" x14ac:dyDescent="0.4">
      <c r="C641" s="11" t="s">
        <v>6</v>
      </c>
      <c r="E641" s="1">
        <v>892.84</v>
      </c>
    </row>
    <row r="642" spans="1:5" x14ac:dyDescent="0.4">
      <c r="C642" s="39" t="s">
        <v>451</v>
      </c>
      <c r="D642" s="10" t="s">
        <v>630</v>
      </c>
      <c r="E642" s="1">
        <v>892.84</v>
      </c>
    </row>
    <row r="643" spans="1:5" x14ac:dyDescent="0.4">
      <c r="B643" s="10" t="s">
        <v>631</v>
      </c>
      <c r="C643" s="10" t="s">
        <v>316</v>
      </c>
      <c r="E643" s="1">
        <v>10000</v>
      </c>
    </row>
    <row r="644" spans="1:5" x14ac:dyDescent="0.4">
      <c r="C644" s="11" t="s">
        <v>12</v>
      </c>
      <c r="E644" s="1">
        <v>10000</v>
      </c>
    </row>
    <row r="645" spans="1:5" x14ac:dyDescent="0.4">
      <c r="C645" s="39" t="s">
        <v>398</v>
      </c>
      <c r="D645" s="10" t="s">
        <v>361</v>
      </c>
      <c r="E645" s="1">
        <v>10000</v>
      </c>
    </row>
    <row r="646" spans="1:5" x14ac:dyDescent="0.4">
      <c r="B646" s="10" t="s">
        <v>632</v>
      </c>
      <c r="C646" s="10" t="s">
        <v>316</v>
      </c>
      <c r="E646" s="1">
        <v>1482</v>
      </c>
    </row>
    <row r="647" spans="1:5" x14ac:dyDescent="0.4">
      <c r="C647" s="11" t="s">
        <v>1</v>
      </c>
      <c r="E647" s="1">
        <v>1482</v>
      </c>
    </row>
    <row r="648" spans="1:5" x14ac:dyDescent="0.4">
      <c r="C648" s="39" t="s">
        <v>454</v>
      </c>
      <c r="D648" s="10" t="s">
        <v>322</v>
      </c>
      <c r="E648" s="1">
        <v>1482</v>
      </c>
    </row>
    <row r="649" spans="1:5" x14ac:dyDescent="0.4">
      <c r="B649" s="10" t="s">
        <v>633</v>
      </c>
      <c r="C649" s="10" t="s">
        <v>316</v>
      </c>
      <c r="E649" s="1">
        <v>310</v>
      </c>
    </row>
    <row r="650" spans="1:5" x14ac:dyDescent="0.4">
      <c r="C650" s="11" t="s">
        <v>1</v>
      </c>
      <c r="E650" s="1">
        <v>310</v>
      </c>
    </row>
    <row r="651" spans="1:5" x14ac:dyDescent="0.4">
      <c r="C651" s="39" t="s">
        <v>468</v>
      </c>
      <c r="D651" s="10" t="s">
        <v>322</v>
      </c>
      <c r="E651" s="1">
        <v>310</v>
      </c>
    </row>
    <row r="652" spans="1:5" x14ac:dyDescent="0.4">
      <c r="B652" s="10" t="s">
        <v>634</v>
      </c>
      <c r="C652" s="10" t="s">
        <v>316</v>
      </c>
      <c r="E652" s="1">
        <v>486</v>
      </c>
    </row>
    <row r="653" spans="1:5" x14ac:dyDescent="0.4">
      <c r="C653" s="11" t="s">
        <v>3</v>
      </c>
      <c r="E653" s="1">
        <v>486</v>
      </c>
    </row>
    <row r="654" spans="1:5" x14ac:dyDescent="0.4">
      <c r="C654" s="39" t="s">
        <v>428</v>
      </c>
      <c r="D654" s="10" t="s">
        <v>322</v>
      </c>
      <c r="E654" s="1">
        <v>486</v>
      </c>
    </row>
    <row r="655" spans="1:5" x14ac:dyDescent="0.4">
      <c r="A655" s="10" t="s">
        <v>635</v>
      </c>
      <c r="B655" s="10" t="s">
        <v>320</v>
      </c>
      <c r="C655" s="10" t="s">
        <v>316</v>
      </c>
      <c r="E655" s="1">
        <v>539</v>
      </c>
    </row>
    <row r="656" spans="1:5" x14ac:dyDescent="0.4">
      <c r="C656" s="11" t="s">
        <v>5</v>
      </c>
      <c r="E656" s="1">
        <v>539</v>
      </c>
    </row>
    <row r="657" spans="2:5" x14ac:dyDescent="0.4">
      <c r="C657" s="39" t="s">
        <v>359</v>
      </c>
      <c r="D657" s="10" t="s">
        <v>322</v>
      </c>
      <c r="E657" s="1">
        <v>539</v>
      </c>
    </row>
    <row r="658" spans="2:5" x14ac:dyDescent="0.4">
      <c r="B658" s="10" t="s">
        <v>382</v>
      </c>
      <c r="C658" s="10" t="s">
        <v>316</v>
      </c>
      <c r="E658" s="1">
        <v>705</v>
      </c>
    </row>
    <row r="659" spans="2:5" x14ac:dyDescent="0.4">
      <c r="C659" s="11" t="s">
        <v>4</v>
      </c>
      <c r="E659" s="1">
        <v>705</v>
      </c>
    </row>
    <row r="660" spans="2:5" x14ac:dyDescent="0.4">
      <c r="C660" s="39" t="s">
        <v>533</v>
      </c>
      <c r="D660" s="10" t="s">
        <v>322</v>
      </c>
      <c r="E660" s="1">
        <v>705</v>
      </c>
    </row>
    <row r="661" spans="2:5" x14ac:dyDescent="0.4">
      <c r="B661" s="10" t="s">
        <v>636</v>
      </c>
      <c r="C661" s="10" t="s">
        <v>316</v>
      </c>
      <c r="E661" s="1">
        <v>558</v>
      </c>
    </row>
    <row r="662" spans="2:5" x14ac:dyDescent="0.4">
      <c r="C662" s="11" t="s">
        <v>3</v>
      </c>
      <c r="E662" s="1">
        <v>558</v>
      </c>
    </row>
    <row r="663" spans="2:5" x14ac:dyDescent="0.4">
      <c r="C663" s="39" t="s">
        <v>324</v>
      </c>
      <c r="D663" s="10" t="s">
        <v>322</v>
      </c>
      <c r="E663" s="1">
        <v>558</v>
      </c>
    </row>
    <row r="664" spans="2:5" x14ac:dyDescent="0.4">
      <c r="B664" s="10" t="s">
        <v>637</v>
      </c>
      <c r="C664" s="10" t="s">
        <v>316</v>
      </c>
      <c r="E664" s="1">
        <v>64.150000000000006</v>
      </c>
    </row>
    <row r="665" spans="2:5" x14ac:dyDescent="0.4">
      <c r="C665" s="11" t="s">
        <v>1</v>
      </c>
      <c r="E665" s="1">
        <v>64.150000000000006</v>
      </c>
    </row>
    <row r="666" spans="2:5" x14ac:dyDescent="0.4">
      <c r="C666" s="39" t="s">
        <v>392</v>
      </c>
      <c r="D666" s="10" t="s">
        <v>322</v>
      </c>
      <c r="E666" s="1">
        <v>64.150000000000006</v>
      </c>
    </row>
    <row r="667" spans="2:5" x14ac:dyDescent="0.4">
      <c r="B667" s="10" t="s">
        <v>638</v>
      </c>
      <c r="C667" s="10" t="s">
        <v>316</v>
      </c>
      <c r="E667" s="1">
        <v>200</v>
      </c>
    </row>
    <row r="668" spans="2:5" x14ac:dyDescent="0.4">
      <c r="C668" s="11" t="s">
        <v>3</v>
      </c>
      <c r="E668" s="1">
        <v>200</v>
      </c>
    </row>
    <row r="669" spans="2:5" x14ac:dyDescent="0.4">
      <c r="C669" s="39" t="s">
        <v>343</v>
      </c>
      <c r="D669" s="10" t="s">
        <v>329</v>
      </c>
      <c r="E669" s="1">
        <v>200</v>
      </c>
    </row>
    <row r="670" spans="2:5" x14ac:dyDescent="0.4">
      <c r="B670" s="10" t="s">
        <v>639</v>
      </c>
      <c r="C670" s="10" t="s">
        <v>316</v>
      </c>
      <c r="E670" s="1">
        <v>0</v>
      </c>
    </row>
    <row r="671" spans="2:5" x14ac:dyDescent="0.4">
      <c r="C671" s="11" t="s">
        <v>3</v>
      </c>
      <c r="E671" s="1">
        <v>0</v>
      </c>
    </row>
    <row r="672" spans="2:5" x14ac:dyDescent="0.4">
      <c r="C672" s="39" t="s">
        <v>343</v>
      </c>
      <c r="D672" s="10" t="s">
        <v>329</v>
      </c>
      <c r="E672" s="1">
        <v>0</v>
      </c>
    </row>
    <row r="673" spans="1:5" x14ac:dyDescent="0.4">
      <c r="B673" s="10" t="s">
        <v>640</v>
      </c>
      <c r="C673" s="10" t="s">
        <v>316</v>
      </c>
      <c r="E673" s="1">
        <v>2914</v>
      </c>
    </row>
    <row r="674" spans="1:5" x14ac:dyDescent="0.4">
      <c r="C674" s="11" t="s">
        <v>3</v>
      </c>
      <c r="E674" s="1">
        <v>1468</v>
      </c>
    </row>
    <row r="675" spans="1:5" x14ac:dyDescent="0.4">
      <c r="C675" s="39" t="s">
        <v>641</v>
      </c>
      <c r="D675" s="10" t="s">
        <v>322</v>
      </c>
      <c r="E675" s="1">
        <v>1468</v>
      </c>
    </row>
    <row r="676" spans="1:5" x14ac:dyDescent="0.4">
      <c r="C676" s="11" t="s">
        <v>5</v>
      </c>
      <c r="E676" s="1">
        <v>1446</v>
      </c>
    </row>
    <row r="677" spans="1:5" x14ac:dyDescent="0.4">
      <c r="C677" s="39" t="s">
        <v>359</v>
      </c>
      <c r="D677" s="10" t="s">
        <v>414</v>
      </c>
      <c r="E677" s="1">
        <v>1446</v>
      </c>
    </row>
    <row r="678" spans="1:5" x14ac:dyDescent="0.4">
      <c r="B678" s="10" t="s">
        <v>642</v>
      </c>
      <c r="C678" s="10" t="s">
        <v>316</v>
      </c>
      <c r="E678" s="1">
        <v>0</v>
      </c>
    </row>
    <row r="679" spans="1:5" x14ac:dyDescent="0.4">
      <c r="C679" s="11" t="s">
        <v>6</v>
      </c>
      <c r="E679" s="1">
        <v>0</v>
      </c>
    </row>
    <row r="680" spans="1:5" x14ac:dyDescent="0.4">
      <c r="C680" s="39" t="s">
        <v>415</v>
      </c>
      <c r="D680" s="10" t="s">
        <v>361</v>
      </c>
      <c r="E680" s="1">
        <v>0</v>
      </c>
    </row>
    <row r="681" spans="1:5" x14ac:dyDescent="0.4">
      <c r="A681" s="10" t="s">
        <v>643</v>
      </c>
      <c r="B681" s="10" t="s">
        <v>368</v>
      </c>
      <c r="C681" s="10" t="s">
        <v>316</v>
      </c>
      <c r="E681" s="1">
        <v>1048.56</v>
      </c>
    </row>
    <row r="682" spans="1:5" x14ac:dyDescent="0.4">
      <c r="C682" s="11" t="s">
        <v>1</v>
      </c>
      <c r="E682" s="1">
        <v>1048.56</v>
      </c>
    </row>
    <row r="683" spans="1:5" x14ac:dyDescent="0.4">
      <c r="C683" s="39" t="s">
        <v>582</v>
      </c>
      <c r="D683" s="10" t="s">
        <v>322</v>
      </c>
      <c r="E683" s="1">
        <v>1048.56</v>
      </c>
    </row>
    <row r="684" spans="1:5" x14ac:dyDescent="0.4">
      <c r="B684" s="10" t="s">
        <v>644</v>
      </c>
      <c r="C684" s="10" t="s">
        <v>316</v>
      </c>
      <c r="E684" s="1">
        <v>0</v>
      </c>
    </row>
    <row r="685" spans="1:5" x14ac:dyDescent="0.4">
      <c r="C685" s="11" t="s">
        <v>12</v>
      </c>
      <c r="E685" s="1">
        <v>0</v>
      </c>
    </row>
    <row r="686" spans="1:5" x14ac:dyDescent="0.4">
      <c r="C686" s="39" t="s">
        <v>398</v>
      </c>
      <c r="D686" s="10" t="s">
        <v>361</v>
      </c>
      <c r="E686" s="1">
        <v>0</v>
      </c>
    </row>
    <row r="687" spans="1:5" x14ac:dyDescent="0.4">
      <c r="B687" s="10" t="s">
        <v>577</v>
      </c>
      <c r="C687" s="10" t="s">
        <v>316</v>
      </c>
      <c r="E687" s="1">
        <v>0</v>
      </c>
    </row>
    <row r="688" spans="1:5" x14ac:dyDescent="0.4">
      <c r="C688" s="11" t="s">
        <v>3</v>
      </c>
      <c r="E688" s="1">
        <v>0</v>
      </c>
    </row>
    <row r="689" spans="1:5" x14ac:dyDescent="0.4">
      <c r="C689" s="39" t="s">
        <v>343</v>
      </c>
      <c r="D689" s="10" t="s">
        <v>395</v>
      </c>
      <c r="E689" s="1">
        <v>0</v>
      </c>
    </row>
    <row r="690" spans="1:5" x14ac:dyDescent="0.4">
      <c r="A690" s="10" t="s">
        <v>645</v>
      </c>
      <c r="B690" s="10" t="s">
        <v>646</v>
      </c>
      <c r="C690" s="10" t="s">
        <v>316</v>
      </c>
      <c r="E690" s="1">
        <v>1282.4000000000001</v>
      </c>
    </row>
    <row r="691" spans="1:5" x14ac:dyDescent="0.4">
      <c r="C691" s="11" t="s">
        <v>6</v>
      </c>
      <c r="E691" s="1">
        <v>1282.4000000000001</v>
      </c>
    </row>
    <row r="692" spans="1:5" x14ac:dyDescent="0.4">
      <c r="C692" s="39" t="s">
        <v>647</v>
      </c>
      <c r="D692" s="10" t="s">
        <v>539</v>
      </c>
      <c r="E692" s="1">
        <v>1282.4000000000001</v>
      </c>
    </row>
    <row r="693" spans="1:5" x14ac:dyDescent="0.4">
      <c r="B693" s="10" t="s">
        <v>648</v>
      </c>
      <c r="C693" s="10" t="s">
        <v>316</v>
      </c>
      <c r="E693" s="1">
        <v>1268.3599999999999</v>
      </c>
    </row>
    <row r="694" spans="1:5" x14ac:dyDescent="0.4">
      <c r="C694" s="11" t="s">
        <v>8</v>
      </c>
      <c r="E694" s="1">
        <v>1268.3599999999999</v>
      </c>
    </row>
    <row r="695" spans="1:5" x14ac:dyDescent="0.4">
      <c r="C695" s="39" t="s">
        <v>649</v>
      </c>
      <c r="D695" s="10" t="s">
        <v>539</v>
      </c>
      <c r="E695" s="1">
        <v>1268.3599999999999</v>
      </c>
    </row>
    <row r="696" spans="1:5" x14ac:dyDescent="0.4">
      <c r="B696" s="10" t="s">
        <v>441</v>
      </c>
      <c r="C696" s="10" t="s">
        <v>316</v>
      </c>
      <c r="E696" s="1">
        <v>5892</v>
      </c>
    </row>
    <row r="697" spans="1:5" x14ac:dyDescent="0.4">
      <c r="C697" s="11" t="s">
        <v>4</v>
      </c>
      <c r="E697" s="1">
        <v>5892</v>
      </c>
    </row>
    <row r="698" spans="1:5" x14ac:dyDescent="0.4">
      <c r="C698" s="39" t="s">
        <v>386</v>
      </c>
      <c r="D698" s="10" t="s">
        <v>322</v>
      </c>
      <c r="E698" s="1">
        <v>5892</v>
      </c>
    </row>
    <row r="699" spans="1:5" x14ac:dyDescent="0.4">
      <c r="B699" s="10" t="s">
        <v>650</v>
      </c>
      <c r="C699" s="10" t="s">
        <v>316</v>
      </c>
      <c r="E699" s="1">
        <v>1500</v>
      </c>
    </row>
    <row r="700" spans="1:5" x14ac:dyDescent="0.4">
      <c r="C700" s="11" t="s">
        <v>4</v>
      </c>
      <c r="E700" s="1">
        <v>1500</v>
      </c>
    </row>
    <row r="701" spans="1:5" x14ac:dyDescent="0.4">
      <c r="C701" s="39" t="s">
        <v>386</v>
      </c>
      <c r="D701" s="10" t="s">
        <v>322</v>
      </c>
      <c r="E701" s="1">
        <v>1500</v>
      </c>
    </row>
    <row r="702" spans="1:5" x14ac:dyDescent="0.4">
      <c r="B702" s="10" t="s">
        <v>651</v>
      </c>
      <c r="C702" s="10" t="s">
        <v>316</v>
      </c>
      <c r="E702" s="1">
        <v>500</v>
      </c>
    </row>
    <row r="703" spans="1:5" x14ac:dyDescent="0.4">
      <c r="C703" s="11" t="s">
        <v>4</v>
      </c>
      <c r="E703" s="1">
        <v>500</v>
      </c>
    </row>
    <row r="704" spans="1:5" x14ac:dyDescent="0.4">
      <c r="C704" s="39" t="s">
        <v>371</v>
      </c>
      <c r="D704" s="10" t="s">
        <v>322</v>
      </c>
      <c r="E704" s="1">
        <v>500</v>
      </c>
    </row>
    <row r="705" spans="1:5" x14ac:dyDescent="0.4">
      <c r="A705" s="10" t="s">
        <v>652</v>
      </c>
      <c r="B705" s="10" t="s">
        <v>652</v>
      </c>
      <c r="C705" s="10" t="s">
        <v>653</v>
      </c>
    </row>
    <row r="706" spans="1:5" x14ac:dyDescent="0.4">
      <c r="C706" s="11" t="s">
        <v>653</v>
      </c>
    </row>
    <row r="707" spans="1:5" x14ac:dyDescent="0.4">
      <c r="C707" s="39" t="s">
        <v>652</v>
      </c>
      <c r="D707" s="10" t="s">
        <v>652</v>
      </c>
    </row>
    <row r="708" spans="1:5" x14ac:dyDescent="0.4">
      <c r="A708" s="10" t="s">
        <v>654</v>
      </c>
      <c r="B708" s="10" t="s">
        <v>655</v>
      </c>
      <c r="C708" s="10" t="s">
        <v>316</v>
      </c>
      <c r="E708" s="1">
        <v>2436.98</v>
      </c>
    </row>
    <row r="709" spans="1:5" x14ac:dyDescent="0.4">
      <c r="C709" s="11" t="s">
        <v>3</v>
      </c>
      <c r="E709" s="1">
        <v>2436.98</v>
      </c>
    </row>
    <row r="710" spans="1:5" x14ac:dyDescent="0.4">
      <c r="C710" s="39" t="s">
        <v>656</v>
      </c>
      <c r="D710" s="10" t="s">
        <v>395</v>
      </c>
      <c r="E710" s="1">
        <v>2436.98</v>
      </c>
    </row>
    <row r="711" spans="1:5" x14ac:dyDescent="0.4">
      <c r="B711" s="10" t="s">
        <v>657</v>
      </c>
      <c r="C711" s="10" t="s">
        <v>316</v>
      </c>
      <c r="E711" s="1">
        <v>0</v>
      </c>
    </row>
    <row r="712" spans="1:5" x14ac:dyDescent="0.4">
      <c r="C712" s="11" t="s">
        <v>5</v>
      </c>
      <c r="E712" s="1">
        <v>0</v>
      </c>
    </row>
    <row r="713" spans="1:5" x14ac:dyDescent="0.4">
      <c r="C713" s="39" t="s">
        <v>409</v>
      </c>
      <c r="D713" s="10" t="s">
        <v>361</v>
      </c>
      <c r="E713" s="1">
        <v>0</v>
      </c>
    </row>
    <row r="714" spans="1:5" x14ac:dyDescent="0.4">
      <c r="B714" s="10" t="s">
        <v>658</v>
      </c>
      <c r="C714" s="10" t="s">
        <v>316</v>
      </c>
      <c r="E714" s="1">
        <v>0</v>
      </c>
    </row>
    <row r="715" spans="1:5" x14ac:dyDescent="0.4">
      <c r="C715" s="11" t="s">
        <v>5</v>
      </c>
      <c r="E715" s="1">
        <v>0</v>
      </c>
    </row>
    <row r="716" spans="1:5" x14ac:dyDescent="0.4">
      <c r="C716" s="39" t="s">
        <v>359</v>
      </c>
      <c r="D716" s="10" t="s">
        <v>361</v>
      </c>
      <c r="E716" s="1">
        <v>0</v>
      </c>
    </row>
    <row r="717" spans="1:5" x14ac:dyDescent="0.4">
      <c r="A717" s="10" t="s">
        <v>659</v>
      </c>
      <c r="B717" s="10" t="s">
        <v>394</v>
      </c>
      <c r="C717" s="10" t="s">
        <v>316</v>
      </c>
      <c r="E717" s="1">
        <v>2000</v>
      </c>
    </row>
    <row r="718" spans="1:5" x14ac:dyDescent="0.4">
      <c r="C718" s="11" t="s">
        <v>7</v>
      </c>
      <c r="E718" s="1">
        <v>2000</v>
      </c>
    </row>
    <row r="719" spans="1:5" x14ac:dyDescent="0.4">
      <c r="C719" s="39" t="s">
        <v>413</v>
      </c>
      <c r="D719" s="10" t="s">
        <v>414</v>
      </c>
      <c r="E719" s="1">
        <v>2000</v>
      </c>
    </row>
    <row r="720" spans="1:5" x14ac:dyDescent="0.4">
      <c r="B720" s="10" t="s">
        <v>320</v>
      </c>
      <c r="C720" s="10" t="s">
        <v>316</v>
      </c>
      <c r="E720" s="1">
        <v>400</v>
      </c>
    </row>
    <row r="721" spans="1:5" x14ac:dyDescent="0.4">
      <c r="C721" s="11" t="s">
        <v>1</v>
      </c>
      <c r="E721" s="1">
        <v>400</v>
      </c>
    </row>
    <row r="722" spans="1:5" x14ac:dyDescent="0.4">
      <c r="C722" s="39" t="s">
        <v>660</v>
      </c>
      <c r="D722" s="10" t="s">
        <v>322</v>
      </c>
      <c r="E722" s="1">
        <v>400</v>
      </c>
    </row>
    <row r="723" spans="1:5" x14ac:dyDescent="0.4">
      <c r="B723" s="10" t="s">
        <v>661</v>
      </c>
      <c r="C723" s="10" t="s">
        <v>316</v>
      </c>
      <c r="E723" s="1">
        <v>0</v>
      </c>
    </row>
    <row r="724" spans="1:5" x14ac:dyDescent="0.4">
      <c r="C724" s="11" t="s">
        <v>3</v>
      </c>
      <c r="E724" s="1">
        <v>0</v>
      </c>
    </row>
    <row r="725" spans="1:5" x14ac:dyDescent="0.4">
      <c r="C725" s="39" t="s">
        <v>343</v>
      </c>
      <c r="D725" s="10" t="s">
        <v>329</v>
      </c>
      <c r="E725" s="1">
        <v>0</v>
      </c>
    </row>
    <row r="726" spans="1:5" x14ac:dyDescent="0.4">
      <c r="B726" s="10" t="s">
        <v>662</v>
      </c>
      <c r="C726" s="10" t="s">
        <v>316</v>
      </c>
      <c r="E726" s="1">
        <v>4243.6000000000004</v>
      </c>
    </row>
    <row r="727" spans="1:5" x14ac:dyDescent="0.4">
      <c r="C727" s="11" t="s">
        <v>3</v>
      </c>
      <c r="E727" s="1">
        <v>4243.6000000000004</v>
      </c>
    </row>
    <row r="728" spans="1:5" x14ac:dyDescent="0.4">
      <c r="C728" s="39" t="s">
        <v>343</v>
      </c>
      <c r="D728" s="10" t="s">
        <v>322</v>
      </c>
      <c r="E728" s="1">
        <v>4243.6000000000004</v>
      </c>
    </row>
    <row r="729" spans="1:5" x14ac:dyDescent="0.4">
      <c r="A729" s="10" t="s">
        <v>663</v>
      </c>
      <c r="B729" s="10" t="s">
        <v>664</v>
      </c>
      <c r="C729" s="10" t="s">
        <v>316</v>
      </c>
      <c r="E729" s="1">
        <v>0</v>
      </c>
    </row>
    <row r="730" spans="1:5" x14ac:dyDescent="0.4">
      <c r="C730" s="11" t="s">
        <v>1</v>
      </c>
      <c r="E730" s="1">
        <v>0</v>
      </c>
    </row>
    <row r="731" spans="1:5" x14ac:dyDescent="0.4">
      <c r="C731" s="39" t="s">
        <v>373</v>
      </c>
      <c r="D731" s="10" t="s">
        <v>329</v>
      </c>
      <c r="E731" s="1">
        <v>0</v>
      </c>
    </row>
    <row r="732" spans="1:5" x14ac:dyDescent="0.4">
      <c r="A732" s="10" t="s">
        <v>665</v>
      </c>
      <c r="B732" s="10" t="s">
        <v>368</v>
      </c>
      <c r="C732" s="10" t="s">
        <v>316</v>
      </c>
      <c r="E732" s="1">
        <v>3600</v>
      </c>
    </row>
    <row r="733" spans="1:5" x14ac:dyDescent="0.4">
      <c r="C733" s="11" t="s">
        <v>7</v>
      </c>
      <c r="E733" s="1">
        <v>3600</v>
      </c>
    </row>
    <row r="734" spans="1:5" x14ac:dyDescent="0.4">
      <c r="C734" s="39" t="s">
        <v>440</v>
      </c>
      <c r="D734" s="10" t="s">
        <v>318</v>
      </c>
      <c r="E734" s="1">
        <v>3600</v>
      </c>
    </row>
    <row r="735" spans="1:5" x14ac:dyDescent="0.4">
      <c r="B735" s="10" t="s">
        <v>666</v>
      </c>
      <c r="C735" s="10" t="s">
        <v>316</v>
      </c>
      <c r="E735" s="1">
        <v>155</v>
      </c>
    </row>
    <row r="736" spans="1:5" x14ac:dyDescent="0.4">
      <c r="C736" s="11" t="s">
        <v>2</v>
      </c>
      <c r="E736" s="1">
        <v>155</v>
      </c>
    </row>
    <row r="737" spans="1:5" x14ac:dyDescent="0.4">
      <c r="C737" s="39" t="s">
        <v>418</v>
      </c>
      <c r="D737" s="10" t="s">
        <v>322</v>
      </c>
      <c r="E737" s="1">
        <v>155</v>
      </c>
    </row>
    <row r="738" spans="1:5" x14ac:dyDescent="0.4">
      <c r="B738" s="10" t="s">
        <v>667</v>
      </c>
      <c r="C738" s="10" t="s">
        <v>316</v>
      </c>
      <c r="E738" s="1">
        <v>310</v>
      </c>
    </row>
    <row r="739" spans="1:5" x14ac:dyDescent="0.4">
      <c r="C739" s="11" t="s">
        <v>2</v>
      </c>
      <c r="E739" s="1">
        <v>310</v>
      </c>
    </row>
    <row r="740" spans="1:5" x14ac:dyDescent="0.4">
      <c r="C740" s="39" t="s">
        <v>328</v>
      </c>
      <c r="D740" s="10" t="s">
        <v>322</v>
      </c>
      <c r="E740" s="1">
        <v>310</v>
      </c>
    </row>
    <row r="741" spans="1:5" x14ac:dyDescent="0.4">
      <c r="A741" s="10" t="s">
        <v>668</v>
      </c>
      <c r="B741" s="10" t="s">
        <v>669</v>
      </c>
      <c r="C741" s="10" t="s">
        <v>316</v>
      </c>
      <c r="E741" s="1">
        <v>22534.63</v>
      </c>
    </row>
    <row r="742" spans="1:5" x14ac:dyDescent="0.4">
      <c r="C742" s="11" t="s">
        <v>369</v>
      </c>
      <c r="E742" s="1">
        <v>22534.63</v>
      </c>
    </row>
    <row r="743" spans="1:5" x14ac:dyDescent="0.4">
      <c r="C743" s="39" t="s">
        <v>597</v>
      </c>
      <c r="D743" s="10" t="s">
        <v>395</v>
      </c>
      <c r="E743" s="1">
        <v>22534.63</v>
      </c>
    </row>
    <row r="744" spans="1:5" x14ac:dyDescent="0.4">
      <c r="B744" s="10" t="s">
        <v>390</v>
      </c>
      <c r="C744" s="10" t="s">
        <v>316</v>
      </c>
      <c r="E744" s="1">
        <v>2154.85</v>
      </c>
    </row>
    <row r="745" spans="1:5" x14ac:dyDescent="0.4">
      <c r="C745" s="11" t="s">
        <v>3</v>
      </c>
      <c r="E745" s="1">
        <v>2154.85</v>
      </c>
    </row>
    <row r="746" spans="1:5" x14ac:dyDescent="0.4">
      <c r="C746" s="39" t="s">
        <v>529</v>
      </c>
      <c r="D746" s="10" t="s">
        <v>322</v>
      </c>
      <c r="E746" s="1">
        <v>2154.85</v>
      </c>
    </row>
    <row r="747" spans="1:5" x14ac:dyDescent="0.4">
      <c r="B747" s="10" t="s">
        <v>670</v>
      </c>
      <c r="C747" s="10" t="s">
        <v>316</v>
      </c>
      <c r="E747" s="1">
        <v>51.99</v>
      </c>
    </row>
    <row r="748" spans="1:5" x14ac:dyDescent="0.4">
      <c r="C748" s="11" t="s">
        <v>4</v>
      </c>
      <c r="E748" s="1">
        <v>51.99</v>
      </c>
    </row>
    <row r="749" spans="1:5" x14ac:dyDescent="0.4">
      <c r="C749" s="39" t="s">
        <v>533</v>
      </c>
      <c r="D749" s="10" t="s">
        <v>322</v>
      </c>
      <c r="E749" s="1">
        <v>51.99</v>
      </c>
    </row>
    <row r="750" spans="1:5" x14ac:dyDescent="0.4">
      <c r="B750" s="10" t="s">
        <v>671</v>
      </c>
      <c r="C750" s="10" t="s">
        <v>316</v>
      </c>
      <c r="E750" s="1">
        <v>6225.2</v>
      </c>
    </row>
    <row r="751" spans="1:5" x14ac:dyDescent="0.4">
      <c r="C751" s="11" t="s">
        <v>4</v>
      </c>
      <c r="E751" s="1">
        <v>6225.2</v>
      </c>
    </row>
    <row r="752" spans="1:5" x14ac:dyDescent="0.4">
      <c r="C752" s="39" t="s">
        <v>672</v>
      </c>
      <c r="D752" s="10" t="s">
        <v>322</v>
      </c>
      <c r="E752" s="1">
        <v>6225.2</v>
      </c>
    </row>
    <row r="753" spans="1:5" x14ac:dyDescent="0.4">
      <c r="A753" s="10" t="s">
        <v>673</v>
      </c>
      <c r="B753" s="10" t="s">
        <v>674</v>
      </c>
      <c r="C753" s="10" t="s">
        <v>316</v>
      </c>
      <c r="E753" s="1">
        <v>10506</v>
      </c>
    </row>
    <row r="754" spans="1:5" x14ac:dyDescent="0.4">
      <c r="C754" s="11" t="s">
        <v>5</v>
      </c>
      <c r="E754" s="1">
        <v>10506</v>
      </c>
    </row>
    <row r="755" spans="1:5" x14ac:dyDescent="0.4">
      <c r="C755" s="39" t="s">
        <v>359</v>
      </c>
      <c r="D755" s="10" t="s">
        <v>361</v>
      </c>
      <c r="E755" s="1">
        <v>10506</v>
      </c>
    </row>
    <row r="756" spans="1:5" x14ac:dyDescent="0.4">
      <c r="B756" s="10" t="s">
        <v>675</v>
      </c>
      <c r="C756" s="10" t="s">
        <v>316</v>
      </c>
      <c r="E756" s="1">
        <v>12108</v>
      </c>
    </row>
    <row r="757" spans="1:5" x14ac:dyDescent="0.4">
      <c r="C757" s="11" t="s">
        <v>5</v>
      </c>
      <c r="E757" s="1">
        <v>12108</v>
      </c>
    </row>
    <row r="758" spans="1:5" x14ac:dyDescent="0.4">
      <c r="C758" s="39" t="s">
        <v>359</v>
      </c>
      <c r="D758" s="10" t="s">
        <v>395</v>
      </c>
      <c r="E758" s="1">
        <v>12108</v>
      </c>
    </row>
    <row r="759" spans="1:5" x14ac:dyDescent="0.4">
      <c r="A759" s="10" t="s">
        <v>676</v>
      </c>
      <c r="B759" s="10" t="s">
        <v>677</v>
      </c>
      <c r="C759" s="10" t="s">
        <v>316</v>
      </c>
      <c r="E759" s="1">
        <v>0</v>
      </c>
    </row>
    <row r="760" spans="1:5" x14ac:dyDescent="0.4">
      <c r="C760" s="11" t="s">
        <v>2</v>
      </c>
      <c r="E760" s="1">
        <v>0</v>
      </c>
    </row>
    <row r="761" spans="1:5" x14ac:dyDescent="0.4">
      <c r="C761" s="39" t="s">
        <v>465</v>
      </c>
      <c r="D761" s="10" t="s">
        <v>329</v>
      </c>
      <c r="E761" s="1">
        <v>0</v>
      </c>
    </row>
    <row r="762" spans="1:5" x14ac:dyDescent="0.4">
      <c r="B762" s="10" t="s">
        <v>678</v>
      </c>
      <c r="C762" s="10" t="s">
        <v>316</v>
      </c>
      <c r="E762" s="1">
        <v>481.56</v>
      </c>
    </row>
    <row r="763" spans="1:5" x14ac:dyDescent="0.4">
      <c r="C763" s="11" t="s">
        <v>4</v>
      </c>
      <c r="E763" s="1">
        <v>481.56</v>
      </c>
    </row>
    <row r="764" spans="1:5" x14ac:dyDescent="0.4">
      <c r="C764" s="39" t="s">
        <v>592</v>
      </c>
      <c r="D764" s="10" t="s">
        <v>322</v>
      </c>
      <c r="E764" s="1">
        <v>481.56</v>
      </c>
    </row>
    <row r="765" spans="1:5" x14ac:dyDescent="0.4">
      <c r="B765" s="10" t="s">
        <v>679</v>
      </c>
      <c r="C765" s="10" t="s">
        <v>316</v>
      </c>
      <c r="E765" s="1">
        <v>0</v>
      </c>
    </row>
    <row r="766" spans="1:5" x14ac:dyDescent="0.4">
      <c r="C766" s="11" t="s">
        <v>5</v>
      </c>
      <c r="E766" s="1">
        <v>0</v>
      </c>
    </row>
    <row r="767" spans="1:5" x14ac:dyDescent="0.4">
      <c r="C767" s="39" t="s">
        <v>359</v>
      </c>
      <c r="D767" s="10" t="s">
        <v>361</v>
      </c>
      <c r="E767" s="1">
        <v>0</v>
      </c>
    </row>
    <row r="768" spans="1:5" x14ac:dyDescent="0.4">
      <c r="B768" s="10" t="s">
        <v>680</v>
      </c>
      <c r="C768" s="10" t="s">
        <v>316</v>
      </c>
      <c r="E768" s="1">
        <v>620</v>
      </c>
    </row>
    <row r="769" spans="1:5" x14ac:dyDescent="0.4">
      <c r="C769" s="11" t="s">
        <v>4</v>
      </c>
      <c r="E769" s="1">
        <v>620</v>
      </c>
    </row>
    <row r="770" spans="1:5" x14ac:dyDescent="0.4">
      <c r="C770" s="39" t="s">
        <v>425</v>
      </c>
      <c r="D770" s="10" t="s">
        <v>322</v>
      </c>
      <c r="E770" s="1">
        <v>620</v>
      </c>
    </row>
    <row r="771" spans="1:5" x14ac:dyDescent="0.4">
      <c r="A771" s="10" t="s">
        <v>681</v>
      </c>
      <c r="B771" s="10" t="s">
        <v>315</v>
      </c>
      <c r="C771" s="10" t="s">
        <v>316</v>
      </c>
      <c r="E771" s="1">
        <v>9170</v>
      </c>
    </row>
    <row r="772" spans="1:5" x14ac:dyDescent="0.4">
      <c r="C772" s="11" t="s">
        <v>8</v>
      </c>
      <c r="E772" s="1">
        <v>9170</v>
      </c>
    </row>
    <row r="773" spans="1:5" x14ac:dyDescent="0.4">
      <c r="C773" s="39" t="s">
        <v>317</v>
      </c>
      <c r="D773" s="10" t="s">
        <v>539</v>
      </c>
      <c r="E773" s="1">
        <v>9170</v>
      </c>
    </row>
    <row r="774" spans="1:5" x14ac:dyDescent="0.4">
      <c r="B774" s="10" t="s">
        <v>682</v>
      </c>
      <c r="C774" s="10" t="s">
        <v>316</v>
      </c>
      <c r="E774" s="1">
        <v>4650</v>
      </c>
    </row>
    <row r="775" spans="1:5" x14ac:dyDescent="0.4">
      <c r="C775" s="11" t="s">
        <v>3</v>
      </c>
      <c r="E775" s="1">
        <v>4650</v>
      </c>
    </row>
    <row r="776" spans="1:5" x14ac:dyDescent="0.4">
      <c r="C776" s="39" t="s">
        <v>343</v>
      </c>
      <c r="D776" s="10" t="s">
        <v>322</v>
      </c>
      <c r="E776" s="1">
        <v>4650</v>
      </c>
    </row>
    <row r="777" spans="1:5" x14ac:dyDescent="0.4">
      <c r="B777" s="10" t="s">
        <v>578</v>
      </c>
      <c r="C777" s="10" t="s">
        <v>316</v>
      </c>
      <c r="E777" s="1">
        <v>350</v>
      </c>
    </row>
    <row r="778" spans="1:5" x14ac:dyDescent="0.4">
      <c r="C778" s="11" t="s">
        <v>5</v>
      </c>
      <c r="E778" s="1">
        <v>350</v>
      </c>
    </row>
    <row r="779" spans="1:5" x14ac:dyDescent="0.4">
      <c r="C779" s="39" t="s">
        <v>359</v>
      </c>
      <c r="D779" s="10" t="s">
        <v>361</v>
      </c>
      <c r="E779" s="1">
        <v>350</v>
      </c>
    </row>
    <row r="780" spans="1:5" x14ac:dyDescent="0.4">
      <c r="B780" s="10" t="s">
        <v>683</v>
      </c>
      <c r="C780" s="10" t="s">
        <v>316</v>
      </c>
      <c r="E780" s="1">
        <v>5</v>
      </c>
    </row>
    <row r="781" spans="1:5" x14ac:dyDescent="0.4">
      <c r="C781" s="11" t="s">
        <v>1</v>
      </c>
      <c r="E781" s="1">
        <v>5</v>
      </c>
    </row>
    <row r="782" spans="1:5" x14ac:dyDescent="0.4">
      <c r="C782" s="39" t="s">
        <v>392</v>
      </c>
      <c r="D782" s="10" t="s">
        <v>329</v>
      </c>
      <c r="E782" s="1">
        <v>5</v>
      </c>
    </row>
    <row r="783" spans="1:5" x14ac:dyDescent="0.4">
      <c r="B783" s="10" t="s">
        <v>684</v>
      </c>
      <c r="C783" s="10" t="s">
        <v>316</v>
      </c>
      <c r="E783" s="1">
        <v>1107.4100000000001</v>
      </c>
    </row>
    <row r="784" spans="1:5" x14ac:dyDescent="0.4">
      <c r="C784" s="11" t="s">
        <v>1</v>
      </c>
      <c r="E784" s="1">
        <v>1107.4100000000001</v>
      </c>
    </row>
    <row r="785" spans="2:5" x14ac:dyDescent="0.4">
      <c r="C785" s="39" t="s">
        <v>685</v>
      </c>
      <c r="D785" s="10" t="s">
        <v>322</v>
      </c>
      <c r="E785" s="1">
        <v>1107.4100000000001</v>
      </c>
    </row>
    <row r="786" spans="2:5" x14ac:dyDescent="0.4">
      <c r="B786" s="10" t="s">
        <v>686</v>
      </c>
      <c r="C786" s="10" t="s">
        <v>316</v>
      </c>
      <c r="E786" s="1">
        <v>875</v>
      </c>
    </row>
    <row r="787" spans="2:5" x14ac:dyDescent="0.4">
      <c r="C787" s="11" t="s">
        <v>2</v>
      </c>
      <c r="E787" s="1">
        <v>875</v>
      </c>
    </row>
    <row r="788" spans="2:5" x14ac:dyDescent="0.4">
      <c r="C788" s="39" t="s">
        <v>687</v>
      </c>
      <c r="D788" s="10" t="s">
        <v>322</v>
      </c>
      <c r="E788" s="1">
        <v>875</v>
      </c>
    </row>
    <row r="789" spans="2:5" x14ac:dyDescent="0.4">
      <c r="B789" s="10" t="s">
        <v>510</v>
      </c>
      <c r="C789" s="10" t="s">
        <v>316</v>
      </c>
      <c r="E789" s="1">
        <v>39.979999999999997</v>
      </c>
    </row>
    <row r="790" spans="2:5" x14ac:dyDescent="0.4">
      <c r="C790" s="11" t="s">
        <v>3</v>
      </c>
      <c r="E790" s="1">
        <v>39.979999999999997</v>
      </c>
    </row>
    <row r="791" spans="2:5" x14ac:dyDescent="0.4">
      <c r="C791" s="39" t="s">
        <v>641</v>
      </c>
      <c r="D791" s="10" t="s">
        <v>322</v>
      </c>
      <c r="E791" s="1">
        <v>39.979999999999997</v>
      </c>
    </row>
    <row r="792" spans="2:5" x14ac:dyDescent="0.4">
      <c r="B792" s="10" t="s">
        <v>688</v>
      </c>
      <c r="C792" s="10" t="s">
        <v>316</v>
      </c>
      <c r="E792" s="1">
        <v>725</v>
      </c>
    </row>
    <row r="793" spans="2:5" x14ac:dyDescent="0.4">
      <c r="C793" s="11" t="s">
        <v>3</v>
      </c>
      <c r="E793" s="1">
        <v>725</v>
      </c>
    </row>
    <row r="794" spans="2:5" x14ac:dyDescent="0.4">
      <c r="C794" s="39" t="s">
        <v>616</v>
      </c>
      <c r="D794" s="10" t="s">
        <v>322</v>
      </c>
      <c r="E794" s="1">
        <v>725</v>
      </c>
    </row>
    <row r="795" spans="2:5" x14ac:dyDescent="0.4">
      <c r="B795" s="10" t="s">
        <v>689</v>
      </c>
      <c r="C795" s="10" t="s">
        <v>316</v>
      </c>
      <c r="E795" s="1">
        <v>1275</v>
      </c>
    </row>
    <row r="796" spans="2:5" x14ac:dyDescent="0.4">
      <c r="C796" s="11" t="s">
        <v>4</v>
      </c>
      <c r="E796" s="1">
        <v>1275</v>
      </c>
    </row>
    <row r="797" spans="2:5" x14ac:dyDescent="0.4">
      <c r="C797" s="39" t="s">
        <v>386</v>
      </c>
      <c r="D797" s="10" t="s">
        <v>329</v>
      </c>
      <c r="E797" s="1">
        <v>1275</v>
      </c>
    </row>
    <row r="798" spans="2:5" x14ac:dyDescent="0.4">
      <c r="B798" s="10" t="s">
        <v>690</v>
      </c>
      <c r="C798" s="10" t="s">
        <v>316</v>
      </c>
      <c r="E798" s="1">
        <v>15.45</v>
      </c>
    </row>
    <row r="799" spans="2:5" x14ac:dyDescent="0.4">
      <c r="C799" s="11" t="s">
        <v>4</v>
      </c>
      <c r="E799" s="1">
        <v>15.45</v>
      </c>
    </row>
    <row r="800" spans="2:5" x14ac:dyDescent="0.4">
      <c r="C800" s="39" t="s">
        <v>389</v>
      </c>
      <c r="D800" s="10" t="s">
        <v>322</v>
      </c>
      <c r="E800" s="1">
        <v>15.45</v>
      </c>
    </row>
    <row r="801" spans="1:5" x14ac:dyDescent="0.4">
      <c r="A801" s="10" t="s">
        <v>691</v>
      </c>
      <c r="B801" s="10" t="s">
        <v>692</v>
      </c>
      <c r="C801" s="10" t="s">
        <v>316</v>
      </c>
      <c r="E801" s="1">
        <v>10000</v>
      </c>
    </row>
    <row r="802" spans="1:5" x14ac:dyDescent="0.4">
      <c r="C802" s="11" t="s">
        <v>12</v>
      </c>
      <c r="E802" s="1">
        <v>10000</v>
      </c>
    </row>
    <row r="803" spans="1:5" x14ac:dyDescent="0.4">
      <c r="C803" s="39" t="s">
        <v>398</v>
      </c>
      <c r="D803" s="10" t="s">
        <v>414</v>
      </c>
      <c r="E803" s="1">
        <v>10000</v>
      </c>
    </row>
    <row r="804" spans="1:5" x14ac:dyDescent="0.4">
      <c r="B804" s="10" t="s">
        <v>693</v>
      </c>
      <c r="C804" s="10" t="s">
        <v>316</v>
      </c>
      <c r="E804" s="1">
        <v>375</v>
      </c>
    </row>
    <row r="805" spans="1:5" x14ac:dyDescent="0.4">
      <c r="C805" s="11" t="s">
        <v>1</v>
      </c>
      <c r="E805" s="1">
        <v>375</v>
      </c>
    </row>
    <row r="806" spans="1:5" x14ac:dyDescent="0.4">
      <c r="C806" s="39" t="s">
        <v>373</v>
      </c>
      <c r="D806" s="10" t="s">
        <v>322</v>
      </c>
      <c r="E806" s="1">
        <v>375</v>
      </c>
    </row>
    <row r="807" spans="1:5" x14ac:dyDescent="0.4">
      <c r="A807" s="10" t="s">
        <v>694</v>
      </c>
      <c r="B807" s="10" t="s">
        <v>368</v>
      </c>
      <c r="C807" s="10" t="s">
        <v>316</v>
      </c>
      <c r="E807" s="1">
        <v>3220</v>
      </c>
    </row>
    <row r="808" spans="1:5" x14ac:dyDescent="0.4">
      <c r="C808" s="11" t="s">
        <v>5</v>
      </c>
      <c r="E808" s="1">
        <v>3220</v>
      </c>
    </row>
    <row r="809" spans="1:5" x14ac:dyDescent="0.4">
      <c r="C809" s="39" t="s">
        <v>695</v>
      </c>
      <c r="D809" s="10" t="s">
        <v>318</v>
      </c>
      <c r="E809" s="1">
        <v>3220</v>
      </c>
    </row>
    <row r="810" spans="1:5" x14ac:dyDescent="0.4">
      <c r="B810" s="10" t="s">
        <v>434</v>
      </c>
      <c r="C810" s="10" t="s">
        <v>316</v>
      </c>
      <c r="E810" s="1">
        <v>62.5</v>
      </c>
    </row>
    <row r="811" spans="1:5" x14ac:dyDescent="0.4">
      <c r="C811" s="11" t="s">
        <v>5</v>
      </c>
      <c r="E811" s="1">
        <v>62.5</v>
      </c>
    </row>
    <row r="812" spans="1:5" x14ac:dyDescent="0.4">
      <c r="C812" s="39" t="s">
        <v>359</v>
      </c>
      <c r="D812" s="10" t="s">
        <v>401</v>
      </c>
      <c r="E812" s="1">
        <v>62.5</v>
      </c>
    </row>
    <row r="813" spans="1:5" x14ac:dyDescent="0.4">
      <c r="B813" s="10" t="s">
        <v>696</v>
      </c>
      <c r="C813" s="10" t="s">
        <v>316</v>
      </c>
      <c r="E813" s="1">
        <v>0</v>
      </c>
    </row>
    <row r="814" spans="1:5" x14ac:dyDescent="0.4">
      <c r="C814" s="11" t="s">
        <v>2</v>
      </c>
      <c r="E814" s="1">
        <v>0</v>
      </c>
    </row>
    <row r="815" spans="1:5" x14ac:dyDescent="0.4">
      <c r="C815" s="39" t="s">
        <v>328</v>
      </c>
      <c r="D815" s="10" t="s">
        <v>329</v>
      </c>
      <c r="E815" s="1">
        <v>0</v>
      </c>
    </row>
    <row r="816" spans="1:5" x14ac:dyDescent="0.4">
      <c r="B816" s="10" t="s">
        <v>697</v>
      </c>
      <c r="C816" s="10" t="s">
        <v>316</v>
      </c>
      <c r="E816" s="1">
        <v>14621.02</v>
      </c>
    </row>
    <row r="817" spans="1:5" x14ac:dyDescent="0.4">
      <c r="C817" s="11" t="s">
        <v>4</v>
      </c>
      <c r="E817" s="1">
        <v>14621.02</v>
      </c>
    </row>
    <row r="818" spans="1:5" x14ac:dyDescent="0.4">
      <c r="C818" s="39" t="s">
        <v>386</v>
      </c>
      <c r="D818" s="10" t="s">
        <v>322</v>
      </c>
      <c r="E818" s="1">
        <v>14621.02</v>
      </c>
    </row>
    <row r="819" spans="1:5" x14ac:dyDescent="0.4">
      <c r="A819" s="10" t="s">
        <v>698</v>
      </c>
      <c r="B819" s="10" t="s">
        <v>434</v>
      </c>
      <c r="C819" s="10" t="s">
        <v>316</v>
      </c>
      <c r="E819" s="1">
        <v>189</v>
      </c>
    </row>
    <row r="820" spans="1:5" x14ac:dyDescent="0.4">
      <c r="C820" s="11" t="s">
        <v>2</v>
      </c>
      <c r="E820" s="1">
        <v>189</v>
      </c>
    </row>
    <row r="821" spans="1:5" x14ac:dyDescent="0.4">
      <c r="C821" s="39" t="s">
        <v>328</v>
      </c>
      <c r="D821" s="10" t="s">
        <v>361</v>
      </c>
      <c r="E821" s="1">
        <v>189</v>
      </c>
    </row>
    <row r="822" spans="1:5" x14ac:dyDescent="0.4">
      <c r="B822" s="10" t="s">
        <v>699</v>
      </c>
      <c r="C822" s="10" t="s">
        <v>316</v>
      </c>
      <c r="E822" s="1">
        <v>167.76</v>
      </c>
    </row>
    <row r="823" spans="1:5" x14ac:dyDescent="0.4">
      <c r="C823" s="11" t="s">
        <v>3</v>
      </c>
      <c r="E823" s="1">
        <v>167.76</v>
      </c>
    </row>
    <row r="824" spans="1:5" x14ac:dyDescent="0.4">
      <c r="C824" s="39" t="s">
        <v>700</v>
      </c>
      <c r="D824" s="10" t="s">
        <v>322</v>
      </c>
      <c r="E824" s="1">
        <v>167.76</v>
      </c>
    </row>
    <row r="825" spans="1:5" x14ac:dyDescent="0.4">
      <c r="A825" s="10" t="s">
        <v>701</v>
      </c>
      <c r="B825" s="10" t="s">
        <v>602</v>
      </c>
      <c r="C825" s="10" t="s">
        <v>316</v>
      </c>
      <c r="E825" s="1">
        <v>1399.25</v>
      </c>
    </row>
    <row r="826" spans="1:5" x14ac:dyDescent="0.4">
      <c r="C826" s="11" t="s">
        <v>1</v>
      </c>
      <c r="E826" s="1">
        <v>1399.25</v>
      </c>
    </row>
    <row r="827" spans="1:5" x14ac:dyDescent="0.4">
      <c r="C827" s="39" t="s">
        <v>454</v>
      </c>
      <c r="D827" s="10" t="s">
        <v>322</v>
      </c>
      <c r="E827" s="1">
        <v>1399.25</v>
      </c>
    </row>
    <row r="828" spans="1:5" x14ac:dyDescent="0.4">
      <c r="A828" s="10" t="s">
        <v>702</v>
      </c>
      <c r="B828" s="10" t="s">
        <v>703</v>
      </c>
      <c r="C828" s="10" t="s">
        <v>316</v>
      </c>
      <c r="E828" s="1">
        <v>4680</v>
      </c>
    </row>
    <row r="829" spans="1:5" x14ac:dyDescent="0.4">
      <c r="C829" s="11" t="s">
        <v>3</v>
      </c>
      <c r="E829" s="1">
        <v>4680</v>
      </c>
    </row>
    <row r="830" spans="1:5" x14ac:dyDescent="0.4">
      <c r="C830" s="39" t="s">
        <v>343</v>
      </c>
      <c r="D830" s="10" t="s">
        <v>322</v>
      </c>
      <c r="E830" s="1">
        <v>4680</v>
      </c>
    </row>
    <row r="831" spans="1:5" x14ac:dyDescent="0.4">
      <c r="B831" s="10" t="s">
        <v>704</v>
      </c>
      <c r="C831" s="10" t="s">
        <v>316</v>
      </c>
      <c r="E831" s="1">
        <v>460</v>
      </c>
    </row>
    <row r="832" spans="1:5" x14ac:dyDescent="0.4">
      <c r="C832" s="11" t="s">
        <v>3</v>
      </c>
      <c r="E832" s="1">
        <v>460</v>
      </c>
    </row>
    <row r="833" spans="1:5" x14ac:dyDescent="0.4">
      <c r="C833" s="39" t="s">
        <v>656</v>
      </c>
      <c r="D833" s="10" t="s">
        <v>322</v>
      </c>
      <c r="E833" s="1">
        <v>460</v>
      </c>
    </row>
    <row r="834" spans="1:5" x14ac:dyDescent="0.4">
      <c r="B834" s="10" t="s">
        <v>705</v>
      </c>
      <c r="C834" s="10" t="s">
        <v>316</v>
      </c>
      <c r="E834" s="1">
        <v>1362.98</v>
      </c>
    </row>
    <row r="835" spans="1:5" x14ac:dyDescent="0.4">
      <c r="C835" s="11" t="s">
        <v>3</v>
      </c>
      <c r="E835" s="1">
        <v>1362.98</v>
      </c>
    </row>
    <row r="836" spans="1:5" x14ac:dyDescent="0.4">
      <c r="C836" s="39" t="s">
        <v>641</v>
      </c>
      <c r="D836" s="10" t="s">
        <v>322</v>
      </c>
      <c r="E836" s="1">
        <v>1362.98</v>
      </c>
    </row>
    <row r="837" spans="1:5" x14ac:dyDescent="0.4">
      <c r="A837" s="10" t="s">
        <v>706</v>
      </c>
      <c r="B837" s="10" t="s">
        <v>707</v>
      </c>
      <c r="C837" s="10" t="s">
        <v>316</v>
      </c>
      <c r="E837" s="1">
        <v>1000</v>
      </c>
    </row>
    <row r="838" spans="1:5" x14ac:dyDescent="0.4">
      <c r="C838" s="11" t="s">
        <v>4</v>
      </c>
      <c r="E838" s="1">
        <v>1000</v>
      </c>
    </row>
    <row r="839" spans="1:5" x14ac:dyDescent="0.4">
      <c r="C839" s="39" t="s">
        <v>386</v>
      </c>
      <c r="D839" s="10" t="s">
        <v>414</v>
      </c>
      <c r="E839" s="1">
        <v>1000</v>
      </c>
    </row>
    <row r="840" spans="1:5" x14ac:dyDescent="0.4">
      <c r="A840" s="10" t="s">
        <v>708</v>
      </c>
      <c r="B840" s="10" t="s">
        <v>623</v>
      </c>
      <c r="C840" s="10" t="s">
        <v>316</v>
      </c>
      <c r="E840" s="1">
        <v>1550</v>
      </c>
    </row>
    <row r="841" spans="1:5" x14ac:dyDescent="0.4">
      <c r="C841" s="11" t="s">
        <v>5</v>
      </c>
      <c r="E841" s="1">
        <v>1550</v>
      </c>
    </row>
    <row r="842" spans="1:5" x14ac:dyDescent="0.4">
      <c r="C842" s="39" t="s">
        <v>359</v>
      </c>
      <c r="D842" s="10" t="s">
        <v>395</v>
      </c>
      <c r="E842" s="1">
        <v>1550</v>
      </c>
    </row>
    <row r="843" spans="1:5" x14ac:dyDescent="0.4">
      <c r="B843" s="10" t="s">
        <v>709</v>
      </c>
      <c r="C843" s="10" t="s">
        <v>316</v>
      </c>
      <c r="E843" s="1">
        <v>3530</v>
      </c>
    </row>
    <row r="844" spans="1:5" x14ac:dyDescent="0.4">
      <c r="C844" s="11" t="s">
        <v>5</v>
      </c>
      <c r="E844" s="1">
        <v>3530</v>
      </c>
    </row>
    <row r="845" spans="1:5" x14ac:dyDescent="0.4">
      <c r="C845" s="39" t="s">
        <v>359</v>
      </c>
      <c r="D845" s="10" t="s">
        <v>395</v>
      </c>
      <c r="E845" s="1">
        <v>3530</v>
      </c>
    </row>
    <row r="846" spans="1:5" x14ac:dyDescent="0.4">
      <c r="B846" s="10" t="s">
        <v>710</v>
      </c>
      <c r="C846" s="10" t="s">
        <v>316</v>
      </c>
      <c r="E846" s="1">
        <v>0</v>
      </c>
    </row>
    <row r="847" spans="1:5" x14ac:dyDescent="0.4">
      <c r="C847" s="11" t="s">
        <v>5</v>
      </c>
      <c r="E847" s="1">
        <v>0</v>
      </c>
    </row>
    <row r="848" spans="1:5" x14ac:dyDescent="0.4">
      <c r="C848" s="39" t="s">
        <v>359</v>
      </c>
      <c r="D848" s="10" t="s">
        <v>395</v>
      </c>
      <c r="E848" s="1">
        <v>0</v>
      </c>
    </row>
    <row r="849" spans="1:5" x14ac:dyDescent="0.4">
      <c r="B849" s="10" t="s">
        <v>711</v>
      </c>
      <c r="C849" s="10" t="s">
        <v>316</v>
      </c>
      <c r="E849" s="1">
        <v>0</v>
      </c>
    </row>
    <row r="850" spans="1:5" x14ac:dyDescent="0.4">
      <c r="C850" s="11" t="s">
        <v>1</v>
      </c>
      <c r="E850" s="1">
        <v>0</v>
      </c>
    </row>
    <row r="851" spans="1:5" x14ac:dyDescent="0.4">
      <c r="C851" s="39" t="s">
        <v>373</v>
      </c>
      <c r="D851" s="10" t="s">
        <v>329</v>
      </c>
      <c r="E851" s="1">
        <v>0</v>
      </c>
    </row>
    <row r="852" spans="1:5" x14ac:dyDescent="0.4">
      <c r="B852" s="10" t="s">
        <v>712</v>
      </c>
      <c r="C852" s="10" t="s">
        <v>316</v>
      </c>
      <c r="E852" s="1">
        <v>0</v>
      </c>
    </row>
    <row r="853" spans="1:5" x14ac:dyDescent="0.4">
      <c r="C853" s="11" t="s">
        <v>5</v>
      </c>
      <c r="E853" s="1">
        <v>0</v>
      </c>
    </row>
    <row r="854" spans="1:5" x14ac:dyDescent="0.4">
      <c r="C854" s="39" t="s">
        <v>364</v>
      </c>
      <c r="D854" s="10" t="s">
        <v>361</v>
      </c>
      <c r="E854" s="1">
        <v>0</v>
      </c>
    </row>
    <row r="855" spans="1:5" x14ac:dyDescent="0.4">
      <c r="A855" s="10" t="s">
        <v>713</v>
      </c>
      <c r="B855" s="10" t="s">
        <v>714</v>
      </c>
      <c r="C855" s="10" t="s">
        <v>316</v>
      </c>
      <c r="E855" s="1">
        <v>1030</v>
      </c>
    </row>
    <row r="856" spans="1:5" x14ac:dyDescent="0.4">
      <c r="C856" s="11" t="s">
        <v>5</v>
      </c>
      <c r="E856" s="1">
        <v>1030</v>
      </c>
    </row>
    <row r="857" spans="1:5" x14ac:dyDescent="0.4">
      <c r="C857" s="39" t="s">
        <v>364</v>
      </c>
      <c r="D857" s="10" t="s">
        <v>361</v>
      </c>
      <c r="E857" s="1">
        <v>1030</v>
      </c>
    </row>
    <row r="858" spans="1:5" x14ac:dyDescent="0.4">
      <c r="B858" s="10" t="s">
        <v>368</v>
      </c>
      <c r="C858" s="10" t="s">
        <v>316</v>
      </c>
      <c r="E858" s="1">
        <v>0</v>
      </c>
    </row>
    <row r="859" spans="1:5" x14ac:dyDescent="0.4">
      <c r="C859" s="11" t="s">
        <v>6</v>
      </c>
      <c r="E859" s="1">
        <v>0</v>
      </c>
    </row>
    <row r="860" spans="1:5" x14ac:dyDescent="0.4">
      <c r="C860" s="39" t="s">
        <v>415</v>
      </c>
      <c r="D860" s="10" t="s">
        <v>361</v>
      </c>
      <c r="E860" s="1">
        <v>0</v>
      </c>
    </row>
    <row r="861" spans="1:5" x14ac:dyDescent="0.4">
      <c r="B861" s="10" t="s">
        <v>715</v>
      </c>
      <c r="C861" s="10" t="s">
        <v>316</v>
      </c>
      <c r="E861" s="1">
        <v>7470</v>
      </c>
    </row>
    <row r="862" spans="1:5" x14ac:dyDescent="0.4">
      <c r="C862" s="11" t="s">
        <v>4</v>
      </c>
      <c r="E862" s="1">
        <v>7470</v>
      </c>
    </row>
    <row r="863" spans="1:5" x14ac:dyDescent="0.4">
      <c r="C863" s="39" t="s">
        <v>386</v>
      </c>
      <c r="D863" s="10" t="s">
        <v>322</v>
      </c>
      <c r="E863" s="1">
        <v>7470</v>
      </c>
    </row>
    <row r="864" spans="1:5" x14ac:dyDescent="0.4">
      <c r="B864" s="10" t="s">
        <v>716</v>
      </c>
      <c r="C864" s="10" t="s">
        <v>316</v>
      </c>
      <c r="E864" s="1">
        <v>6569</v>
      </c>
    </row>
    <row r="865" spans="1:5" x14ac:dyDescent="0.4">
      <c r="C865" s="11" t="s">
        <v>4</v>
      </c>
      <c r="E865" s="1">
        <v>6569</v>
      </c>
    </row>
    <row r="866" spans="1:5" x14ac:dyDescent="0.4">
      <c r="C866" s="39" t="s">
        <v>386</v>
      </c>
      <c r="D866" s="10" t="s">
        <v>322</v>
      </c>
      <c r="E866" s="1">
        <v>6569</v>
      </c>
    </row>
    <row r="867" spans="1:5" x14ac:dyDescent="0.4">
      <c r="A867" s="10" t="s">
        <v>717</v>
      </c>
      <c r="B867" s="10" t="s">
        <v>368</v>
      </c>
      <c r="C867" s="10" t="s">
        <v>316</v>
      </c>
      <c r="E867" s="1">
        <v>2077.8000000000002</v>
      </c>
    </row>
    <row r="868" spans="1:5" x14ac:dyDescent="0.4">
      <c r="C868" s="11" t="s">
        <v>3</v>
      </c>
      <c r="E868" s="1">
        <v>2077.8000000000002</v>
      </c>
    </row>
    <row r="869" spans="1:5" x14ac:dyDescent="0.4">
      <c r="C869" s="39" t="s">
        <v>343</v>
      </c>
      <c r="D869" s="10" t="s">
        <v>322</v>
      </c>
      <c r="E869" s="1">
        <v>2077.8000000000002</v>
      </c>
    </row>
    <row r="870" spans="1:5" x14ac:dyDescent="0.4">
      <c r="B870" s="10" t="s">
        <v>718</v>
      </c>
      <c r="C870" s="10" t="s">
        <v>316</v>
      </c>
      <c r="E870" s="1">
        <v>3000</v>
      </c>
    </row>
    <row r="871" spans="1:5" x14ac:dyDescent="0.4">
      <c r="C871" s="11" t="s">
        <v>6</v>
      </c>
      <c r="E871" s="1">
        <v>3000</v>
      </c>
    </row>
    <row r="872" spans="1:5" x14ac:dyDescent="0.4">
      <c r="C872" s="39" t="s">
        <v>719</v>
      </c>
      <c r="D872" s="10" t="s">
        <v>573</v>
      </c>
      <c r="E872" s="1">
        <v>3000</v>
      </c>
    </row>
    <row r="873" spans="1:5" x14ac:dyDescent="0.4">
      <c r="B873" s="10" t="s">
        <v>579</v>
      </c>
      <c r="C873" s="10" t="s">
        <v>316</v>
      </c>
      <c r="E873" s="1">
        <v>194.98</v>
      </c>
    </row>
    <row r="874" spans="1:5" x14ac:dyDescent="0.4">
      <c r="C874" s="11" t="s">
        <v>4</v>
      </c>
      <c r="E874" s="1">
        <v>194.98</v>
      </c>
    </row>
    <row r="875" spans="1:5" x14ac:dyDescent="0.4">
      <c r="C875" s="39" t="s">
        <v>386</v>
      </c>
      <c r="D875" s="10" t="s">
        <v>322</v>
      </c>
      <c r="E875" s="1">
        <v>194.98</v>
      </c>
    </row>
    <row r="876" spans="1:5" x14ac:dyDescent="0.4">
      <c r="B876" s="10" t="s">
        <v>720</v>
      </c>
      <c r="C876" s="10" t="s">
        <v>316</v>
      </c>
      <c r="E876" s="1">
        <v>231</v>
      </c>
    </row>
    <row r="877" spans="1:5" x14ac:dyDescent="0.4">
      <c r="C877" s="11" t="s">
        <v>2</v>
      </c>
      <c r="E877" s="1">
        <v>231</v>
      </c>
    </row>
    <row r="878" spans="1:5" x14ac:dyDescent="0.4">
      <c r="C878" s="39" t="s">
        <v>328</v>
      </c>
      <c r="D878" s="10" t="s">
        <v>395</v>
      </c>
      <c r="E878" s="1">
        <v>231</v>
      </c>
    </row>
    <row r="879" spans="1:5" x14ac:dyDescent="0.4">
      <c r="B879" s="10" t="s">
        <v>721</v>
      </c>
      <c r="C879" s="10" t="s">
        <v>316</v>
      </c>
      <c r="E879" s="1">
        <v>465</v>
      </c>
    </row>
    <row r="880" spans="1:5" x14ac:dyDescent="0.4">
      <c r="C880" s="11" t="s">
        <v>3</v>
      </c>
      <c r="E880" s="1">
        <v>465</v>
      </c>
    </row>
    <row r="881" spans="1:5" x14ac:dyDescent="0.4">
      <c r="C881" s="39" t="s">
        <v>343</v>
      </c>
      <c r="D881" s="10" t="s">
        <v>322</v>
      </c>
      <c r="E881" s="1">
        <v>465</v>
      </c>
    </row>
    <row r="882" spans="1:5" x14ac:dyDescent="0.4">
      <c r="B882" s="10" t="s">
        <v>722</v>
      </c>
      <c r="C882" s="10" t="s">
        <v>316</v>
      </c>
      <c r="E882" s="1">
        <v>232.69</v>
      </c>
    </row>
    <row r="883" spans="1:5" x14ac:dyDescent="0.4">
      <c r="C883" s="11" t="s">
        <v>4</v>
      </c>
      <c r="E883" s="1">
        <v>232.69</v>
      </c>
    </row>
    <row r="884" spans="1:5" x14ac:dyDescent="0.4">
      <c r="C884" s="39" t="s">
        <v>542</v>
      </c>
      <c r="D884" s="10" t="s">
        <v>322</v>
      </c>
      <c r="E884" s="1">
        <v>232.69</v>
      </c>
    </row>
    <row r="885" spans="1:5" x14ac:dyDescent="0.4">
      <c r="B885" s="10" t="s">
        <v>723</v>
      </c>
      <c r="C885" s="10" t="s">
        <v>316</v>
      </c>
      <c r="E885" s="1">
        <v>388.99</v>
      </c>
    </row>
    <row r="886" spans="1:5" x14ac:dyDescent="0.4">
      <c r="C886" s="11" t="s">
        <v>4</v>
      </c>
      <c r="E886" s="1">
        <v>388.99</v>
      </c>
    </row>
    <row r="887" spans="1:5" x14ac:dyDescent="0.4">
      <c r="C887" s="39" t="s">
        <v>724</v>
      </c>
      <c r="D887" s="10" t="s">
        <v>322</v>
      </c>
      <c r="E887" s="1">
        <v>388.99</v>
      </c>
    </row>
    <row r="888" spans="1:5" x14ac:dyDescent="0.4">
      <c r="B888" s="10" t="s">
        <v>725</v>
      </c>
      <c r="C888" s="10" t="s">
        <v>316</v>
      </c>
      <c r="E888" s="1">
        <v>3133.16</v>
      </c>
    </row>
    <row r="889" spans="1:5" x14ac:dyDescent="0.4">
      <c r="C889" s="11" t="s">
        <v>5</v>
      </c>
      <c r="E889" s="1">
        <v>3133.16</v>
      </c>
    </row>
    <row r="890" spans="1:5" x14ac:dyDescent="0.4">
      <c r="C890" s="39" t="s">
        <v>359</v>
      </c>
      <c r="D890" s="10" t="s">
        <v>395</v>
      </c>
      <c r="E890" s="1">
        <v>3133.16</v>
      </c>
    </row>
    <row r="891" spans="1:5" x14ac:dyDescent="0.4">
      <c r="A891" s="10" t="s">
        <v>726</v>
      </c>
      <c r="B891" s="10" t="s">
        <v>727</v>
      </c>
      <c r="C891" s="10" t="s">
        <v>316</v>
      </c>
      <c r="E891" s="1">
        <v>500</v>
      </c>
    </row>
    <row r="892" spans="1:5" x14ac:dyDescent="0.4">
      <c r="C892" s="11" t="s">
        <v>1</v>
      </c>
      <c r="E892" s="1">
        <v>500</v>
      </c>
    </row>
    <row r="893" spans="1:5" x14ac:dyDescent="0.4">
      <c r="C893" s="39" t="s">
        <v>728</v>
      </c>
      <c r="D893" s="10" t="s">
        <v>322</v>
      </c>
      <c r="E893" s="1">
        <v>500</v>
      </c>
    </row>
    <row r="894" spans="1:5" x14ac:dyDescent="0.4">
      <c r="A894" s="10" t="s">
        <v>729</v>
      </c>
      <c r="B894" s="10" t="s">
        <v>368</v>
      </c>
      <c r="C894" s="10" t="s">
        <v>316</v>
      </c>
      <c r="E894" s="1">
        <v>0</v>
      </c>
    </row>
    <row r="895" spans="1:5" x14ac:dyDescent="0.4">
      <c r="C895" s="11" t="s">
        <v>3</v>
      </c>
      <c r="E895" s="1">
        <v>0</v>
      </c>
    </row>
    <row r="896" spans="1:5" x14ac:dyDescent="0.4">
      <c r="C896" s="39" t="s">
        <v>343</v>
      </c>
      <c r="D896" s="10" t="s">
        <v>329</v>
      </c>
      <c r="E896" s="1">
        <v>0</v>
      </c>
    </row>
    <row r="897" spans="1:5" x14ac:dyDescent="0.4">
      <c r="A897" s="10" t="s">
        <v>730</v>
      </c>
      <c r="B897" s="10" t="s">
        <v>731</v>
      </c>
      <c r="C897" s="10" t="s">
        <v>316</v>
      </c>
      <c r="E897" s="1">
        <v>1500</v>
      </c>
    </row>
    <row r="898" spans="1:5" x14ac:dyDescent="0.4">
      <c r="C898" s="11" t="s">
        <v>5</v>
      </c>
      <c r="E898" s="1">
        <v>1500</v>
      </c>
    </row>
    <row r="899" spans="1:5" x14ac:dyDescent="0.4">
      <c r="C899" s="39" t="s">
        <v>359</v>
      </c>
      <c r="D899" s="10" t="s">
        <v>318</v>
      </c>
      <c r="E899" s="1">
        <v>1500</v>
      </c>
    </row>
    <row r="900" spans="1:5" x14ac:dyDescent="0.4">
      <c r="A900" s="10" t="s">
        <v>732</v>
      </c>
      <c r="B900" s="10" t="s">
        <v>733</v>
      </c>
      <c r="C900" s="10" t="s">
        <v>316</v>
      </c>
      <c r="E900" s="1">
        <v>0</v>
      </c>
    </row>
    <row r="901" spans="1:5" x14ac:dyDescent="0.4">
      <c r="C901" s="11" t="s">
        <v>2</v>
      </c>
      <c r="E901" s="1">
        <v>0</v>
      </c>
    </row>
    <row r="902" spans="1:5" x14ac:dyDescent="0.4">
      <c r="C902" s="39" t="s">
        <v>328</v>
      </c>
      <c r="D902" s="10" t="s">
        <v>361</v>
      </c>
      <c r="E902" s="1">
        <v>0</v>
      </c>
    </row>
    <row r="903" spans="1:5" x14ac:dyDescent="0.4">
      <c r="B903" s="10" t="s">
        <v>734</v>
      </c>
      <c r="C903" s="10" t="s">
        <v>316</v>
      </c>
      <c r="E903" s="1">
        <v>0</v>
      </c>
    </row>
    <row r="904" spans="1:5" x14ac:dyDescent="0.4">
      <c r="C904" s="11" t="s">
        <v>5</v>
      </c>
      <c r="E904" s="1">
        <v>0</v>
      </c>
    </row>
    <row r="905" spans="1:5" x14ac:dyDescent="0.4">
      <c r="C905" s="39" t="s">
        <v>359</v>
      </c>
      <c r="D905" s="10" t="s">
        <v>318</v>
      </c>
      <c r="E905" s="1">
        <v>0</v>
      </c>
    </row>
    <row r="906" spans="1:5" x14ac:dyDescent="0.4">
      <c r="A906" s="10" t="s">
        <v>735</v>
      </c>
      <c r="B906" s="10" t="s">
        <v>736</v>
      </c>
      <c r="C906" s="10" t="s">
        <v>316</v>
      </c>
      <c r="E906" s="1">
        <v>13.49</v>
      </c>
    </row>
    <row r="907" spans="1:5" x14ac:dyDescent="0.4">
      <c r="C907" s="11" t="s">
        <v>3</v>
      </c>
      <c r="E907" s="1">
        <v>13.49</v>
      </c>
    </row>
    <row r="908" spans="1:5" x14ac:dyDescent="0.4">
      <c r="C908" s="39" t="s">
        <v>700</v>
      </c>
      <c r="D908" s="10" t="s">
        <v>322</v>
      </c>
      <c r="E908" s="1">
        <v>13.49</v>
      </c>
    </row>
    <row r="909" spans="1:5" x14ac:dyDescent="0.4">
      <c r="B909" s="10" t="s">
        <v>737</v>
      </c>
      <c r="C909" s="10" t="s">
        <v>316</v>
      </c>
      <c r="E909" s="1">
        <v>0</v>
      </c>
    </row>
    <row r="910" spans="1:5" x14ac:dyDescent="0.4">
      <c r="C910" s="11" t="s">
        <v>3</v>
      </c>
      <c r="E910" s="1">
        <v>0</v>
      </c>
    </row>
    <row r="911" spans="1:5" x14ac:dyDescent="0.4">
      <c r="C911" s="39" t="s">
        <v>343</v>
      </c>
      <c r="D911" s="10" t="s">
        <v>329</v>
      </c>
      <c r="E911" s="1">
        <v>0</v>
      </c>
    </row>
    <row r="912" spans="1:5" x14ac:dyDescent="0.4">
      <c r="A912" s="10" t="s">
        <v>738</v>
      </c>
      <c r="B912" s="10" t="s">
        <v>739</v>
      </c>
      <c r="C912" s="10" t="s">
        <v>316</v>
      </c>
      <c r="E912" s="1">
        <v>2520</v>
      </c>
    </row>
    <row r="913" spans="1:5" x14ac:dyDescent="0.4">
      <c r="C913" s="11" t="s">
        <v>3</v>
      </c>
      <c r="E913" s="1">
        <v>2520</v>
      </c>
    </row>
    <row r="914" spans="1:5" x14ac:dyDescent="0.4">
      <c r="C914" s="39" t="s">
        <v>343</v>
      </c>
      <c r="D914" s="10" t="s">
        <v>395</v>
      </c>
      <c r="E914" s="1">
        <v>2520</v>
      </c>
    </row>
    <row r="915" spans="1:5" x14ac:dyDescent="0.4">
      <c r="C915" s="11" t="s">
        <v>5</v>
      </c>
      <c r="E915" s="1">
        <v>0</v>
      </c>
    </row>
    <row r="916" spans="1:5" x14ac:dyDescent="0.4">
      <c r="C916" s="39" t="s">
        <v>483</v>
      </c>
      <c r="D916" s="10" t="s">
        <v>395</v>
      </c>
      <c r="E916" s="1">
        <v>0</v>
      </c>
    </row>
    <row r="917" spans="1:5" x14ac:dyDescent="0.4">
      <c r="A917" s="10" t="s">
        <v>740</v>
      </c>
      <c r="B917" s="10" t="s">
        <v>741</v>
      </c>
      <c r="C917" s="10" t="s">
        <v>316</v>
      </c>
      <c r="E917" s="1">
        <v>3000</v>
      </c>
    </row>
    <row r="918" spans="1:5" x14ac:dyDescent="0.4">
      <c r="C918" s="11" t="s">
        <v>4</v>
      </c>
      <c r="E918" s="1">
        <v>3000</v>
      </c>
    </row>
    <row r="919" spans="1:5" x14ac:dyDescent="0.4">
      <c r="C919" s="39" t="s">
        <v>742</v>
      </c>
      <c r="D919" s="10" t="s">
        <v>361</v>
      </c>
      <c r="E919" s="1">
        <v>3000</v>
      </c>
    </row>
    <row r="920" spans="1:5" x14ac:dyDescent="0.4">
      <c r="B920" s="10" t="s">
        <v>743</v>
      </c>
      <c r="C920" s="10" t="s">
        <v>316</v>
      </c>
      <c r="E920" s="1">
        <v>650</v>
      </c>
    </row>
    <row r="921" spans="1:5" x14ac:dyDescent="0.4">
      <c r="C921" s="11" t="s">
        <v>6</v>
      </c>
      <c r="E921" s="1">
        <v>650</v>
      </c>
    </row>
    <row r="922" spans="1:5" x14ac:dyDescent="0.4">
      <c r="C922" s="39" t="s">
        <v>415</v>
      </c>
      <c r="D922" s="10" t="s">
        <v>361</v>
      </c>
      <c r="E922" s="1">
        <v>650</v>
      </c>
    </row>
    <row r="923" spans="1:5" x14ac:dyDescent="0.4">
      <c r="B923" s="10" t="s">
        <v>744</v>
      </c>
      <c r="C923" s="10" t="s">
        <v>316</v>
      </c>
      <c r="E923" s="1">
        <v>310</v>
      </c>
    </row>
    <row r="924" spans="1:5" x14ac:dyDescent="0.4">
      <c r="C924" s="11" t="s">
        <v>5</v>
      </c>
      <c r="E924" s="1">
        <v>310</v>
      </c>
    </row>
    <row r="925" spans="1:5" x14ac:dyDescent="0.4">
      <c r="C925" s="39" t="s">
        <v>359</v>
      </c>
      <c r="D925" s="10" t="s">
        <v>361</v>
      </c>
      <c r="E925" s="1">
        <v>310</v>
      </c>
    </row>
    <row r="926" spans="1:5" x14ac:dyDescent="0.4">
      <c r="B926" s="10" t="s">
        <v>745</v>
      </c>
      <c r="C926" s="10" t="s">
        <v>316</v>
      </c>
      <c r="E926" s="1">
        <v>3495.38</v>
      </c>
    </row>
    <row r="927" spans="1:5" x14ac:dyDescent="0.4">
      <c r="C927" s="11" t="s">
        <v>6</v>
      </c>
      <c r="E927" s="1">
        <v>3495.38</v>
      </c>
    </row>
    <row r="928" spans="1:5" x14ac:dyDescent="0.4">
      <c r="C928" s="39" t="s">
        <v>415</v>
      </c>
      <c r="D928" s="10" t="s">
        <v>361</v>
      </c>
      <c r="E928" s="1">
        <v>3495.38</v>
      </c>
    </row>
    <row r="929" spans="1:5" x14ac:dyDescent="0.4">
      <c r="B929" s="10" t="s">
        <v>746</v>
      </c>
      <c r="C929" s="10" t="s">
        <v>316</v>
      </c>
      <c r="E929" s="1">
        <v>310</v>
      </c>
    </row>
    <row r="930" spans="1:5" x14ac:dyDescent="0.4">
      <c r="C930" s="11" t="s">
        <v>4</v>
      </c>
      <c r="E930" s="1">
        <v>310</v>
      </c>
    </row>
    <row r="931" spans="1:5" x14ac:dyDescent="0.4">
      <c r="C931" s="39" t="s">
        <v>533</v>
      </c>
      <c r="D931" s="10" t="s">
        <v>322</v>
      </c>
      <c r="E931" s="1">
        <v>310</v>
      </c>
    </row>
    <row r="932" spans="1:5" x14ac:dyDescent="0.4">
      <c r="A932" s="10" t="s">
        <v>747</v>
      </c>
      <c r="B932" s="10" t="s">
        <v>748</v>
      </c>
      <c r="C932" s="10" t="s">
        <v>316</v>
      </c>
      <c r="E932" s="1">
        <v>3310</v>
      </c>
    </row>
    <row r="933" spans="1:5" x14ac:dyDescent="0.4">
      <c r="C933" s="11" t="s">
        <v>5</v>
      </c>
      <c r="E933" s="1">
        <v>3310</v>
      </c>
    </row>
    <row r="934" spans="1:5" x14ac:dyDescent="0.4">
      <c r="C934" s="39" t="s">
        <v>359</v>
      </c>
      <c r="D934" s="10" t="s">
        <v>749</v>
      </c>
      <c r="E934" s="1">
        <v>3310</v>
      </c>
    </row>
    <row r="935" spans="1:5" x14ac:dyDescent="0.4">
      <c r="A935" s="10" t="s">
        <v>750</v>
      </c>
      <c r="B935" s="10" t="s">
        <v>751</v>
      </c>
      <c r="C935" s="10" t="s">
        <v>316</v>
      </c>
      <c r="E935" s="1">
        <v>4500</v>
      </c>
    </row>
    <row r="936" spans="1:5" x14ac:dyDescent="0.4">
      <c r="C936" s="11" t="s">
        <v>5</v>
      </c>
      <c r="E936" s="1">
        <v>4500</v>
      </c>
    </row>
    <row r="937" spans="1:5" x14ac:dyDescent="0.4">
      <c r="C937" s="39" t="s">
        <v>359</v>
      </c>
      <c r="D937" s="10" t="s">
        <v>361</v>
      </c>
      <c r="E937" s="1">
        <v>4500</v>
      </c>
    </row>
    <row r="938" spans="1:5" x14ac:dyDescent="0.4">
      <c r="A938" s="10" t="s">
        <v>752</v>
      </c>
      <c r="B938" s="10" t="s">
        <v>753</v>
      </c>
      <c r="C938" s="10" t="s">
        <v>316</v>
      </c>
      <c r="E938" s="1">
        <v>0</v>
      </c>
    </row>
    <row r="939" spans="1:5" x14ac:dyDescent="0.4">
      <c r="C939" s="11" t="s">
        <v>4</v>
      </c>
      <c r="E939" s="1">
        <v>0</v>
      </c>
    </row>
    <row r="940" spans="1:5" x14ac:dyDescent="0.4">
      <c r="C940" s="39" t="s">
        <v>386</v>
      </c>
      <c r="D940" s="10" t="s">
        <v>361</v>
      </c>
      <c r="E940" s="1">
        <v>0</v>
      </c>
    </row>
    <row r="941" spans="1:5" x14ac:dyDescent="0.4">
      <c r="A941" s="10" t="s">
        <v>754</v>
      </c>
      <c r="B941" s="10" t="s">
        <v>631</v>
      </c>
      <c r="C941" s="10" t="s">
        <v>316</v>
      </c>
      <c r="E941" s="1">
        <v>15000</v>
      </c>
    </row>
    <row r="942" spans="1:5" x14ac:dyDescent="0.4">
      <c r="C942" s="11" t="s">
        <v>12</v>
      </c>
      <c r="E942" s="1">
        <v>15000</v>
      </c>
    </row>
    <row r="943" spans="1:5" x14ac:dyDescent="0.4">
      <c r="C943" s="39" t="s">
        <v>398</v>
      </c>
      <c r="D943" s="10" t="s">
        <v>361</v>
      </c>
      <c r="E943" s="1">
        <v>15000</v>
      </c>
    </row>
    <row r="944" spans="1:5" x14ac:dyDescent="0.4">
      <c r="A944" s="10" t="s">
        <v>755</v>
      </c>
      <c r="B944" s="10" t="s">
        <v>756</v>
      </c>
      <c r="C944" s="10" t="s">
        <v>316</v>
      </c>
      <c r="E944" s="1">
        <v>65.97</v>
      </c>
    </row>
    <row r="945" spans="1:5" x14ac:dyDescent="0.4">
      <c r="C945" s="11" t="s">
        <v>4</v>
      </c>
      <c r="E945" s="1">
        <v>65.97</v>
      </c>
    </row>
    <row r="946" spans="1:5" x14ac:dyDescent="0.4">
      <c r="C946" s="39" t="s">
        <v>371</v>
      </c>
      <c r="D946" s="10" t="s">
        <v>322</v>
      </c>
      <c r="E946" s="1">
        <v>65.97</v>
      </c>
    </row>
    <row r="947" spans="1:5" x14ac:dyDescent="0.4">
      <c r="B947" s="10" t="s">
        <v>757</v>
      </c>
      <c r="C947" s="10" t="s">
        <v>316</v>
      </c>
      <c r="E947" s="1">
        <v>882</v>
      </c>
    </row>
    <row r="948" spans="1:5" x14ac:dyDescent="0.4">
      <c r="C948" s="11" t="s">
        <v>4</v>
      </c>
      <c r="E948" s="1">
        <v>882</v>
      </c>
    </row>
    <row r="949" spans="1:5" x14ac:dyDescent="0.4">
      <c r="C949" s="39" t="s">
        <v>552</v>
      </c>
      <c r="D949" s="10" t="s">
        <v>322</v>
      </c>
      <c r="E949" s="1">
        <v>882</v>
      </c>
    </row>
    <row r="950" spans="1:5" x14ac:dyDescent="0.4">
      <c r="B950" s="10" t="s">
        <v>758</v>
      </c>
      <c r="C950" s="10" t="s">
        <v>316</v>
      </c>
      <c r="E950" s="1">
        <v>770</v>
      </c>
    </row>
    <row r="951" spans="1:5" x14ac:dyDescent="0.4">
      <c r="C951" s="11" t="s">
        <v>4</v>
      </c>
      <c r="E951" s="1">
        <v>770</v>
      </c>
    </row>
    <row r="952" spans="1:5" x14ac:dyDescent="0.4">
      <c r="C952" s="39" t="s">
        <v>386</v>
      </c>
      <c r="D952" s="10" t="s">
        <v>322</v>
      </c>
      <c r="E952" s="1">
        <v>770</v>
      </c>
    </row>
    <row r="953" spans="1:5" x14ac:dyDescent="0.4">
      <c r="A953" s="10" t="s">
        <v>759</v>
      </c>
      <c r="B953" s="10" t="s">
        <v>760</v>
      </c>
      <c r="C953" s="10" t="s">
        <v>316</v>
      </c>
      <c r="E953" s="1">
        <v>100</v>
      </c>
    </row>
    <row r="954" spans="1:5" x14ac:dyDescent="0.4">
      <c r="C954" s="11" t="s">
        <v>4</v>
      </c>
      <c r="E954" s="1">
        <v>100</v>
      </c>
    </row>
    <row r="955" spans="1:5" x14ac:dyDescent="0.4">
      <c r="C955" s="39" t="s">
        <v>761</v>
      </c>
      <c r="D955" s="10" t="s">
        <v>322</v>
      </c>
      <c r="E955" s="1">
        <v>100</v>
      </c>
    </row>
    <row r="956" spans="1:5" x14ac:dyDescent="0.4">
      <c r="A956" s="10" t="s">
        <v>762</v>
      </c>
      <c r="B956" s="10" t="s">
        <v>763</v>
      </c>
      <c r="C956" s="10" t="s">
        <v>316</v>
      </c>
      <c r="E956" s="1">
        <v>1670</v>
      </c>
    </row>
    <row r="957" spans="1:5" x14ac:dyDescent="0.4">
      <c r="C957" s="11" t="s">
        <v>4</v>
      </c>
      <c r="E957" s="1">
        <v>1670</v>
      </c>
    </row>
    <row r="958" spans="1:5" x14ac:dyDescent="0.4">
      <c r="C958" s="39" t="s">
        <v>555</v>
      </c>
      <c r="D958" s="10" t="s">
        <v>361</v>
      </c>
      <c r="E958" s="1">
        <v>1670</v>
      </c>
    </row>
    <row r="959" spans="1:5" x14ac:dyDescent="0.4">
      <c r="B959" s="10" t="s">
        <v>764</v>
      </c>
      <c r="C959" s="10" t="s">
        <v>316</v>
      </c>
      <c r="E959" s="1">
        <v>20.8</v>
      </c>
    </row>
    <row r="960" spans="1:5" x14ac:dyDescent="0.4">
      <c r="C960" s="11" t="s">
        <v>5</v>
      </c>
      <c r="E960" s="1">
        <v>20.8</v>
      </c>
    </row>
    <row r="961" spans="1:5" x14ac:dyDescent="0.4">
      <c r="C961" s="39" t="s">
        <v>364</v>
      </c>
      <c r="D961" s="10" t="s">
        <v>322</v>
      </c>
      <c r="E961" s="1">
        <v>20.8</v>
      </c>
    </row>
    <row r="962" spans="1:5" x14ac:dyDescent="0.4">
      <c r="B962" s="10" t="s">
        <v>765</v>
      </c>
      <c r="C962" s="10" t="s">
        <v>316</v>
      </c>
      <c r="E962" s="1">
        <v>0</v>
      </c>
    </row>
    <row r="963" spans="1:5" x14ac:dyDescent="0.4">
      <c r="C963" s="11" t="s">
        <v>5</v>
      </c>
      <c r="E963" s="1">
        <v>0</v>
      </c>
    </row>
    <row r="964" spans="1:5" x14ac:dyDescent="0.4">
      <c r="C964" s="39" t="s">
        <v>359</v>
      </c>
      <c r="D964" s="10" t="s">
        <v>318</v>
      </c>
      <c r="E964" s="1">
        <v>0</v>
      </c>
    </row>
    <row r="965" spans="1:5" x14ac:dyDescent="0.4">
      <c r="A965" s="10" t="s">
        <v>766</v>
      </c>
      <c r="E965" s="1">
        <v>691625.62999999989</v>
      </c>
    </row>
    <row r="966" spans="1:5" x14ac:dyDescent="0.4">
      <c r="E966"/>
    </row>
    <row r="967" spans="1:5" x14ac:dyDescent="0.4">
      <c r="E967"/>
    </row>
    <row r="968" spans="1:5" x14ac:dyDescent="0.4">
      <c r="E968"/>
    </row>
    <row r="969" spans="1:5" x14ac:dyDescent="0.4">
      <c r="E969"/>
    </row>
    <row r="970" spans="1:5" x14ac:dyDescent="0.4">
      <c r="E970"/>
    </row>
    <row r="971" spans="1:5" x14ac:dyDescent="0.4">
      <c r="E971"/>
    </row>
    <row r="972" spans="1:5" x14ac:dyDescent="0.4">
      <c r="E972"/>
    </row>
    <row r="973" spans="1:5" x14ac:dyDescent="0.4">
      <c r="E973"/>
    </row>
    <row r="974" spans="1:5" x14ac:dyDescent="0.4">
      <c r="E974"/>
    </row>
    <row r="975" spans="1:5" x14ac:dyDescent="0.4">
      <c r="E975"/>
    </row>
    <row r="976" spans="1:5" x14ac:dyDescent="0.4">
      <c r="E976"/>
    </row>
    <row r="977" spans="5:5" x14ac:dyDescent="0.4">
      <c r="E977"/>
    </row>
    <row r="978" spans="5:5" x14ac:dyDescent="0.4">
      <c r="E978"/>
    </row>
    <row r="979" spans="5:5" x14ac:dyDescent="0.4">
      <c r="E979"/>
    </row>
    <row r="980" spans="5:5" x14ac:dyDescent="0.4">
      <c r="E980"/>
    </row>
    <row r="981" spans="5:5" x14ac:dyDescent="0.4">
      <c r="E981"/>
    </row>
    <row r="982" spans="5:5" x14ac:dyDescent="0.4">
      <c r="E982"/>
    </row>
    <row r="983" spans="5:5" x14ac:dyDescent="0.4">
      <c r="E983"/>
    </row>
    <row r="984" spans="5:5" x14ac:dyDescent="0.4">
      <c r="E984"/>
    </row>
    <row r="985" spans="5:5" x14ac:dyDescent="0.4">
      <c r="E985"/>
    </row>
    <row r="986" spans="5:5" x14ac:dyDescent="0.4">
      <c r="E986"/>
    </row>
    <row r="987" spans="5:5" x14ac:dyDescent="0.4">
      <c r="E987"/>
    </row>
    <row r="988" spans="5:5" x14ac:dyDescent="0.4">
      <c r="E988"/>
    </row>
    <row r="989" spans="5:5" x14ac:dyDescent="0.4">
      <c r="E989"/>
    </row>
    <row r="990" spans="5:5" x14ac:dyDescent="0.4">
      <c r="E990"/>
    </row>
    <row r="991" spans="5:5" x14ac:dyDescent="0.4">
      <c r="E991"/>
    </row>
    <row r="992" spans="5:5" x14ac:dyDescent="0.4">
      <c r="E992"/>
    </row>
    <row r="993" spans="5:5" x14ac:dyDescent="0.4">
      <c r="E993"/>
    </row>
    <row r="994" spans="5:5" x14ac:dyDescent="0.4">
      <c r="E994"/>
    </row>
    <row r="995" spans="5:5" x14ac:dyDescent="0.4">
      <c r="E995"/>
    </row>
    <row r="996" spans="5:5" x14ac:dyDescent="0.4">
      <c r="E996"/>
    </row>
    <row r="997" spans="5:5" x14ac:dyDescent="0.4">
      <c r="E997"/>
    </row>
    <row r="998" spans="5:5" x14ac:dyDescent="0.4">
      <c r="E998"/>
    </row>
    <row r="999" spans="5:5" x14ac:dyDescent="0.4">
      <c r="E999"/>
    </row>
    <row r="1000" spans="5:5" x14ac:dyDescent="0.4">
      <c r="E1000"/>
    </row>
    <row r="1001" spans="5:5" x14ac:dyDescent="0.4">
      <c r="E1001"/>
    </row>
    <row r="1002" spans="5:5" x14ac:dyDescent="0.4">
      <c r="E1002"/>
    </row>
    <row r="1003" spans="5:5" x14ac:dyDescent="0.4">
      <c r="E1003"/>
    </row>
    <row r="1004" spans="5:5" x14ac:dyDescent="0.4">
      <c r="E1004"/>
    </row>
    <row r="1005" spans="5:5" x14ac:dyDescent="0.4">
      <c r="E1005"/>
    </row>
    <row r="1006" spans="5:5" x14ac:dyDescent="0.4">
      <c r="E1006"/>
    </row>
    <row r="1007" spans="5:5" x14ac:dyDescent="0.4">
      <c r="E1007"/>
    </row>
    <row r="1008" spans="5:5" x14ac:dyDescent="0.4">
      <c r="E1008"/>
    </row>
    <row r="1009" spans="5:5" x14ac:dyDescent="0.4">
      <c r="E1009"/>
    </row>
    <row r="1010" spans="5:5" x14ac:dyDescent="0.4">
      <c r="E1010"/>
    </row>
    <row r="1011" spans="5:5" x14ac:dyDescent="0.4">
      <c r="E1011"/>
    </row>
    <row r="1012" spans="5:5" x14ac:dyDescent="0.4">
      <c r="E1012"/>
    </row>
    <row r="1013" spans="5:5" x14ac:dyDescent="0.4">
      <c r="E1013"/>
    </row>
    <row r="1014" spans="5:5" x14ac:dyDescent="0.4">
      <c r="E1014"/>
    </row>
    <row r="1015" spans="5:5" x14ac:dyDescent="0.4">
      <c r="E1015"/>
    </row>
    <row r="1016" spans="5:5" x14ac:dyDescent="0.4">
      <c r="E1016"/>
    </row>
    <row r="1017" spans="5:5" x14ac:dyDescent="0.4">
      <c r="E1017"/>
    </row>
    <row r="1018" spans="5:5" x14ac:dyDescent="0.4">
      <c r="E1018"/>
    </row>
    <row r="1019" spans="5:5" x14ac:dyDescent="0.4">
      <c r="E1019"/>
    </row>
    <row r="1020" spans="5:5" x14ac:dyDescent="0.4">
      <c r="E1020"/>
    </row>
    <row r="1021" spans="5:5" x14ac:dyDescent="0.4">
      <c r="E1021"/>
    </row>
    <row r="1022" spans="5:5" x14ac:dyDescent="0.4">
      <c r="E1022"/>
    </row>
    <row r="1023" spans="5:5" x14ac:dyDescent="0.4">
      <c r="E1023"/>
    </row>
    <row r="1024" spans="5:5" x14ac:dyDescent="0.4">
      <c r="E1024"/>
    </row>
    <row r="1025" spans="5:5" x14ac:dyDescent="0.4">
      <c r="E1025"/>
    </row>
    <row r="1026" spans="5:5" x14ac:dyDescent="0.4">
      <c r="E1026"/>
    </row>
    <row r="1027" spans="5:5" x14ac:dyDescent="0.4">
      <c r="E1027"/>
    </row>
    <row r="1028" spans="5:5" x14ac:dyDescent="0.4">
      <c r="E1028"/>
    </row>
    <row r="1029" spans="5:5" x14ac:dyDescent="0.4">
      <c r="E1029"/>
    </row>
    <row r="1030" spans="5:5" x14ac:dyDescent="0.4">
      <c r="E1030"/>
    </row>
    <row r="1031" spans="5:5" x14ac:dyDescent="0.4">
      <c r="E1031"/>
    </row>
    <row r="1032" spans="5:5" x14ac:dyDescent="0.4">
      <c r="E1032"/>
    </row>
    <row r="1033" spans="5:5" x14ac:dyDescent="0.4">
      <c r="E1033"/>
    </row>
    <row r="1034" spans="5:5" x14ac:dyDescent="0.4">
      <c r="E1034"/>
    </row>
    <row r="1035" spans="5:5" x14ac:dyDescent="0.4">
      <c r="E1035"/>
    </row>
    <row r="1036" spans="5:5" x14ac:dyDescent="0.4">
      <c r="E1036"/>
    </row>
    <row r="1037" spans="5:5" x14ac:dyDescent="0.4">
      <c r="E1037"/>
    </row>
    <row r="1038" spans="5:5" x14ac:dyDescent="0.4">
      <c r="E1038"/>
    </row>
    <row r="1039" spans="5:5" x14ac:dyDescent="0.4">
      <c r="E1039"/>
    </row>
    <row r="1040" spans="5:5" x14ac:dyDescent="0.4">
      <c r="E1040"/>
    </row>
    <row r="1041" spans="5:5" x14ac:dyDescent="0.4">
      <c r="E1041"/>
    </row>
    <row r="1042" spans="5:5" x14ac:dyDescent="0.4">
      <c r="E1042"/>
    </row>
    <row r="1043" spans="5:5" x14ac:dyDescent="0.4">
      <c r="E1043"/>
    </row>
    <row r="1044" spans="5:5" x14ac:dyDescent="0.4">
      <c r="E1044"/>
    </row>
    <row r="1045" spans="5:5" x14ac:dyDescent="0.4">
      <c r="E1045"/>
    </row>
    <row r="1046" spans="5:5" x14ac:dyDescent="0.4">
      <c r="E1046"/>
    </row>
    <row r="1047" spans="5:5" x14ac:dyDescent="0.4">
      <c r="E1047"/>
    </row>
    <row r="1048" spans="5:5" x14ac:dyDescent="0.4">
      <c r="E1048"/>
    </row>
    <row r="1049" spans="5:5" x14ac:dyDescent="0.4">
      <c r="E1049"/>
    </row>
    <row r="1050" spans="5:5" x14ac:dyDescent="0.4">
      <c r="E1050"/>
    </row>
    <row r="1051" spans="5:5" x14ac:dyDescent="0.4">
      <c r="E1051"/>
    </row>
    <row r="1052" spans="5:5" x14ac:dyDescent="0.4">
      <c r="E1052"/>
    </row>
    <row r="1053" spans="5:5" x14ac:dyDescent="0.4">
      <c r="E1053"/>
    </row>
    <row r="1054" spans="5:5" x14ac:dyDescent="0.4">
      <c r="E1054"/>
    </row>
    <row r="1055" spans="5:5" x14ac:dyDescent="0.4">
      <c r="E1055"/>
    </row>
    <row r="1056" spans="5:5" x14ac:dyDescent="0.4">
      <c r="E1056"/>
    </row>
    <row r="1057" spans="5:5" x14ac:dyDescent="0.4">
      <c r="E1057"/>
    </row>
    <row r="1058" spans="5:5" x14ac:dyDescent="0.4">
      <c r="E1058"/>
    </row>
    <row r="1059" spans="5:5" x14ac:dyDescent="0.4">
      <c r="E1059"/>
    </row>
    <row r="1060" spans="5:5" x14ac:dyDescent="0.4">
      <c r="E1060"/>
    </row>
    <row r="1061" spans="5:5" x14ac:dyDescent="0.4">
      <c r="E1061"/>
    </row>
    <row r="1062" spans="5:5" x14ac:dyDescent="0.4">
      <c r="E1062"/>
    </row>
    <row r="1063" spans="5:5" x14ac:dyDescent="0.4">
      <c r="E1063"/>
    </row>
    <row r="1064" spans="5:5" x14ac:dyDescent="0.4">
      <c r="E1064"/>
    </row>
    <row r="1065" spans="5:5" x14ac:dyDescent="0.4">
      <c r="E1065"/>
    </row>
    <row r="1066" spans="5:5" x14ac:dyDescent="0.4">
      <c r="E1066"/>
    </row>
    <row r="1067" spans="5:5" x14ac:dyDescent="0.4">
      <c r="E1067"/>
    </row>
    <row r="1068" spans="5:5" x14ac:dyDescent="0.4">
      <c r="E1068"/>
    </row>
    <row r="1069" spans="5:5" x14ac:dyDescent="0.4">
      <c r="E1069"/>
    </row>
    <row r="1070" spans="5:5" x14ac:dyDescent="0.4">
      <c r="E1070"/>
    </row>
    <row r="1071" spans="5:5" x14ac:dyDescent="0.4">
      <c r="E1071"/>
    </row>
    <row r="1072" spans="5:5" x14ac:dyDescent="0.4">
      <c r="E1072"/>
    </row>
    <row r="1073" spans="5:5" x14ac:dyDescent="0.4">
      <c r="E1073"/>
    </row>
    <row r="1074" spans="5:5" x14ac:dyDescent="0.4">
      <c r="E1074"/>
    </row>
    <row r="1075" spans="5:5" x14ac:dyDescent="0.4">
      <c r="E1075"/>
    </row>
    <row r="1076" spans="5:5" x14ac:dyDescent="0.4">
      <c r="E1076"/>
    </row>
    <row r="1077" spans="5:5" x14ac:dyDescent="0.4">
      <c r="E1077"/>
    </row>
    <row r="1078" spans="5:5" x14ac:dyDescent="0.4">
      <c r="E1078"/>
    </row>
    <row r="1079" spans="5:5" x14ac:dyDescent="0.4">
      <c r="E1079"/>
    </row>
    <row r="1080" spans="5:5" x14ac:dyDescent="0.4">
      <c r="E1080"/>
    </row>
    <row r="1081" spans="5:5" x14ac:dyDescent="0.4">
      <c r="E1081"/>
    </row>
    <row r="1082" spans="5:5" x14ac:dyDescent="0.4">
      <c r="E1082"/>
    </row>
    <row r="1083" spans="5:5" x14ac:dyDescent="0.4">
      <c r="E1083"/>
    </row>
    <row r="1084" spans="5:5" x14ac:dyDescent="0.4">
      <c r="E1084"/>
    </row>
    <row r="1085" spans="5:5" x14ac:dyDescent="0.4">
      <c r="E1085"/>
    </row>
    <row r="1086" spans="5:5" x14ac:dyDescent="0.4">
      <c r="E1086"/>
    </row>
    <row r="1087" spans="5:5" x14ac:dyDescent="0.4">
      <c r="E1087"/>
    </row>
    <row r="1088" spans="5:5" x14ac:dyDescent="0.4">
      <c r="E1088"/>
    </row>
    <row r="1089" spans="5:5" x14ac:dyDescent="0.4">
      <c r="E1089"/>
    </row>
    <row r="1090" spans="5:5" x14ac:dyDescent="0.4">
      <c r="E1090"/>
    </row>
    <row r="1091" spans="5:5" x14ac:dyDescent="0.4">
      <c r="E1091"/>
    </row>
    <row r="1092" spans="5:5" x14ac:dyDescent="0.4">
      <c r="E1092"/>
    </row>
    <row r="1093" spans="5:5" x14ac:dyDescent="0.4">
      <c r="E1093"/>
    </row>
    <row r="1094" spans="5:5" x14ac:dyDescent="0.4">
      <c r="E1094"/>
    </row>
    <row r="1095" spans="5:5" x14ac:dyDescent="0.4">
      <c r="E1095"/>
    </row>
    <row r="1096" spans="5:5" x14ac:dyDescent="0.4">
      <c r="E1096"/>
    </row>
    <row r="1097" spans="5:5" x14ac:dyDescent="0.4">
      <c r="E1097"/>
    </row>
    <row r="1098" spans="5:5" x14ac:dyDescent="0.4">
      <c r="E1098"/>
    </row>
    <row r="1099" spans="5:5" x14ac:dyDescent="0.4">
      <c r="E1099"/>
    </row>
    <row r="1100" spans="5:5" x14ac:dyDescent="0.4">
      <c r="E1100"/>
    </row>
    <row r="1101" spans="5:5" x14ac:dyDescent="0.4">
      <c r="E1101"/>
    </row>
    <row r="1102" spans="5:5" x14ac:dyDescent="0.4">
      <c r="E1102"/>
    </row>
    <row r="1103" spans="5:5" x14ac:dyDescent="0.4">
      <c r="E1103"/>
    </row>
    <row r="1104" spans="5:5" x14ac:dyDescent="0.4">
      <c r="E1104"/>
    </row>
    <row r="1105" spans="5:5" x14ac:dyDescent="0.4">
      <c r="E1105"/>
    </row>
    <row r="1106" spans="5:5" x14ac:dyDescent="0.4">
      <c r="E1106"/>
    </row>
    <row r="1107" spans="5:5" x14ac:dyDescent="0.4">
      <c r="E1107"/>
    </row>
    <row r="1108" spans="5:5" x14ac:dyDescent="0.4">
      <c r="E1108"/>
    </row>
    <row r="1109" spans="5:5" x14ac:dyDescent="0.4">
      <c r="E1109"/>
    </row>
    <row r="1110" spans="5:5" x14ac:dyDescent="0.4">
      <c r="E1110"/>
    </row>
    <row r="1111" spans="5:5" x14ac:dyDescent="0.4">
      <c r="E1111"/>
    </row>
    <row r="1112" spans="5:5" x14ac:dyDescent="0.4">
      <c r="E1112"/>
    </row>
    <row r="1113" spans="5:5" x14ac:dyDescent="0.4">
      <c r="E1113"/>
    </row>
    <row r="1114" spans="5:5" x14ac:dyDescent="0.4">
      <c r="E1114"/>
    </row>
    <row r="1115" spans="5:5" x14ac:dyDescent="0.4">
      <c r="E1115"/>
    </row>
    <row r="1116" spans="5:5" x14ac:dyDescent="0.4">
      <c r="E1116"/>
    </row>
    <row r="1117" spans="5:5" x14ac:dyDescent="0.4">
      <c r="E1117"/>
    </row>
    <row r="1118" spans="5:5" x14ac:dyDescent="0.4">
      <c r="E1118"/>
    </row>
    <row r="1119" spans="5:5" x14ac:dyDescent="0.4">
      <c r="E1119"/>
    </row>
    <row r="1120" spans="5:5" x14ac:dyDescent="0.4">
      <c r="E1120"/>
    </row>
    <row r="1121" spans="5:5" x14ac:dyDescent="0.4">
      <c r="E1121"/>
    </row>
    <row r="1122" spans="5:5" x14ac:dyDescent="0.4">
      <c r="E1122"/>
    </row>
    <row r="1123" spans="5:5" x14ac:dyDescent="0.4">
      <c r="E1123"/>
    </row>
    <row r="1124" spans="5:5" x14ac:dyDescent="0.4">
      <c r="E1124"/>
    </row>
    <row r="1125" spans="5:5" x14ac:dyDescent="0.4">
      <c r="E1125"/>
    </row>
    <row r="1126" spans="5:5" x14ac:dyDescent="0.4">
      <c r="E1126"/>
    </row>
    <row r="1127" spans="5:5" x14ac:dyDescent="0.4">
      <c r="E1127"/>
    </row>
    <row r="1128" spans="5:5" x14ac:dyDescent="0.4">
      <c r="E1128"/>
    </row>
    <row r="1129" spans="5:5" x14ac:dyDescent="0.4">
      <c r="E1129"/>
    </row>
    <row r="1130" spans="5:5" x14ac:dyDescent="0.4">
      <c r="E1130"/>
    </row>
    <row r="1131" spans="5:5" x14ac:dyDescent="0.4">
      <c r="E1131"/>
    </row>
    <row r="1132" spans="5:5" x14ac:dyDescent="0.4">
      <c r="E1132"/>
    </row>
    <row r="1133" spans="5:5" x14ac:dyDescent="0.4">
      <c r="E1133"/>
    </row>
    <row r="1134" spans="5:5" x14ac:dyDescent="0.4">
      <c r="E1134"/>
    </row>
    <row r="1135" spans="5:5" x14ac:dyDescent="0.4">
      <c r="E1135"/>
    </row>
    <row r="1136" spans="5:5" x14ac:dyDescent="0.4">
      <c r="E1136"/>
    </row>
    <row r="1137" spans="5:5" x14ac:dyDescent="0.4">
      <c r="E1137"/>
    </row>
    <row r="1138" spans="5:5" x14ac:dyDescent="0.4">
      <c r="E1138"/>
    </row>
    <row r="1139" spans="5:5" x14ac:dyDescent="0.4">
      <c r="E1139"/>
    </row>
    <row r="1140" spans="5:5" x14ac:dyDescent="0.4">
      <c r="E1140"/>
    </row>
    <row r="1141" spans="5:5" x14ac:dyDescent="0.4">
      <c r="E1141"/>
    </row>
    <row r="1142" spans="5:5" x14ac:dyDescent="0.4">
      <c r="E1142"/>
    </row>
    <row r="1143" spans="5:5" x14ac:dyDescent="0.4">
      <c r="E1143"/>
    </row>
    <row r="1144" spans="5:5" x14ac:dyDescent="0.4">
      <c r="E1144"/>
    </row>
    <row r="1145" spans="5:5" x14ac:dyDescent="0.4">
      <c r="E1145"/>
    </row>
    <row r="1146" spans="5:5" x14ac:dyDescent="0.4">
      <c r="E1146"/>
    </row>
    <row r="1147" spans="5:5" x14ac:dyDescent="0.4">
      <c r="E1147"/>
    </row>
    <row r="1148" spans="5:5" x14ac:dyDescent="0.4">
      <c r="E1148"/>
    </row>
    <row r="1149" spans="5:5" x14ac:dyDescent="0.4">
      <c r="E1149"/>
    </row>
    <row r="1150" spans="5:5" x14ac:dyDescent="0.4">
      <c r="E1150"/>
    </row>
    <row r="1151" spans="5:5" x14ac:dyDescent="0.4">
      <c r="E1151"/>
    </row>
    <row r="1152" spans="5:5" x14ac:dyDescent="0.4">
      <c r="E1152"/>
    </row>
    <row r="1153" spans="5:5" x14ac:dyDescent="0.4">
      <c r="E1153"/>
    </row>
    <row r="1154" spans="5:5" x14ac:dyDescent="0.4">
      <c r="E1154"/>
    </row>
    <row r="1155" spans="5:5" x14ac:dyDescent="0.4">
      <c r="E1155"/>
    </row>
    <row r="1156" spans="5:5" x14ac:dyDescent="0.4">
      <c r="E1156"/>
    </row>
    <row r="1157" spans="5:5" x14ac:dyDescent="0.4">
      <c r="E1157"/>
    </row>
    <row r="1158" spans="5:5" x14ac:dyDescent="0.4">
      <c r="E1158"/>
    </row>
    <row r="1159" spans="5:5" x14ac:dyDescent="0.4">
      <c r="E1159"/>
    </row>
    <row r="1160" spans="5:5" x14ac:dyDescent="0.4">
      <c r="E1160"/>
    </row>
    <row r="1161" spans="5:5" x14ac:dyDescent="0.4">
      <c r="E1161"/>
    </row>
    <row r="1162" spans="5:5" x14ac:dyDescent="0.4">
      <c r="E1162"/>
    </row>
    <row r="1163" spans="5:5" x14ac:dyDescent="0.4">
      <c r="E1163"/>
    </row>
    <row r="1164" spans="5:5" x14ac:dyDescent="0.4">
      <c r="E1164"/>
    </row>
    <row r="1165" spans="5:5" x14ac:dyDescent="0.4">
      <c r="E1165"/>
    </row>
    <row r="1166" spans="5:5" x14ac:dyDescent="0.4">
      <c r="E1166"/>
    </row>
    <row r="1167" spans="5:5" x14ac:dyDescent="0.4">
      <c r="E1167"/>
    </row>
    <row r="1168" spans="5:5" x14ac:dyDescent="0.4">
      <c r="E1168"/>
    </row>
    <row r="1169" spans="5:5" x14ac:dyDescent="0.4">
      <c r="E1169"/>
    </row>
    <row r="1170" spans="5:5" x14ac:dyDescent="0.4">
      <c r="E1170"/>
    </row>
    <row r="1171" spans="5:5" x14ac:dyDescent="0.4">
      <c r="E1171"/>
    </row>
    <row r="1172" spans="5:5" x14ac:dyDescent="0.4">
      <c r="E1172"/>
    </row>
    <row r="1173" spans="5:5" x14ac:dyDescent="0.4">
      <c r="E1173"/>
    </row>
    <row r="1174" spans="5:5" x14ac:dyDescent="0.4">
      <c r="E1174"/>
    </row>
    <row r="1175" spans="5:5" x14ac:dyDescent="0.4">
      <c r="E1175"/>
    </row>
    <row r="1176" spans="5:5" x14ac:dyDescent="0.4">
      <c r="E1176"/>
    </row>
    <row r="1177" spans="5:5" x14ac:dyDescent="0.4">
      <c r="E1177"/>
    </row>
    <row r="1178" spans="5:5" x14ac:dyDescent="0.4">
      <c r="E1178"/>
    </row>
    <row r="1179" spans="5:5" x14ac:dyDescent="0.4">
      <c r="E1179"/>
    </row>
    <row r="1180" spans="5:5" x14ac:dyDescent="0.4">
      <c r="E1180"/>
    </row>
    <row r="1181" spans="5:5" x14ac:dyDescent="0.4">
      <c r="E1181"/>
    </row>
    <row r="1182" spans="5:5" x14ac:dyDescent="0.4">
      <c r="E1182"/>
    </row>
    <row r="1183" spans="5:5" x14ac:dyDescent="0.4">
      <c r="E1183"/>
    </row>
    <row r="1184" spans="5:5" x14ac:dyDescent="0.4">
      <c r="E1184"/>
    </row>
    <row r="1185" spans="5:5" x14ac:dyDescent="0.4">
      <c r="E1185"/>
    </row>
    <row r="1186" spans="5:5" x14ac:dyDescent="0.4">
      <c r="E1186"/>
    </row>
    <row r="1187" spans="5:5" x14ac:dyDescent="0.4">
      <c r="E1187"/>
    </row>
    <row r="1188" spans="5:5" x14ac:dyDescent="0.4">
      <c r="E1188"/>
    </row>
    <row r="1189" spans="5:5" x14ac:dyDescent="0.4">
      <c r="E1189"/>
    </row>
    <row r="1190" spans="5:5" x14ac:dyDescent="0.4">
      <c r="E1190"/>
    </row>
    <row r="1191" spans="5:5" x14ac:dyDescent="0.4">
      <c r="E1191"/>
    </row>
    <row r="1192" spans="5:5" x14ac:dyDescent="0.4">
      <c r="E1192"/>
    </row>
    <row r="1193" spans="5:5" x14ac:dyDescent="0.4">
      <c r="E1193"/>
    </row>
    <row r="1194" spans="5:5" x14ac:dyDescent="0.4">
      <c r="E1194"/>
    </row>
    <row r="1195" spans="5:5" x14ac:dyDescent="0.4">
      <c r="E1195"/>
    </row>
    <row r="1196" spans="5:5" x14ac:dyDescent="0.4">
      <c r="E1196"/>
    </row>
    <row r="1197" spans="5:5" x14ac:dyDescent="0.4">
      <c r="E1197"/>
    </row>
    <row r="1198" spans="5:5" x14ac:dyDescent="0.4">
      <c r="E1198"/>
    </row>
    <row r="1199" spans="5:5" x14ac:dyDescent="0.4">
      <c r="E1199"/>
    </row>
    <row r="1200" spans="5:5" x14ac:dyDescent="0.4">
      <c r="E1200"/>
    </row>
    <row r="1201" spans="5:5" x14ac:dyDescent="0.4">
      <c r="E1201"/>
    </row>
    <row r="1202" spans="5:5" x14ac:dyDescent="0.4">
      <c r="E1202"/>
    </row>
    <row r="1203" spans="5:5" x14ac:dyDescent="0.4">
      <c r="E1203"/>
    </row>
    <row r="1204" spans="5:5" x14ac:dyDescent="0.4">
      <c r="E1204"/>
    </row>
    <row r="1205" spans="5:5" x14ac:dyDescent="0.4">
      <c r="E1205"/>
    </row>
    <row r="1206" spans="5:5" x14ac:dyDescent="0.4">
      <c r="E1206"/>
    </row>
    <row r="1207" spans="5:5" x14ac:dyDescent="0.4">
      <c r="E1207"/>
    </row>
    <row r="1208" spans="5:5" x14ac:dyDescent="0.4">
      <c r="E1208"/>
    </row>
    <row r="1209" spans="5:5" x14ac:dyDescent="0.4">
      <c r="E1209"/>
    </row>
    <row r="1210" spans="5:5" x14ac:dyDescent="0.4">
      <c r="E1210"/>
    </row>
    <row r="1211" spans="5:5" x14ac:dyDescent="0.4">
      <c r="E1211"/>
    </row>
    <row r="1212" spans="5:5" x14ac:dyDescent="0.4">
      <c r="E1212"/>
    </row>
    <row r="1213" spans="5:5" x14ac:dyDescent="0.4">
      <c r="E1213"/>
    </row>
    <row r="1214" spans="5:5" x14ac:dyDescent="0.4">
      <c r="E1214"/>
    </row>
    <row r="1215" spans="5:5" x14ac:dyDescent="0.4">
      <c r="E1215"/>
    </row>
    <row r="1216" spans="5:5" x14ac:dyDescent="0.4">
      <c r="E1216"/>
    </row>
    <row r="1217" spans="5:5" x14ac:dyDescent="0.4">
      <c r="E1217"/>
    </row>
    <row r="1218" spans="5:5" x14ac:dyDescent="0.4">
      <c r="E1218"/>
    </row>
    <row r="1219" spans="5:5" x14ac:dyDescent="0.4">
      <c r="E1219"/>
    </row>
    <row r="1220" spans="5:5" x14ac:dyDescent="0.4">
      <c r="E1220"/>
    </row>
    <row r="1221" spans="5:5" x14ac:dyDescent="0.4">
      <c r="E1221"/>
    </row>
    <row r="1222" spans="5:5" x14ac:dyDescent="0.4">
      <c r="E1222"/>
    </row>
    <row r="1223" spans="5:5" x14ac:dyDescent="0.4">
      <c r="E1223"/>
    </row>
    <row r="1224" spans="5:5" x14ac:dyDescent="0.4">
      <c r="E1224"/>
    </row>
    <row r="1225" spans="5:5" x14ac:dyDescent="0.4">
      <c r="E1225"/>
    </row>
    <row r="1226" spans="5:5" x14ac:dyDescent="0.4">
      <c r="E1226"/>
    </row>
    <row r="1227" spans="5:5" x14ac:dyDescent="0.4">
      <c r="E1227"/>
    </row>
    <row r="1228" spans="5:5" x14ac:dyDescent="0.4">
      <c r="E1228"/>
    </row>
    <row r="1229" spans="5:5" x14ac:dyDescent="0.4">
      <c r="E1229"/>
    </row>
    <row r="1230" spans="5:5" x14ac:dyDescent="0.4">
      <c r="E1230"/>
    </row>
    <row r="1231" spans="5:5" x14ac:dyDescent="0.4">
      <c r="E1231"/>
    </row>
    <row r="1232" spans="5:5" x14ac:dyDescent="0.4">
      <c r="E1232"/>
    </row>
    <row r="1233" spans="5:5" x14ac:dyDescent="0.4">
      <c r="E1233"/>
    </row>
    <row r="1234" spans="5:5" x14ac:dyDescent="0.4">
      <c r="E1234"/>
    </row>
    <row r="1235" spans="5:5" x14ac:dyDescent="0.4">
      <c r="E1235"/>
    </row>
    <row r="1236" spans="5:5" x14ac:dyDescent="0.4">
      <c r="E1236"/>
    </row>
    <row r="1237" spans="5:5" x14ac:dyDescent="0.4">
      <c r="E1237"/>
    </row>
    <row r="1238" spans="5:5" x14ac:dyDescent="0.4">
      <c r="E1238"/>
    </row>
    <row r="1239" spans="5:5" x14ac:dyDescent="0.4">
      <c r="E1239"/>
    </row>
    <row r="1240" spans="5:5" x14ac:dyDescent="0.4">
      <c r="E1240"/>
    </row>
    <row r="1241" spans="5:5" x14ac:dyDescent="0.4">
      <c r="E1241"/>
    </row>
    <row r="1242" spans="5:5" x14ac:dyDescent="0.4">
      <c r="E1242"/>
    </row>
    <row r="1243" spans="5:5" x14ac:dyDescent="0.4">
      <c r="E1243"/>
    </row>
    <row r="1244" spans="5:5" x14ac:dyDescent="0.4">
      <c r="E1244"/>
    </row>
    <row r="1245" spans="5:5" x14ac:dyDescent="0.4">
      <c r="E1245"/>
    </row>
    <row r="1246" spans="5:5" x14ac:dyDescent="0.4">
      <c r="E1246"/>
    </row>
    <row r="1247" spans="5:5" x14ac:dyDescent="0.4">
      <c r="E1247"/>
    </row>
    <row r="1248" spans="5:5" x14ac:dyDescent="0.4">
      <c r="E1248"/>
    </row>
    <row r="1249" spans="5:5" x14ac:dyDescent="0.4">
      <c r="E1249"/>
    </row>
    <row r="1250" spans="5:5" x14ac:dyDescent="0.4">
      <c r="E1250"/>
    </row>
    <row r="1251" spans="5:5" x14ac:dyDescent="0.4">
      <c r="E1251"/>
    </row>
    <row r="1252" spans="5:5" x14ac:dyDescent="0.4">
      <c r="E1252"/>
    </row>
    <row r="1253" spans="5:5" x14ac:dyDescent="0.4">
      <c r="E1253"/>
    </row>
    <row r="1254" spans="5:5" x14ac:dyDescent="0.4">
      <c r="E1254"/>
    </row>
    <row r="1255" spans="5:5" x14ac:dyDescent="0.4">
      <c r="E1255"/>
    </row>
    <row r="1256" spans="5:5" x14ac:dyDescent="0.4">
      <c r="E1256"/>
    </row>
    <row r="1257" spans="5:5" x14ac:dyDescent="0.4">
      <c r="E1257"/>
    </row>
    <row r="1258" spans="5:5" x14ac:dyDescent="0.4">
      <c r="E1258"/>
    </row>
    <row r="1259" spans="5:5" x14ac:dyDescent="0.4">
      <c r="E1259"/>
    </row>
    <row r="1260" spans="5:5" x14ac:dyDescent="0.4">
      <c r="E1260"/>
    </row>
    <row r="1261" spans="5:5" x14ac:dyDescent="0.4">
      <c r="E1261"/>
    </row>
    <row r="1262" spans="5:5" x14ac:dyDescent="0.4">
      <c r="E1262"/>
    </row>
    <row r="1263" spans="5:5" x14ac:dyDescent="0.4">
      <c r="E1263"/>
    </row>
    <row r="1264" spans="5:5" x14ac:dyDescent="0.4">
      <c r="E1264"/>
    </row>
    <row r="1265" spans="5:5" x14ac:dyDescent="0.4">
      <c r="E1265"/>
    </row>
    <row r="1266" spans="5:5" x14ac:dyDescent="0.4">
      <c r="E1266"/>
    </row>
    <row r="1267" spans="5:5" x14ac:dyDescent="0.4">
      <c r="E1267"/>
    </row>
    <row r="1268" spans="5:5" x14ac:dyDescent="0.4">
      <c r="E1268"/>
    </row>
    <row r="1269" spans="5:5" x14ac:dyDescent="0.4">
      <c r="E1269"/>
    </row>
    <row r="1270" spans="5:5" x14ac:dyDescent="0.4">
      <c r="E1270"/>
    </row>
    <row r="1271" spans="5:5" x14ac:dyDescent="0.4">
      <c r="E1271"/>
    </row>
    <row r="1272" spans="5:5" x14ac:dyDescent="0.4">
      <c r="E1272"/>
    </row>
    <row r="1273" spans="5:5" x14ac:dyDescent="0.4">
      <c r="E1273"/>
    </row>
    <row r="1274" spans="5:5" x14ac:dyDescent="0.4">
      <c r="E1274"/>
    </row>
    <row r="1275" spans="5:5" x14ac:dyDescent="0.4">
      <c r="E1275"/>
    </row>
    <row r="1276" spans="5:5" x14ac:dyDescent="0.4">
      <c r="E1276"/>
    </row>
    <row r="1277" spans="5:5" x14ac:dyDescent="0.4">
      <c r="E1277"/>
    </row>
    <row r="1278" spans="5:5" x14ac:dyDescent="0.4">
      <c r="E1278"/>
    </row>
    <row r="1279" spans="5:5" x14ac:dyDescent="0.4">
      <c r="E1279"/>
    </row>
    <row r="1280" spans="5:5" x14ac:dyDescent="0.4">
      <c r="E1280"/>
    </row>
    <row r="1281" spans="5:5" x14ac:dyDescent="0.4">
      <c r="E1281"/>
    </row>
    <row r="1282" spans="5:5" x14ac:dyDescent="0.4">
      <c r="E1282"/>
    </row>
    <row r="1283" spans="5:5" x14ac:dyDescent="0.4">
      <c r="E1283"/>
    </row>
    <row r="1284" spans="5:5" x14ac:dyDescent="0.4">
      <c r="E1284"/>
    </row>
    <row r="1285" spans="5:5" x14ac:dyDescent="0.4">
      <c r="E1285"/>
    </row>
    <row r="1286" spans="5:5" x14ac:dyDescent="0.4">
      <c r="E1286"/>
    </row>
    <row r="1287" spans="5:5" x14ac:dyDescent="0.4">
      <c r="E1287"/>
    </row>
    <row r="1288" spans="5:5" x14ac:dyDescent="0.4">
      <c r="E1288"/>
    </row>
    <row r="1289" spans="5:5" x14ac:dyDescent="0.4">
      <c r="E1289"/>
    </row>
    <row r="1290" spans="5:5" x14ac:dyDescent="0.4">
      <c r="E1290"/>
    </row>
    <row r="1291" spans="5:5" x14ac:dyDescent="0.4">
      <c r="E1291"/>
    </row>
    <row r="1292" spans="5:5" x14ac:dyDescent="0.4">
      <c r="E1292"/>
    </row>
    <row r="1293" spans="5:5" x14ac:dyDescent="0.4">
      <c r="E1293"/>
    </row>
    <row r="1294" spans="5:5" x14ac:dyDescent="0.4">
      <c r="E1294"/>
    </row>
    <row r="1295" spans="5:5" x14ac:dyDescent="0.4">
      <c r="E1295"/>
    </row>
    <row r="1296" spans="5:5" x14ac:dyDescent="0.4">
      <c r="E1296"/>
    </row>
    <row r="1297" spans="5:5" x14ac:dyDescent="0.4">
      <c r="E1297"/>
    </row>
    <row r="1298" spans="5:5" x14ac:dyDescent="0.4">
      <c r="E1298"/>
    </row>
    <row r="1299" spans="5:5" x14ac:dyDescent="0.4">
      <c r="E1299"/>
    </row>
    <row r="1300" spans="5:5" x14ac:dyDescent="0.4">
      <c r="E1300"/>
    </row>
    <row r="1301" spans="5:5" x14ac:dyDescent="0.4">
      <c r="E1301"/>
    </row>
    <row r="1302" spans="5:5" x14ac:dyDescent="0.4">
      <c r="E1302"/>
    </row>
    <row r="1303" spans="5:5" x14ac:dyDescent="0.4">
      <c r="E1303"/>
    </row>
    <row r="1304" spans="5:5" x14ac:dyDescent="0.4">
      <c r="E1304"/>
    </row>
    <row r="1305" spans="5:5" x14ac:dyDescent="0.4">
      <c r="E1305"/>
    </row>
    <row r="1306" spans="5:5" x14ac:dyDescent="0.4">
      <c r="E1306"/>
    </row>
    <row r="1307" spans="5:5" x14ac:dyDescent="0.4">
      <c r="E1307"/>
    </row>
    <row r="1308" spans="5:5" x14ac:dyDescent="0.4">
      <c r="E1308"/>
    </row>
    <row r="1309" spans="5:5" x14ac:dyDescent="0.4">
      <c r="E1309"/>
    </row>
    <row r="1310" spans="5:5" x14ac:dyDescent="0.4">
      <c r="E1310"/>
    </row>
    <row r="1311" spans="5:5" x14ac:dyDescent="0.4">
      <c r="E1311"/>
    </row>
    <row r="1312" spans="5:5" x14ac:dyDescent="0.4">
      <c r="E1312"/>
    </row>
    <row r="1313" spans="5:5" x14ac:dyDescent="0.4">
      <c r="E1313"/>
    </row>
    <row r="1314" spans="5:5" x14ac:dyDescent="0.4">
      <c r="E1314"/>
    </row>
    <row r="1315" spans="5:5" x14ac:dyDescent="0.4">
      <c r="E1315"/>
    </row>
    <row r="1316" spans="5:5" x14ac:dyDescent="0.4">
      <c r="E1316"/>
    </row>
    <row r="1317" spans="5:5" x14ac:dyDescent="0.4">
      <c r="E1317"/>
    </row>
    <row r="1318" spans="5:5" x14ac:dyDescent="0.4">
      <c r="E1318"/>
    </row>
    <row r="1319" spans="5:5" x14ac:dyDescent="0.4">
      <c r="E1319"/>
    </row>
    <row r="1320" spans="5:5" x14ac:dyDescent="0.4">
      <c r="E1320"/>
    </row>
    <row r="1321" spans="5:5" x14ac:dyDescent="0.4">
      <c r="E1321"/>
    </row>
    <row r="1322" spans="5:5" x14ac:dyDescent="0.4">
      <c r="E1322"/>
    </row>
    <row r="1323" spans="5:5" x14ac:dyDescent="0.4">
      <c r="E1323"/>
    </row>
    <row r="1324" spans="5:5" x14ac:dyDescent="0.4">
      <c r="E1324"/>
    </row>
    <row r="1325" spans="5:5" x14ac:dyDescent="0.4">
      <c r="E1325"/>
    </row>
    <row r="1326" spans="5:5" x14ac:dyDescent="0.4">
      <c r="E1326"/>
    </row>
    <row r="1327" spans="5:5" x14ac:dyDescent="0.4">
      <c r="E1327"/>
    </row>
    <row r="1328" spans="5:5" x14ac:dyDescent="0.4">
      <c r="E1328"/>
    </row>
    <row r="1329" spans="5:5" x14ac:dyDescent="0.4">
      <c r="E1329"/>
    </row>
    <row r="1330" spans="5:5" x14ac:dyDescent="0.4">
      <c r="E1330"/>
    </row>
    <row r="1331" spans="5:5" x14ac:dyDescent="0.4">
      <c r="E1331"/>
    </row>
    <row r="1332" spans="5:5" x14ac:dyDescent="0.4">
      <c r="E1332"/>
    </row>
    <row r="1333" spans="5:5" x14ac:dyDescent="0.4">
      <c r="E1333"/>
    </row>
    <row r="1334" spans="5:5" x14ac:dyDescent="0.4">
      <c r="E1334"/>
    </row>
    <row r="1335" spans="5:5" x14ac:dyDescent="0.4">
      <c r="E1335"/>
    </row>
    <row r="1336" spans="5:5" x14ac:dyDescent="0.4">
      <c r="E1336"/>
    </row>
    <row r="1337" spans="5:5" x14ac:dyDescent="0.4">
      <c r="E1337"/>
    </row>
    <row r="1338" spans="5:5" x14ac:dyDescent="0.4">
      <c r="E1338"/>
    </row>
    <row r="1339" spans="5:5" x14ac:dyDescent="0.4">
      <c r="E1339"/>
    </row>
    <row r="1340" spans="5:5" x14ac:dyDescent="0.4">
      <c r="E1340"/>
    </row>
    <row r="1341" spans="5:5" x14ac:dyDescent="0.4">
      <c r="E1341"/>
    </row>
    <row r="1342" spans="5:5" x14ac:dyDescent="0.4">
      <c r="E1342"/>
    </row>
    <row r="1343" spans="5:5" x14ac:dyDescent="0.4">
      <c r="E1343"/>
    </row>
    <row r="1344" spans="5:5" x14ac:dyDescent="0.4">
      <c r="E1344"/>
    </row>
    <row r="1345" spans="5:5" x14ac:dyDescent="0.4">
      <c r="E1345"/>
    </row>
    <row r="1346" spans="5:5" x14ac:dyDescent="0.4">
      <c r="E1346"/>
    </row>
    <row r="1347" spans="5:5" x14ac:dyDescent="0.4">
      <c r="E1347"/>
    </row>
    <row r="1348" spans="5:5" x14ac:dyDescent="0.4">
      <c r="E1348"/>
    </row>
    <row r="1349" spans="5:5" x14ac:dyDescent="0.4">
      <c r="E1349"/>
    </row>
    <row r="1350" spans="5:5" x14ac:dyDescent="0.4">
      <c r="E1350"/>
    </row>
    <row r="1351" spans="5:5" x14ac:dyDescent="0.4">
      <c r="E1351"/>
    </row>
    <row r="1352" spans="5:5" x14ac:dyDescent="0.4">
      <c r="E1352"/>
    </row>
    <row r="1353" spans="5:5" x14ac:dyDescent="0.4">
      <c r="E1353"/>
    </row>
    <row r="1354" spans="5:5" x14ac:dyDescent="0.4">
      <c r="E1354"/>
    </row>
    <row r="1355" spans="5:5" x14ac:dyDescent="0.4">
      <c r="E1355"/>
    </row>
    <row r="1356" spans="5:5" x14ac:dyDescent="0.4">
      <c r="E1356"/>
    </row>
    <row r="1357" spans="5:5" x14ac:dyDescent="0.4">
      <c r="E1357"/>
    </row>
    <row r="1358" spans="5:5" x14ac:dyDescent="0.4">
      <c r="E1358"/>
    </row>
    <row r="1359" spans="5:5" x14ac:dyDescent="0.4">
      <c r="E1359"/>
    </row>
    <row r="1360" spans="5:5" x14ac:dyDescent="0.4">
      <c r="E1360"/>
    </row>
    <row r="1361" spans="5:5" x14ac:dyDescent="0.4">
      <c r="E1361"/>
    </row>
    <row r="1362" spans="5:5" x14ac:dyDescent="0.4">
      <c r="E1362"/>
    </row>
    <row r="1363" spans="5:5" x14ac:dyDescent="0.4">
      <c r="E1363"/>
    </row>
    <row r="1364" spans="5:5" x14ac:dyDescent="0.4">
      <c r="E1364"/>
    </row>
    <row r="1365" spans="5:5" x14ac:dyDescent="0.4">
      <c r="E1365"/>
    </row>
    <row r="1366" spans="5:5" x14ac:dyDescent="0.4">
      <c r="E1366"/>
    </row>
    <row r="1367" spans="5:5" x14ac:dyDescent="0.4">
      <c r="E1367"/>
    </row>
    <row r="1368" spans="5:5" x14ac:dyDescent="0.4">
      <c r="E1368"/>
    </row>
    <row r="1369" spans="5:5" x14ac:dyDescent="0.4">
      <c r="E1369"/>
    </row>
    <row r="1370" spans="5:5" x14ac:dyDescent="0.4">
      <c r="E1370"/>
    </row>
    <row r="1371" spans="5:5" x14ac:dyDescent="0.4">
      <c r="E1371"/>
    </row>
    <row r="1372" spans="5:5" x14ac:dyDescent="0.4">
      <c r="E1372"/>
    </row>
    <row r="1373" spans="5:5" x14ac:dyDescent="0.4">
      <c r="E1373"/>
    </row>
    <row r="1374" spans="5:5" x14ac:dyDescent="0.4">
      <c r="E1374"/>
    </row>
    <row r="1375" spans="5:5" x14ac:dyDescent="0.4">
      <c r="E1375"/>
    </row>
    <row r="1376" spans="5:5" x14ac:dyDescent="0.4">
      <c r="E1376"/>
    </row>
    <row r="1377" spans="5:5" x14ac:dyDescent="0.4">
      <c r="E1377"/>
    </row>
    <row r="1378" spans="5:5" x14ac:dyDescent="0.4">
      <c r="E1378"/>
    </row>
    <row r="1379" spans="5:5" x14ac:dyDescent="0.4">
      <c r="E1379"/>
    </row>
    <row r="1380" spans="5:5" x14ac:dyDescent="0.4">
      <c r="E1380"/>
    </row>
    <row r="1381" spans="5:5" x14ac:dyDescent="0.4">
      <c r="E1381"/>
    </row>
    <row r="1382" spans="5:5" x14ac:dyDescent="0.4">
      <c r="E1382"/>
    </row>
    <row r="1383" spans="5:5" x14ac:dyDescent="0.4">
      <c r="E1383"/>
    </row>
    <row r="1384" spans="5:5" x14ac:dyDescent="0.4">
      <c r="E1384"/>
    </row>
    <row r="1385" spans="5:5" x14ac:dyDescent="0.4">
      <c r="E1385"/>
    </row>
    <row r="1386" spans="5:5" x14ac:dyDescent="0.4">
      <c r="E1386"/>
    </row>
    <row r="1387" spans="5:5" x14ac:dyDescent="0.4">
      <c r="E1387"/>
    </row>
    <row r="1388" spans="5:5" x14ac:dyDescent="0.4">
      <c r="E1388"/>
    </row>
    <row r="1389" spans="5:5" x14ac:dyDescent="0.4">
      <c r="E1389"/>
    </row>
    <row r="1390" spans="5:5" x14ac:dyDescent="0.4">
      <c r="E1390"/>
    </row>
    <row r="1391" spans="5:5" x14ac:dyDescent="0.4">
      <c r="E1391"/>
    </row>
    <row r="1392" spans="5:5" x14ac:dyDescent="0.4">
      <c r="E1392"/>
    </row>
    <row r="1393" spans="5:5" x14ac:dyDescent="0.4">
      <c r="E1393"/>
    </row>
    <row r="1394" spans="5:5" x14ac:dyDescent="0.4">
      <c r="E1394"/>
    </row>
    <row r="1395" spans="5:5" x14ac:dyDescent="0.4">
      <c r="E1395"/>
    </row>
    <row r="1396" spans="5:5" x14ac:dyDescent="0.4">
      <c r="E1396"/>
    </row>
    <row r="1397" spans="5:5" x14ac:dyDescent="0.4">
      <c r="E1397"/>
    </row>
    <row r="1398" spans="5:5" x14ac:dyDescent="0.4">
      <c r="E1398"/>
    </row>
    <row r="1399" spans="5:5" x14ac:dyDescent="0.4">
      <c r="E1399"/>
    </row>
    <row r="1400" spans="5:5" x14ac:dyDescent="0.4">
      <c r="E1400"/>
    </row>
    <row r="1401" spans="5:5" x14ac:dyDescent="0.4">
      <c r="E1401"/>
    </row>
    <row r="1402" spans="5:5" x14ac:dyDescent="0.4">
      <c r="E1402"/>
    </row>
    <row r="1403" spans="5:5" x14ac:dyDescent="0.4">
      <c r="E1403"/>
    </row>
    <row r="1404" spans="5:5" x14ac:dyDescent="0.4">
      <c r="E1404"/>
    </row>
    <row r="1405" spans="5:5" x14ac:dyDescent="0.4">
      <c r="E1405"/>
    </row>
    <row r="1406" spans="5:5" x14ac:dyDescent="0.4">
      <c r="E1406"/>
    </row>
    <row r="1407" spans="5:5" x14ac:dyDescent="0.4">
      <c r="E1407"/>
    </row>
    <row r="1408" spans="5:5" x14ac:dyDescent="0.4">
      <c r="E1408"/>
    </row>
    <row r="1409" spans="5:5" x14ac:dyDescent="0.4">
      <c r="E1409"/>
    </row>
    <row r="1410" spans="5:5" x14ac:dyDescent="0.4">
      <c r="E1410"/>
    </row>
    <row r="1411" spans="5:5" x14ac:dyDescent="0.4">
      <c r="E1411"/>
    </row>
    <row r="1412" spans="5:5" x14ac:dyDescent="0.4">
      <c r="E1412"/>
    </row>
    <row r="1413" spans="5:5" x14ac:dyDescent="0.4">
      <c r="E1413"/>
    </row>
    <row r="1414" spans="5:5" x14ac:dyDescent="0.4">
      <c r="E1414"/>
    </row>
    <row r="1415" spans="5:5" x14ac:dyDescent="0.4">
      <c r="E1415"/>
    </row>
    <row r="1416" spans="5:5" x14ac:dyDescent="0.4">
      <c r="E1416"/>
    </row>
    <row r="1417" spans="5:5" x14ac:dyDescent="0.4">
      <c r="E1417"/>
    </row>
    <row r="1418" spans="5:5" x14ac:dyDescent="0.4">
      <c r="E1418"/>
    </row>
    <row r="1419" spans="5:5" x14ac:dyDescent="0.4">
      <c r="E1419"/>
    </row>
    <row r="1420" spans="5:5" x14ac:dyDescent="0.4">
      <c r="E1420"/>
    </row>
    <row r="1421" spans="5:5" x14ac:dyDescent="0.4">
      <c r="E1421"/>
    </row>
    <row r="1422" spans="5:5" x14ac:dyDescent="0.4">
      <c r="E1422"/>
    </row>
    <row r="1423" spans="5:5" x14ac:dyDescent="0.4">
      <c r="E1423"/>
    </row>
    <row r="1424" spans="5:5" x14ac:dyDescent="0.4">
      <c r="E1424"/>
    </row>
    <row r="1425" spans="5:5" x14ac:dyDescent="0.4">
      <c r="E1425"/>
    </row>
    <row r="1426" spans="5:5" x14ac:dyDescent="0.4">
      <c r="E1426"/>
    </row>
    <row r="1427" spans="5:5" x14ac:dyDescent="0.4">
      <c r="E1427"/>
    </row>
    <row r="1428" spans="5:5" x14ac:dyDescent="0.4">
      <c r="E1428"/>
    </row>
    <row r="1429" spans="5:5" x14ac:dyDescent="0.4">
      <c r="E1429"/>
    </row>
    <row r="1430" spans="5:5" x14ac:dyDescent="0.4">
      <c r="E1430"/>
    </row>
    <row r="1431" spans="5:5" x14ac:dyDescent="0.4">
      <c r="E1431"/>
    </row>
    <row r="1432" spans="5:5" x14ac:dyDescent="0.4">
      <c r="E1432"/>
    </row>
    <row r="1433" spans="5:5" x14ac:dyDescent="0.4">
      <c r="E1433"/>
    </row>
    <row r="1434" spans="5:5" x14ac:dyDescent="0.4">
      <c r="E1434"/>
    </row>
    <row r="1435" spans="5:5" x14ac:dyDescent="0.4">
      <c r="E1435"/>
    </row>
    <row r="1436" spans="5:5" x14ac:dyDescent="0.4">
      <c r="E1436"/>
    </row>
    <row r="1437" spans="5:5" x14ac:dyDescent="0.4">
      <c r="E1437"/>
    </row>
    <row r="1438" spans="5:5" x14ac:dyDescent="0.4">
      <c r="E1438"/>
    </row>
    <row r="1439" spans="5:5" x14ac:dyDescent="0.4">
      <c r="E1439"/>
    </row>
    <row r="1440" spans="5:5" x14ac:dyDescent="0.4">
      <c r="E1440"/>
    </row>
    <row r="1441" spans="5:5" x14ac:dyDescent="0.4">
      <c r="E1441"/>
    </row>
    <row r="1442" spans="5:5" x14ac:dyDescent="0.4">
      <c r="E1442"/>
    </row>
    <row r="1443" spans="5:5" x14ac:dyDescent="0.4">
      <c r="E1443"/>
    </row>
    <row r="1444" spans="5:5" x14ac:dyDescent="0.4">
      <c r="E1444"/>
    </row>
    <row r="1445" spans="5:5" x14ac:dyDescent="0.4">
      <c r="E1445"/>
    </row>
    <row r="1446" spans="5:5" x14ac:dyDescent="0.4">
      <c r="E1446"/>
    </row>
    <row r="1447" spans="5:5" x14ac:dyDescent="0.4">
      <c r="E1447"/>
    </row>
    <row r="1448" spans="5:5" x14ac:dyDescent="0.4">
      <c r="E1448"/>
    </row>
    <row r="1449" spans="5:5" x14ac:dyDescent="0.4">
      <c r="E1449"/>
    </row>
    <row r="1450" spans="5:5" x14ac:dyDescent="0.4">
      <c r="E1450"/>
    </row>
    <row r="1451" spans="5:5" x14ac:dyDescent="0.4">
      <c r="E1451"/>
    </row>
    <row r="1452" spans="5:5" x14ac:dyDescent="0.4">
      <c r="E1452"/>
    </row>
    <row r="1453" spans="5:5" x14ac:dyDescent="0.4">
      <c r="E1453"/>
    </row>
    <row r="1454" spans="5:5" x14ac:dyDescent="0.4">
      <c r="E1454"/>
    </row>
    <row r="1455" spans="5:5" x14ac:dyDescent="0.4">
      <c r="E1455"/>
    </row>
    <row r="1456" spans="5:5" x14ac:dyDescent="0.4">
      <c r="E1456"/>
    </row>
    <row r="1457" spans="5:5" x14ac:dyDescent="0.4">
      <c r="E1457"/>
    </row>
    <row r="1458" spans="5:5" x14ac:dyDescent="0.4">
      <c r="E1458"/>
    </row>
    <row r="1459" spans="5:5" x14ac:dyDescent="0.4">
      <c r="E1459"/>
    </row>
    <row r="1460" spans="5:5" x14ac:dyDescent="0.4">
      <c r="E1460"/>
    </row>
    <row r="1461" spans="5:5" x14ac:dyDescent="0.4">
      <c r="E1461"/>
    </row>
    <row r="1462" spans="5:5" x14ac:dyDescent="0.4">
      <c r="E1462"/>
    </row>
    <row r="1463" spans="5:5" x14ac:dyDescent="0.4">
      <c r="E1463"/>
    </row>
    <row r="1464" spans="5:5" x14ac:dyDescent="0.4">
      <c r="E1464"/>
    </row>
    <row r="1465" spans="5:5" x14ac:dyDescent="0.4">
      <c r="E1465"/>
    </row>
    <row r="1466" spans="5:5" x14ac:dyDescent="0.4">
      <c r="E1466"/>
    </row>
    <row r="1467" spans="5:5" x14ac:dyDescent="0.4">
      <c r="E1467"/>
    </row>
    <row r="1468" spans="5:5" x14ac:dyDescent="0.4">
      <c r="E1468"/>
    </row>
    <row r="1469" spans="5:5" x14ac:dyDescent="0.4">
      <c r="E1469"/>
    </row>
    <row r="1470" spans="5:5" x14ac:dyDescent="0.4">
      <c r="E1470"/>
    </row>
    <row r="1471" spans="5:5" x14ac:dyDescent="0.4">
      <c r="E1471"/>
    </row>
    <row r="1472" spans="5:5" x14ac:dyDescent="0.4">
      <c r="E1472"/>
    </row>
    <row r="1473" spans="5:5" x14ac:dyDescent="0.4">
      <c r="E1473"/>
    </row>
    <row r="1474" spans="5:5" x14ac:dyDescent="0.4">
      <c r="E1474"/>
    </row>
    <row r="1475" spans="5:5" x14ac:dyDescent="0.4">
      <c r="E1475"/>
    </row>
    <row r="1476" spans="5:5" x14ac:dyDescent="0.4">
      <c r="E1476"/>
    </row>
    <row r="1477" spans="5:5" x14ac:dyDescent="0.4">
      <c r="E1477"/>
    </row>
    <row r="1478" spans="5:5" x14ac:dyDescent="0.4">
      <c r="E1478"/>
    </row>
    <row r="1479" spans="5:5" x14ac:dyDescent="0.4">
      <c r="E1479"/>
    </row>
    <row r="1480" spans="5:5" x14ac:dyDescent="0.4">
      <c r="E1480"/>
    </row>
    <row r="1481" spans="5:5" x14ac:dyDescent="0.4">
      <c r="E1481"/>
    </row>
    <row r="1482" spans="5:5" x14ac:dyDescent="0.4">
      <c r="E1482"/>
    </row>
    <row r="1483" spans="5:5" x14ac:dyDescent="0.4">
      <c r="E1483"/>
    </row>
    <row r="1484" spans="5:5" x14ac:dyDescent="0.4">
      <c r="E1484"/>
    </row>
    <row r="1485" spans="5:5" x14ac:dyDescent="0.4">
      <c r="E1485"/>
    </row>
    <row r="1486" spans="5:5" x14ac:dyDescent="0.4">
      <c r="E1486"/>
    </row>
    <row r="1487" spans="5:5" x14ac:dyDescent="0.4">
      <c r="E1487"/>
    </row>
    <row r="1488" spans="5:5" x14ac:dyDescent="0.4">
      <c r="E1488"/>
    </row>
    <row r="1489" spans="5:5" x14ac:dyDescent="0.4">
      <c r="E1489"/>
    </row>
    <row r="1490" spans="5:5" x14ac:dyDescent="0.4">
      <c r="E1490"/>
    </row>
    <row r="1491" spans="5:5" x14ac:dyDescent="0.4">
      <c r="E1491"/>
    </row>
    <row r="1492" spans="5:5" x14ac:dyDescent="0.4">
      <c r="E1492"/>
    </row>
    <row r="1493" spans="5:5" x14ac:dyDescent="0.4">
      <c r="E1493"/>
    </row>
    <row r="1494" spans="5:5" x14ac:dyDescent="0.4">
      <c r="E1494"/>
    </row>
    <row r="1495" spans="5:5" x14ac:dyDescent="0.4">
      <c r="E1495"/>
    </row>
    <row r="1496" spans="5:5" x14ac:dyDescent="0.4">
      <c r="E1496"/>
    </row>
    <row r="1497" spans="5:5" x14ac:dyDescent="0.4">
      <c r="E1497"/>
    </row>
    <row r="1498" spans="5:5" x14ac:dyDescent="0.4">
      <c r="E1498"/>
    </row>
    <row r="1499" spans="5:5" x14ac:dyDescent="0.4">
      <c r="E1499"/>
    </row>
    <row r="1500" spans="5:5" x14ac:dyDescent="0.4">
      <c r="E1500"/>
    </row>
    <row r="1501" spans="5:5" x14ac:dyDescent="0.4">
      <c r="E1501"/>
    </row>
    <row r="1502" spans="5:5" x14ac:dyDescent="0.4">
      <c r="E1502"/>
    </row>
    <row r="1503" spans="5:5" x14ac:dyDescent="0.4">
      <c r="E1503"/>
    </row>
    <row r="1504" spans="5:5" x14ac:dyDescent="0.4">
      <c r="E1504"/>
    </row>
    <row r="1505" spans="5:5" x14ac:dyDescent="0.4">
      <c r="E1505"/>
    </row>
    <row r="1506" spans="5:5" x14ac:dyDescent="0.4">
      <c r="E1506"/>
    </row>
    <row r="1507" spans="5:5" x14ac:dyDescent="0.4">
      <c r="E1507"/>
    </row>
    <row r="1508" spans="5:5" x14ac:dyDescent="0.4">
      <c r="E1508"/>
    </row>
    <row r="1509" spans="5:5" x14ac:dyDescent="0.4">
      <c r="E1509"/>
    </row>
    <row r="1510" spans="5:5" x14ac:dyDescent="0.4">
      <c r="E1510"/>
    </row>
    <row r="1511" spans="5:5" x14ac:dyDescent="0.4">
      <c r="E1511"/>
    </row>
    <row r="1512" spans="5:5" x14ac:dyDescent="0.4">
      <c r="E1512"/>
    </row>
    <row r="1513" spans="5:5" x14ac:dyDescent="0.4">
      <c r="E1513"/>
    </row>
    <row r="1514" spans="5:5" x14ac:dyDescent="0.4">
      <c r="E1514"/>
    </row>
    <row r="1515" spans="5:5" x14ac:dyDescent="0.4">
      <c r="E1515"/>
    </row>
    <row r="1516" spans="5:5" x14ac:dyDescent="0.4">
      <c r="E1516"/>
    </row>
    <row r="1517" spans="5:5" x14ac:dyDescent="0.4">
      <c r="E1517"/>
    </row>
    <row r="1518" spans="5:5" x14ac:dyDescent="0.4">
      <c r="E1518"/>
    </row>
    <row r="1519" spans="5:5" x14ac:dyDescent="0.4">
      <c r="E1519"/>
    </row>
    <row r="1520" spans="5:5" x14ac:dyDescent="0.4">
      <c r="E1520"/>
    </row>
    <row r="1521" spans="5:5" x14ac:dyDescent="0.4">
      <c r="E1521"/>
    </row>
    <row r="1522" spans="5:5" x14ac:dyDescent="0.4">
      <c r="E1522"/>
    </row>
    <row r="1523" spans="5:5" x14ac:dyDescent="0.4">
      <c r="E1523"/>
    </row>
    <row r="1524" spans="5:5" x14ac:dyDescent="0.4">
      <c r="E1524"/>
    </row>
    <row r="1525" spans="5:5" x14ac:dyDescent="0.4">
      <c r="E1525"/>
    </row>
    <row r="1526" spans="5:5" x14ac:dyDescent="0.4">
      <c r="E1526"/>
    </row>
    <row r="1527" spans="5:5" x14ac:dyDescent="0.4">
      <c r="E1527"/>
    </row>
    <row r="1528" spans="5:5" x14ac:dyDescent="0.4">
      <c r="E1528"/>
    </row>
    <row r="1529" spans="5:5" x14ac:dyDescent="0.4">
      <c r="E1529"/>
    </row>
    <row r="1530" spans="5:5" x14ac:dyDescent="0.4">
      <c r="E1530"/>
    </row>
    <row r="1531" spans="5:5" x14ac:dyDescent="0.4">
      <c r="E1531"/>
    </row>
    <row r="1532" spans="5:5" x14ac:dyDescent="0.4">
      <c r="E1532"/>
    </row>
    <row r="1533" spans="5:5" x14ac:dyDescent="0.4">
      <c r="E1533"/>
    </row>
    <row r="1534" spans="5:5" x14ac:dyDescent="0.4">
      <c r="E1534"/>
    </row>
    <row r="1535" spans="5:5" x14ac:dyDescent="0.4">
      <c r="E1535"/>
    </row>
    <row r="1536" spans="5:5" x14ac:dyDescent="0.4">
      <c r="E1536"/>
    </row>
    <row r="1537" spans="5:5" x14ac:dyDescent="0.4">
      <c r="E1537"/>
    </row>
    <row r="1538" spans="5:5" x14ac:dyDescent="0.4">
      <c r="E1538"/>
    </row>
    <row r="1539" spans="5:5" x14ac:dyDescent="0.4">
      <c r="E1539"/>
    </row>
    <row r="1540" spans="5:5" x14ac:dyDescent="0.4">
      <c r="E1540"/>
    </row>
    <row r="1541" spans="5:5" x14ac:dyDescent="0.4">
      <c r="E1541"/>
    </row>
    <row r="1542" spans="5:5" x14ac:dyDescent="0.4">
      <c r="E1542"/>
    </row>
    <row r="1543" spans="5:5" x14ac:dyDescent="0.4">
      <c r="E1543"/>
    </row>
    <row r="1544" spans="5:5" x14ac:dyDescent="0.4">
      <c r="E1544"/>
    </row>
    <row r="1545" spans="5:5" x14ac:dyDescent="0.4">
      <c r="E1545"/>
    </row>
    <row r="1546" spans="5:5" x14ac:dyDescent="0.4">
      <c r="E1546"/>
    </row>
    <row r="1547" spans="5:5" x14ac:dyDescent="0.4">
      <c r="E1547"/>
    </row>
    <row r="1548" spans="5:5" x14ac:dyDescent="0.4">
      <c r="E1548"/>
    </row>
    <row r="1549" spans="5:5" x14ac:dyDescent="0.4">
      <c r="E1549"/>
    </row>
    <row r="1550" spans="5:5" x14ac:dyDescent="0.4">
      <c r="E1550"/>
    </row>
    <row r="1551" spans="5:5" x14ac:dyDescent="0.4">
      <c r="E1551"/>
    </row>
    <row r="1552" spans="5:5" x14ac:dyDescent="0.4">
      <c r="E1552"/>
    </row>
    <row r="1553" spans="5:5" x14ac:dyDescent="0.4">
      <c r="E1553"/>
    </row>
    <row r="1554" spans="5:5" x14ac:dyDescent="0.4">
      <c r="E1554"/>
    </row>
    <row r="1555" spans="5:5" x14ac:dyDescent="0.4">
      <c r="E1555"/>
    </row>
    <row r="1556" spans="5:5" x14ac:dyDescent="0.4">
      <c r="E1556"/>
    </row>
    <row r="1557" spans="5:5" x14ac:dyDescent="0.4">
      <c r="E1557"/>
    </row>
    <row r="1558" spans="5:5" x14ac:dyDescent="0.4">
      <c r="E1558"/>
    </row>
    <row r="1559" spans="5:5" x14ac:dyDescent="0.4">
      <c r="E1559"/>
    </row>
    <row r="1560" spans="5:5" x14ac:dyDescent="0.4">
      <c r="E1560"/>
    </row>
    <row r="1561" spans="5:5" x14ac:dyDescent="0.4">
      <c r="E1561"/>
    </row>
    <row r="1562" spans="5:5" x14ac:dyDescent="0.4">
      <c r="E1562"/>
    </row>
    <row r="1563" spans="5:5" x14ac:dyDescent="0.4">
      <c r="E1563"/>
    </row>
    <row r="1564" spans="5:5" x14ac:dyDescent="0.4">
      <c r="E1564"/>
    </row>
    <row r="1565" spans="5:5" x14ac:dyDescent="0.4">
      <c r="E1565"/>
    </row>
    <row r="1566" spans="5:5" x14ac:dyDescent="0.4">
      <c r="E1566"/>
    </row>
    <row r="1567" spans="5:5" x14ac:dyDescent="0.4">
      <c r="E1567"/>
    </row>
    <row r="1568" spans="5:5" x14ac:dyDescent="0.4">
      <c r="E1568"/>
    </row>
    <row r="1569" spans="5:5" x14ac:dyDescent="0.4">
      <c r="E1569"/>
    </row>
    <row r="1570" spans="5:5" x14ac:dyDescent="0.4">
      <c r="E1570"/>
    </row>
    <row r="1571" spans="5:5" x14ac:dyDescent="0.4">
      <c r="E1571"/>
    </row>
    <row r="1572" spans="5:5" x14ac:dyDescent="0.4">
      <c r="E1572"/>
    </row>
    <row r="1573" spans="5:5" x14ac:dyDescent="0.4">
      <c r="E1573"/>
    </row>
    <row r="1574" spans="5:5" x14ac:dyDescent="0.4">
      <c r="E1574"/>
    </row>
    <row r="1575" spans="5:5" x14ac:dyDescent="0.4">
      <c r="E1575"/>
    </row>
    <row r="1576" spans="5:5" x14ac:dyDescent="0.4">
      <c r="E1576"/>
    </row>
    <row r="1577" spans="5:5" x14ac:dyDescent="0.4">
      <c r="E1577"/>
    </row>
    <row r="1578" spans="5:5" x14ac:dyDescent="0.4">
      <c r="E1578"/>
    </row>
    <row r="1579" spans="5:5" x14ac:dyDescent="0.4">
      <c r="E1579"/>
    </row>
    <row r="1580" spans="5:5" x14ac:dyDescent="0.4">
      <c r="E1580"/>
    </row>
    <row r="1581" spans="5:5" x14ac:dyDescent="0.4">
      <c r="E1581"/>
    </row>
    <row r="1582" spans="5:5" x14ac:dyDescent="0.4">
      <c r="E1582"/>
    </row>
    <row r="1583" spans="5:5" x14ac:dyDescent="0.4">
      <c r="E1583"/>
    </row>
    <row r="1584" spans="5:5" x14ac:dyDescent="0.4">
      <c r="E1584"/>
    </row>
    <row r="1585" spans="5:5" x14ac:dyDescent="0.4">
      <c r="E1585"/>
    </row>
    <row r="1586" spans="5:5" x14ac:dyDescent="0.4">
      <c r="E1586"/>
    </row>
    <row r="1587" spans="5:5" x14ac:dyDescent="0.4">
      <c r="E1587"/>
    </row>
    <row r="1588" spans="5:5" x14ac:dyDescent="0.4">
      <c r="E1588"/>
    </row>
    <row r="1589" spans="5:5" x14ac:dyDescent="0.4">
      <c r="E1589"/>
    </row>
    <row r="1590" spans="5:5" x14ac:dyDescent="0.4">
      <c r="E1590"/>
    </row>
    <row r="1591" spans="5:5" x14ac:dyDescent="0.4">
      <c r="E1591"/>
    </row>
    <row r="1592" spans="5:5" x14ac:dyDescent="0.4">
      <c r="E1592"/>
    </row>
    <row r="1593" spans="5:5" x14ac:dyDescent="0.4">
      <c r="E1593"/>
    </row>
    <row r="1594" spans="5:5" x14ac:dyDescent="0.4">
      <c r="E1594"/>
    </row>
    <row r="1595" spans="5:5" x14ac:dyDescent="0.4">
      <c r="E1595"/>
    </row>
    <row r="1596" spans="5:5" x14ac:dyDescent="0.4">
      <c r="E1596"/>
    </row>
    <row r="1597" spans="5:5" x14ac:dyDescent="0.4">
      <c r="E1597"/>
    </row>
    <row r="1598" spans="5:5" x14ac:dyDescent="0.4">
      <c r="E1598"/>
    </row>
    <row r="1599" spans="5:5" x14ac:dyDescent="0.4">
      <c r="E1599"/>
    </row>
    <row r="1600" spans="5:5" x14ac:dyDescent="0.4">
      <c r="E1600"/>
    </row>
    <row r="1601" spans="5:5" x14ac:dyDescent="0.4">
      <c r="E1601"/>
    </row>
    <row r="1602" spans="5:5" x14ac:dyDescent="0.4">
      <c r="E1602"/>
    </row>
    <row r="1603" spans="5:5" x14ac:dyDescent="0.4">
      <c r="E1603"/>
    </row>
    <row r="1604" spans="5:5" x14ac:dyDescent="0.4">
      <c r="E1604"/>
    </row>
    <row r="1605" spans="5:5" x14ac:dyDescent="0.4">
      <c r="E1605"/>
    </row>
    <row r="1606" spans="5:5" x14ac:dyDescent="0.4">
      <c r="E1606"/>
    </row>
    <row r="1607" spans="5:5" x14ac:dyDescent="0.4">
      <c r="E1607"/>
    </row>
    <row r="1608" spans="5:5" x14ac:dyDescent="0.4">
      <c r="E1608"/>
    </row>
    <row r="1609" spans="5:5" x14ac:dyDescent="0.4">
      <c r="E1609"/>
    </row>
    <row r="1610" spans="5:5" x14ac:dyDescent="0.4">
      <c r="E1610"/>
    </row>
    <row r="1611" spans="5:5" x14ac:dyDescent="0.4">
      <c r="E1611"/>
    </row>
    <row r="1612" spans="5:5" x14ac:dyDescent="0.4">
      <c r="E1612"/>
    </row>
    <row r="1613" spans="5:5" x14ac:dyDescent="0.4">
      <c r="E1613"/>
    </row>
    <row r="1614" spans="5:5" x14ac:dyDescent="0.4">
      <c r="E1614"/>
    </row>
    <row r="1615" spans="5:5" x14ac:dyDescent="0.4">
      <c r="E1615"/>
    </row>
    <row r="1616" spans="5:5" x14ac:dyDescent="0.4">
      <c r="E1616"/>
    </row>
    <row r="1617" spans="5:5" x14ac:dyDescent="0.4">
      <c r="E1617"/>
    </row>
    <row r="1618" spans="5:5" x14ac:dyDescent="0.4">
      <c r="E1618"/>
    </row>
    <row r="1619" spans="5:5" x14ac:dyDescent="0.4">
      <c r="E1619"/>
    </row>
    <row r="1620" spans="5:5" x14ac:dyDescent="0.4">
      <c r="E1620"/>
    </row>
    <row r="1621" spans="5:5" x14ac:dyDescent="0.4">
      <c r="E1621"/>
    </row>
    <row r="1622" spans="5:5" x14ac:dyDescent="0.4">
      <c r="E1622"/>
    </row>
    <row r="1623" spans="5:5" x14ac:dyDescent="0.4">
      <c r="E1623"/>
    </row>
    <row r="1624" spans="5:5" x14ac:dyDescent="0.4">
      <c r="E1624"/>
    </row>
    <row r="1625" spans="5:5" x14ac:dyDescent="0.4">
      <c r="E1625"/>
    </row>
    <row r="1626" spans="5:5" x14ac:dyDescent="0.4">
      <c r="E1626"/>
    </row>
    <row r="1627" spans="5:5" x14ac:dyDescent="0.4">
      <c r="E1627"/>
    </row>
    <row r="1628" spans="5:5" x14ac:dyDescent="0.4">
      <c r="E1628"/>
    </row>
    <row r="1629" spans="5:5" x14ac:dyDescent="0.4">
      <c r="E1629"/>
    </row>
    <row r="1630" spans="5:5" x14ac:dyDescent="0.4">
      <c r="E1630"/>
    </row>
    <row r="1631" spans="5:5" x14ac:dyDescent="0.4">
      <c r="E1631"/>
    </row>
    <row r="1632" spans="5:5" x14ac:dyDescent="0.4">
      <c r="E1632"/>
    </row>
    <row r="1633" spans="5:5" x14ac:dyDescent="0.4">
      <c r="E1633"/>
    </row>
    <row r="1634" spans="5:5" x14ac:dyDescent="0.4">
      <c r="E1634"/>
    </row>
    <row r="1635" spans="5:5" x14ac:dyDescent="0.4">
      <c r="E1635"/>
    </row>
    <row r="1636" spans="5:5" x14ac:dyDescent="0.4">
      <c r="E1636"/>
    </row>
    <row r="1637" spans="5:5" x14ac:dyDescent="0.4">
      <c r="E1637"/>
    </row>
    <row r="1638" spans="5:5" x14ac:dyDescent="0.4">
      <c r="E1638"/>
    </row>
    <row r="1639" spans="5:5" x14ac:dyDescent="0.4">
      <c r="E1639"/>
    </row>
    <row r="1640" spans="5:5" x14ac:dyDescent="0.4">
      <c r="E1640"/>
    </row>
    <row r="1641" spans="5:5" x14ac:dyDescent="0.4">
      <c r="E1641"/>
    </row>
    <row r="1642" spans="5:5" x14ac:dyDescent="0.4">
      <c r="E1642"/>
    </row>
    <row r="1643" spans="5:5" x14ac:dyDescent="0.4">
      <c r="E1643"/>
    </row>
    <row r="1644" spans="5:5" x14ac:dyDescent="0.4">
      <c r="E1644"/>
    </row>
    <row r="1645" spans="5:5" x14ac:dyDescent="0.4">
      <c r="E1645"/>
    </row>
    <row r="1646" spans="5:5" x14ac:dyDescent="0.4">
      <c r="E1646"/>
    </row>
    <row r="1647" spans="5:5" x14ac:dyDescent="0.4">
      <c r="E1647"/>
    </row>
    <row r="1648" spans="5:5" x14ac:dyDescent="0.4">
      <c r="E1648"/>
    </row>
    <row r="1649" spans="5:5" x14ac:dyDescent="0.4">
      <c r="E1649"/>
    </row>
    <row r="1650" spans="5:5" x14ac:dyDescent="0.4">
      <c r="E1650"/>
    </row>
    <row r="1651" spans="5:5" x14ac:dyDescent="0.4">
      <c r="E1651"/>
    </row>
    <row r="1652" spans="5:5" x14ac:dyDescent="0.4">
      <c r="E1652"/>
    </row>
    <row r="1653" spans="5:5" x14ac:dyDescent="0.4">
      <c r="E1653"/>
    </row>
    <row r="1654" spans="5:5" x14ac:dyDescent="0.4">
      <c r="E1654"/>
    </row>
    <row r="1655" spans="5:5" x14ac:dyDescent="0.4">
      <c r="E1655"/>
    </row>
    <row r="1656" spans="5:5" x14ac:dyDescent="0.4">
      <c r="E1656"/>
    </row>
    <row r="1657" spans="5:5" x14ac:dyDescent="0.4">
      <c r="E1657"/>
    </row>
    <row r="1658" spans="5:5" x14ac:dyDescent="0.4">
      <c r="E1658"/>
    </row>
    <row r="1659" spans="5:5" x14ac:dyDescent="0.4">
      <c r="E1659"/>
    </row>
    <row r="1660" spans="5:5" x14ac:dyDescent="0.4">
      <c r="E1660"/>
    </row>
    <row r="1661" spans="5:5" x14ac:dyDescent="0.4">
      <c r="E1661"/>
    </row>
    <row r="1662" spans="5:5" x14ac:dyDescent="0.4">
      <c r="E1662"/>
    </row>
    <row r="1663" spans="5:5" x14ac:dyDescent="0.4">
      <c r="E1663"/>
    </row>
    <row r="1664" spans="5:5" x14ac:dyDescent="0.4">
      <c r="E1664"/>
    </row>
    <row r="1665" spans="5:5" x14ac:dyDescent="0.4">
      <c r="E1665"/>
    </row>
    <row r="1666" spans="5:5" x14ac:dyDescent="0.4">
      <c r="E1666"/>
    </row>
    <row r="1667" spans="5:5" x14ac:dyDescent="0.4">
      <c r="E1667"/>
    </row>
    <row r="1668" spans="5:5" x14ac:dyDescent="0.4">
      <c r="E1668"/>
    </row>
    <row r="1669" spans="5:5" x14ac:dyDescent="0.4">
      <c r="E1669"/>
    </row>
    <row r="1670" spans="5:5" x14ac:dyDescent="0.4">
      <c r="E1670"/>
    </row>
    <row r="1671" spans="5:5" x14ac:dyDescent="0.4">
      <c r="E1671"/>
    </row>
    <row r="1672" spans="5:5" x14ac:dyDescent="0.4">
      <c r="E1672"/>
    </row>
    <row r="1673" spans="5:5" x14ac:dyDescent="0.4">
      <c r="E1673"/>
    </row>
    <row r="1674" spans="5:5" x14ac:dyDescent="0.4">
      <c r="E1674"/>
    </row>
    <row r="1675" spans="5:5" x14ac:dyDescent="0.4">
      <c r="E1675"/>
    </row>
    <row r="1676" spans="5:5" x14ac:dyDescent="0.4">
      <c r="E1676"/>
    </row>
    <row r="1677" spans="5:5" x14ac:dyDescent="0.4">
      <c r="E1677"/>
    </row>
    <row r="1678" spans="5:5" x14ac:dyDescent="0.4">
      <c r="E1678"/>
    </row>
    <row r="1679" spans="5:5" x14ac:dyDescent="0.4">
      <c r="E1679"/>
    </row>
    <row r="1680" spans="5:5" x14ac:dyDescent="0.4">
      <c r="E1680"/>
    </row>
    <row r="1681" spans="5:5" x14ac:dyDescent="0.4">
      <c r="E1681"/>
    </row>
    <row r="1682" spans="5:5" x14ac:dyDescent="0.4">
      <c r="E1682"/>
    </row>
    <row r="1683" spans="5:5" x14ac:dyDescent="0.4">
      <c r="E1683"/>
    </row>
    <row r="1684" spans="5:5" x14ac:dyDescent="0.4">
      <c r="E1684"/>
    </row>
    <row r="1685" spans="5:5" x14ac:dyDescent="0.4">
      <c r="E1685"/>
    </row>
    <row r="1686" spans="5:5" x14ac:dyDescent="0.4">
      <c r="E1686"/>
    </row>
    <row r="1687" spans="5:5" x14ac:dyDescent="0.4">
      <c r="E1687"/>
    </row>
    <row r="1688" spans="5:5" x14ac:dyDescent="0.4">
      <c r="E1688"/>
    </row>
    <row r="1689" spans="5:5" x14ac:dyDescent="0.4">
      <c r="E1689"/>
    </row>
    <row r="1690" spans="5:5" x14ac:dyDescent="0.4">
      <c r="E1690"/>
    </row>
    <row r="1691" spans="5:5" x14ac:dyDescent="0.4">
      <c r="E1691"/>
    </row>
    <row r="1692" spans="5:5" x14ac:dyDescent="0.4">
      <c r="E1692"/>
    </row>
    <row r="1693" spans="5:5" x14ac:dyDescent="0.4">
      <c r="E1693"/>
    </row>
    <row r="1694" spans="5:5" x14ac:dyDescent="0.4">
      <c r="E1694"/>
    </row>
    <row r="1695" spans="5:5" x14ac:dyDescent="0.4">
      <c r="E1695"/>
    </row>
    <row r="1696" spans="5:5" x14ac:dyDescent="0.4">
      <c r="E1696"/>
    </row>
    <row r="1697" spans="5:5" x14ac:dyDescent="0.4">
      <c r="E1697"/>
    </row>
    <row r="1698" spans="5:5" x14ac:dyDescent="0.4">
      <c r="E1698"/>
    </row>
    <row r="1699" spans="5:5" x14ac:dyDescent="0.4">
      <c r="E1699"/>
    </row>
    <row r="1700" spans="5:5" x14ac:dyDescent="0.4">
      <c r="E1700"/>
    </row>
    <row r="1701" spans="5:5" x14ac:dyDescent="0.4">
      <c r="E1701"/>
    </row>
    <row r="1702" spans="5:5" x14ac:dyDescent="0.4">
      <c r="E1702"/>
    </row>
    <row r="1703" spans="5:5" x14ac:dyDescent="0.4">
      <c r="E1703"/>
    </row>
    <row r="1704" spans="5:5" x14ac:dyDescent="0.4">
      <c r="E1704"/>
    </row>
    <row r="1705" spans="5:5" x14ac:dyDescent="0.4">
      <c r="E1705"/>
    </row>
    <row r="1706" spans="5:5" x14ac:dyDescent="0.4">
      <c r="E1706"/>
    </row>
    <row r="1707" spans="5:5" x14ac:dyDescent="0.4">
      <c r="E1707"/>
    </row>
    <row r="1708" spans="5:5" x14ac:dyDescent="0.4">
      <c r="E1708"/>
    </row>
    <row r="1709" spans="5:5" x14ac:dyDescent="0.4">
      <c r="E1709"/>
    </row>
    <row r="1710" spans="5:5" x14ac:dyDescent="0.4">
      <c r="E1710"/>
    </row>
    <row r="1711" spans="5:5" x14ac:dyDescent="0.4">
      <c r="E1711"/>
    </row>
    <row r="1712" spans="5:5" x14ac:dyDescent="0.4">
      <c r="E1712"/>
    </row>
    <row r="1713" spans="5:5" x14ac:dyDescent="0.4">
      <c r="E1713"/>
    </row>
    <row r="1714" spans="5:5" x14ac:dyDescent="0.4">
      <c r="E1714"/>
    </row>
    <row r="1715" spans="5:5" x14ac:dyDescent="0.4">
      <c r="E1715"/>
    </row>
    <row r="1716" spans="5:5" x14ac:dyDescent="0.4">
      <c r="E1716"/>
    </row>
    <row r="1717" spans="5:5" x14ac:dyDescent="0.4">
      <c r="E1717"/>
    </row>
    <row r="1718" spans="5:5" x14ac:dyDescent="0.4">
      <c r="E1718"/>
    </row>
    <row r="1719" spans="5:5" x14ac:dyDescent="0.4">
      <c r="E1719"/>
    </row>
    <row r="1720" spans="5:5" x14ac:dyDescent="0.4">
      <c r="E1720"/>
    </row>
    <row r="1721" spans="5:5" x14ac:dyDescent="0.4">
      <c r="E1721"/>
    </row>
    <row r="1722" spans="5:5" x14ac:dyDescent="0.4">
      <c r="E1722"/>
    </row>
    <row r="1723" spans="5:5" x14ac:dyDescent="0.4">
      <c r="E1723"/>
    </row>
    <row r="1724" spans="5:5" x14ac:dyDescent="0.4">
      <c r="E1724"/>
    </row>
    <row r="1725" spans="5:5" x14ac:dyDescent="0.4">
      <c r="E1725"/>
    </row>
    <row r="1726" spans="5:5" x14ac:dyDescent="0.4">
      <c r="E1726"/>
    </row>
    <row r="1727" spans="5:5" x14ac:dyDescent="0.4">
      <c r="E1727"/>
    </row>
    <row r="1728" spans="5:5" x14ac:dyDescent="0.4">
      <c r="E1728"/>
    </row>
    <row r="1729" spans="5:5" x14ac:dyDescent="0.4">
      <c r="E1729"/>
    </row>
    <row r="1730" spans="5:5" x14ac:dyDescent="0.4">
      <c r="E1730"/>
    </row>
    <row r="1731" spans="5:5" x14ac:dyDescent="0.4">
      <c r="E1731"/>
    </row>
    <row r="1732" spans="5:5" x14ac:dyDescent="0.4">
      <c r="E1732"/>
    </row>
    <row r="1733" spans="5:5" x14ac:dyDescent="0.4">
      <c r="E1733"/>
    </row>
    <row r="1734" spans="5:5" x14ac:dyDescent="0.4">
      <c r="E1734"/>
    </row>
    <row r="1735" spans="5:5" x14ac:dyDescent="0.4">
      <c r="E1735"/>
    </row>
    <row r="1736" spans="5:5" x14ac:dyDescent="0.4">
      <c r="E1736"/>
    </row>
    <row r="1737" spans="5:5" x14ac:dyDescent="0.4">
      <c r="E1737"/>
    </row>
    <row r="1738" spans="5:5" x14ac:dyDescent="0.4">
      <c r="E1738"/>
    </row>
    <row r="1739" spans="5:5" x14ac:dyDescent="0.4">
      <c r="E1739"/>
    </row>
    <row r="1740" spans="5:5" x14ac:dyDescent="0.4">
      <c r="E1740"/>
    </row>
    <row r="1741" spans="5:5" x14ac:dyDescent="0.4">
      <c r="E1741"/>
    </row>
    <row r="1742" spans="5:5" x14ac:dyDescent="0.4">
      <c r="E1742"/>
    </row>
    <row r="1743" spans="5:5" x14ac:dyDescent="0.4">
      <c r="E1743"/>
    </row>
    <row r="1744" spans="5:5" x14ac:dyDescent="0.4">
      <c r="E1744"/>
    </row>
    <row r="1745" spans="5:5" x14ac:dyDescent="0.4">
      <c r="E1745"/>
    </row>
    <row r="1746" spans="5:5" x14ac:dyDescent="0.4">
      <c r="E1746"/>
    </row>
    <row r="1747" spans="5:5" x14ac:dyDescent="0.4">
      <c r="E1747"/>
    </row>
    <row r="1748" spans="5:5" x14ac:dyDescent="0.4">
      <c r="E1748"/>
    </row>
    <row r="1749" spans="5:5" x14ac:dyDescent="0.4">
      <c r="E1749"/>
    </row>
    <row r="1750" spans="5:5" x14ac:dyDescent="0.4">
      <c r="E1750"/>
    </row>
    <row r="1751" spans="5:5" x14ac:dyDescent="0.4">
      <c r="E1751"/>
    </row>
    <row r="1752" spans="5:5" x14ac:dyDescent="0.4">
      <c r="E1752"/>
    </row>
    <row r="1753" spans="5:5" x14ac:dyDescent="0.4">
      <c r="E1753"/>
    </row>
    <row r="1754" spans="5:5" x14ac:dyDescent="0.4">
      <c r="E1754"/>
    </row>
    <row r="1755" spans="5:5" x14ac:dyDescent="0.4">
      <c r="E1755"/>
    </row>
    <row r="1756" spans="5:5" x14ac:dyDescent="0.4">
      <c r="E1756"/>
    </row>
    <row r="1757" spans="5:5" x14ac:dyDescent="0.4">
      <c r="E1757"/>
    </row>
    <row r="1758" spans="5:5" x14ac:dyDescent="0.4">
      <c r="E1758"/>
    </row>
    <row r="1759" spans="5:5" x14ac:dyDescent="0.4">
      <c r="E1759"/>
    </row>
    <row r="1760" spans="5:5" x14ac:dyDescent="0.4">
      <c r="E1760"/>
    </row>
    <row r="1761" spans="5:5" x14ac:dyDescent="0.4">
      <c r="E1761"/>
    </row>
    <row r="1762" spans="5:5" x14ac:dyDescent="0.4">
      <c r="E1762"/>
    </row>
    <row r="1763" spans="5:5" x14ac:dyDescent="0.4">
      <c r="E1763"/>
    </row>
    <row r="1764" spans="5:5" x14ac:dyDescent="0.4">
      <c r="E1764"/>
    </row>
    <row r="1765" spans="5:5" x14ac:dyDescent="0.4">
      <c r="E1765"/>
    </row>
    <row r="1766" spans="5:5" x14ac:dyDescent="0.4">
      <c r="E1766"/>
    </row>
    <row r="1767" spans="5:5" x14ac:dyDescent="0.4">
      <c r="E1767"/>
    </row>
    <row r="1768" spans="5:5" x14ac:dyDescent="0.4">
      <c r="E1768"/>
    </row>
    <row r="1769" spans="5:5" x14ac:dyDescent="0.4">
      <c r="E1769"/>
    </row>
    <row r="1770" spans="5:5" x14ac:dyDescent="0.4">
      <c r="E1770"/>
    </row>
    <row r="1771" spans="5:5" x14ac:dyDescent="0.4">
      <c r="E1771"/>
    </row>
    <row r="1772" spans="5:5" x14ac:dyDescent="0.4">
      <c r="E1772"/>
    </row>
    <row r="1773" spans="5:5" x14ac:dyDescent="0.4">
      <c r="E1773"/>
    </row>
    <row r="1774" spans="5:5" x14ac:dyDescent="0.4">
      <c r="E1774"/>
    </row>
    <row r="1775" spans="5:5" x14ac:dyDescent="0.4">
      <c r="E1775"/>
    </row>
    <row r="1776" spans="5:5" x14ac:dyDescent="0.4">
      <c r="E1776"/>
    </row>
    <row r="1777" spans="5:5" x14ac:dyDescent="0.4">
      <c r="E1777"/>
    </row>
    <row r="1778" spans="5:5" x14ac:dyDescent="0.4">
      <c r="E1778"/>
    </row>
    <row r="1779" spans="5:5" x14ac:dyDescent="0.4">
      <c r="E1779"/>
    </row>
    <row r="1780" spans="5:5" x14ac:dyDescent="0.4">
      <c r="E1780"/>
    </row>
    <row r="1781" spans="5:5" x14ac:dyDescent="0.4">
      <c r="E1781"/>
    </row>
    <row r="1782" spans="5:5" x14ac:dyDescent="0.4">
      <c r="E1782"/>
    </row>
    <row r="1783" spans="5:5" x14ac:dyDescent="0.4">
      <c r="E1783"/>
    </row>
    <row r="1784" spans="5:5" x14ac:dyDescent="0.4">
      <c r="E1784"/>
    </row>
    <row r="1785" spans="5:5" x14ac:dyDescent="0.4">
      <c r="E1785"/>
    </row>
    <row r="1786" spans="5:5" x14ac:dyDescent="0.4">
      <c r="E1786"/>
    </row>
    <row r="1787" spans="5:5" x14ac:dyDescent="0.4">
      <c r="E1787"/>
    </row>
    <row r="1788" spans="5:5" x14ac:dyDescent="0.4">
      <c r="E1788"/>
    </row>
    <row r="1789" spans="5:5" x14ac:dyDescent="0.4">
      <c r="E1789"/>
    </row>
    <row r="1790" spans="5:5" x14ac:dyDescent="0.4">
      <c r="E1790"/>
    </row>
    <row r="1791" spans="5:5" x14ac:dyDescent="0.4">
      <c r="E1791"/>
    </row>
    <row r="1792" spans="5:5" x14ac:dyDescent="0.4">
      <c r="E1792"/>
    </row>
    <row r="1793" spans="5:5" x14ac:dyDescent="0.4">
      <c r="E1793"/>
    </row>
    <row r="1794" spans="5:5" x14ac:dyDescent="0.4">
      <c r="E1794"/>
    </row>
    <row r="1795" spans="5:5" x14ac:dyDescent="0.4">
      <c r="E1795"/>
    </row>
    <row r="1796" spans="5:5" x14ac:dyDescent="0.4">
      <c r="E1796"/>
    </row>
    <row r="1797" spans="5:5" x14ac:dyDescent="0.4">
      <c r="E1797"/>
    </row>
    <row r="1798" spans="5:5" x14ac:dyDescent="0.4">
      <c r="E1798"/>
    </row>
    <row r="1799" spans="5:5" x14ac:dyDescent="0.4">
      <c r="E1799"/>
    </row>
    <row r="1800" spans="5:5" x14ac:dyDescent="0.4">
      <c r="E1800"/>
    </row>
    <row r="1801" spans="5:5" x14ac:dyDescent="0.4">
      <c r="E1801"/>
    </row>
    <row r="1802" spans="5:5" x14ac:dyDescent="0.4">
      <c r="E1802"/>
    </row>
    <row r="1803" spans="5:5" x14ac:dyDescent="0.4">
      <c r="E1803"/>
    </row>
    <row r="1804" spans="5:5" x14ac:dyDescent="0.4">
      <c r="E1804"/>
    </row>
    <row r="1805" spans="5:5" x14ac:dyDescent="0.4">
      <c r="E1805"/>
    </row>
    <row r="1806" spans="5:5" x14ac:dyDescent="0.4">
      <c r="E1806"/>
    </row>
    <row r="1807" spans="5:5" x14ac:dyDescent="0.4">
      <c r="E1807"/>
    </row>
    <row r="1808" spans="5:5" x14ac:dyDescent="0.4">
      <c r="E1808"/>
    </row>
    <row r="1809" spans="5:5" x14ac:dyDescent="0.4">
      <c r="E1809"/>
    </row>
    <row r="1810" spans="5:5" x14ac:dyDescent="0.4">
      <c r="E1810"/>
    </row>
    <row r="1811" spans="5:5" x14ac:dyDescent="0.4">
      <c r="E1811"/>
    </row>
    <row r="1812" spans="5:5" x14ac:dyDescent="0.4">
      <c r="E1812"/>
    </row>
    <row r="1813" spans="5:5" x14ac:dyDescent="0.4">
      <c r="E1813"/>
    </row>
    <row r="1814" spans="5:5" x14ac:dyDescent="0.4">
      <c r="E1814"/>
    </row>
    <row r="1815" spans="5:5" x14ac:dyDescent="0.4">
      <c r="E1815"/>
    </row>
    <row r="1816" spans="5:5" x14ac:dyDescent="0.4">
      <c r="E1816"/>
    </row>
    <row r="1817" spans="5:5" x14ac:dyDescent="0.4">
      <c r="E1817"/>
    </row>
    <row r="1818" spans="5:5" x14ac:dyDescent="0.4">
      <c r="E1818"/>
    </row>
    <row r="1819" spans="5:5" x14ac:dyDescent="0.4">
      <c r="E1819"/>
    </row>
    <row r="1820" spans="5:5" x14ac:dyDescent="0.4">
      <c r="E1820"/>
    </row>
    <row r="1821" spans="5:5" x14ac:dyDescent="0.4">
      <c r="E1821"/>
    </row>
    <row r="1822" spans="5:5" x14ac:dyDescent="0.4">
      <c r="E1822"/>
    </row>
    <row r="1823" spans="5:5" x14ac:dyDescent="0.4">
      <c r="E1823"/>
    </row>
    <row r="1824" spans="5:5" x14ac:dyDescent="0.4">
      <c r="E1824"/>
    </row>
    <row r="1825" spans="5:5" x14ac:dyDescent="0.4">
      <c r="E1825"/>
    </row>
    <row r="1826" spans="5:5" x14ac:dyDescent="0.4">
      <c r="E1826"/>
    </row>
    <row r="1827" spans="5:5" x14ac:dyDescent="0.4">
      <c r="E1827"/>
    </row>
    <row r="1828" spans="5:5" x14ac:dyDescent="0.4">
      <c r="E1828"/>
    </row>
    <row r="1829" spans="5:5" x14ac:dyDescent="0.4">
      <c r="E1829"/>
    </row>
    <row r="1830" spans="5:5" x14ac:dyDescent="0.4">
      <c r="E1830"/>
    </row>
    <row r="1831" spans="5:5" x14ac:dyDescent="0.4">
      <c r="E1831"/>
    </row>
    <row r="1832" spans="5:5" x14ac:dyDescent="0.4">
      <c r="E1832"/>
    </row>
    <row r="1833" spans="5:5" x14ac:dyDescent="0.4">
      <c r="E1833"/>
    </row>
    <row r="1834" spans="5:5" x14ac:dyDescent="0.4">
      <c r="E1834"/>
    </row>
    <row r="1835" spans="5:5" x14ac:dyDescent="0.4">
      <c r="E1835"/>
    </row>
    <row r="1836" spans="5:5" x14ac:dyDescent="0.4">
      <c r="E1836"/>
    </row>
    <row r="1837" spans="5:5" x14ac:dyDescent="0.4">
      <c r="E1837"/>
    </row>
    <row r="1838" spans="5:5" x14ac:dyDescent="0.4">
      <c r="E1838"/>
    </row>
    <row r="1839" spans="5:5" x14ac:dyDescent="0.4">
      <c r="E1839"/>
    </row>
    <row r="1840" spans="5:5" x14ac:dyDescent="0.4">
      <c r="E1840"/>
    </row>
    <row r="1841" spans="5:5" x14ac:dyDescent="0.4">
      <c r="E1841"/>
    </row>
    <row r="1842" spans="5:5" x14ac:dyDescent="0.4">
      <c r="E1842"/>
    </row>
    <row r="1843" spans="5:5" x14ac:dyDescent="0.4">
      <c r="E1843"/>
    </row>
    <row r="1844" spans="5:5" x14ac:dyDescent="0.4">
      <c r="E1844"/>
    </row>
    <row r="1845" spans="5:5" x14ac:dyDescent="0.4">
      <c r="E1845"/>
    </row>
    <row r="1846" spans="5:5" x14ac:dyDescent="0.4">
      <c r="E1846"/>
    </row>
    <row r="1847" spans="5:5" x14ac:dyDescent="0.4">
      <c r="E1847"/>
    </row>
    <row r="1848" spans="5:5" x14ac:dyDescent="0.4">
      <c r="E1848"/>
    </row>
    <row r="1849" spans="5:5" x14ac:dyDescent="0.4">
      <c r="E1849"/>
    </row>
    <row r="1850" spans="5:5" x14ac:dyDescent="0.4">
      <c r="E1850"/>
    </row>
    <row r="1851" spans="5:5" x14ac:dyDescent="0.4">
      <c r="E1851"/>
    </row>
    <row r="1852" spans="5:5" x14ac:dyDescent="0.4">
      <c r="E1852"/>
    </row>
    <row r="1853" spans="5:5" x14ac:dyDescent="0.4">
      <c r="E1853"/>
    </row>
    <row r="1854" spans="5:5" x14ac:dyDescent="0.4">
      <c r="E1854"/>
    </row>
    <row r="1855" spans="5:5" x14ac:dyDescent="0.4">
      <c r="E1855"/>
    </row>
    <row r="1856" spans="5:5" x14ac:dyDescent="0.4">
      <c r="E1856"/>
    </row>
    <row r="1857" spans="5:5" x14ac:dyDescent="0.4">
      <c r="E1857"/>
    </row>
    <row r="1858" spans="5:5" x14ac:dyDescent="0.4">
      <c r="E1858"/>
    </row>
    <row r="1859" spans="5:5" x14ac:dyDescent="0.4">
      <c r="E1859"/>
    </row>
    <row r="1860" spans="5:5" x14ac:dyDescent="0.4">
      <c r="E1860"/>
    </row>
    <row r="1861" spans="5:5" x14ac:dyDescent="0.4">
      <c r="E1861"/>
    </row>
    <row r="1862" spans="5:5" x14ac:dyDescent="0.4">
      <c r="E1862"/>
    </row>
    <row r="1863" spans="5:5" x14ac:dyDescent="0.4">
      <c r="E1863"/>
    </row>
    <row r="1864" spans="5:5" x14ac:dyDescent="0.4">
      <c r="E1864"/>
    </row>
    <row r="1865" spans="5:5" x14ac:dyDescent="0.4">
      <c r="E1865"/>
    </row>
    <row r="1866" spans="5:5" x14ac:dyDescent="0.4">
      <c r="E1866"/>
    </row>
    <row r="1867" spans="5:5" x14ac:dyDescent="0.4">
      <c r="E1867"/>
    </row>
    <row r="1868" spans="5:5" x14ac:dyDescent="0.4">
      <c r="E1868"/>
    </row>
    <row r="1869" spans="5:5" x14ac:dyDescent="0.4">
      <c r="E1869"/>
    </row>
    <row r="1870" spans="5:5" x14ac:dyDescent="0.4">
      <c r="E1870"/>
    </row>
    <row r="1871" spans="5:5" x14ac:dyDescent="0.4">
      <c r="E1871"/>
    </row>
    <row r="1872" spans="5:5" x14ac:dyDescent="0.4">
      <c r="E1872"/>
    </row>
    <row r="1873" spans="5:5" x14ac:dyDescent="0.4">
      <c r="E1873"/>
    </row>
    <row r="1874" spans="5:5" x14ac:dyDescent="0.4">
      <c r="E1874"/>
    </row>
    <row r="1875" spans="5:5" x14ac:dyDescent="0.4">
      <c r="E1875"/>
    </row>
    <row r="1876" spans="5:5" x14ac:dyDescent="0.4">
      <c r="E1876"/>
    </row>
    <row r="1877" spans="5:5" x14ac:dyDescent="0.4">
      <c r="E1877"/>
    </row>
    <row r="1878" spans="5:5" x14ac:dyDescent="0.4">
      <c r="E1878"/>
    </row>
    <row r="1879" spans="5:5" x14ac:dyDescent="0.4">
      <c r="E1879"/>
    </row>
    <row r="1880" spans="5:5" x14ac:dyDescent="0.4">
      <c r="E1880"/>
    </row>
    <row r="1881" spans="5:5" x14ac:dyDescent="0.4">
      <c r="E1881"/>
    </row>
    <row r="1882" spans="5:5" x14ac:dyDescent="0.4">
      <c r="E1882"/>
    </row>
    <row r="1883" spans="5:5" x14ac:dyDescent="0.4">
      <c r="E1883"/>
    </row>
    <row r="1884" spans="5:5" x14ac:dyDescent="0.4">
      <c r="E1884"/>
    </row>
    <row r="1885" spans="5:5" x14ac:dyDescent="0.4">
      <c r="E1885"/>
    </row>
    <row r="1886" spans="5:5" x14ac:dyDescent="0.4">
      <c r="E1886"/>
    </row>
    <row r="1887" spans="5:5" x14ac:dyDescent="0.4">
      <c r="E1887"/>
    </row>
    <row r="1888" spans="5:5" x14ac:dyDescent="0.4">
      <c r="E1888"/>
    </row>
    <row r="1889" spans="5:5" x14ac:dyDescent="0.4">
      <c r="E1889"/>
    </row>
    <row r="1890" spans="5:5" x14ac:dyDescent="0.4">
      <c r="E1890"/>
    </row>
    <row r="1891" spans="5:5" x14ac:dyDescent="0.4">
      <c r="E1891"/>
    </row>
    <row r="1892" spans="5:5" x14ac:dyDescent="0.4">
      <c r="E1892"/>
    </row>
    <row r="1893" spans="5:5" x14ac:dyDescent="0.4">
      <c r="E1893"/>
    </row>
    <row r="1894" spans="5:5" x14ac:dyDescent="0.4">
      <c r="E1894"/>
    </row>
    <row r="1895" spans="5:5" x14ac:dyDescent="0.4">
      <c r="E1895"/>
    </row>
    <row r="1896" spans="5:5" x14ac:dyDescent="0.4">
      <c r="E1896"/>
    </row>
    <row r="1897" spans="5:5" x14ac:dyDescent="0.4">
      <c r="E1897"/>
    </row>
    <row r="1898" spans="5:5" x14ac:dyDescent="0.4">
      <c r="E1898"/>
    </row>
    <row r="1899" spans="5:5" x14ac:dyDescent="0.4">
      <c r="E1899"/>
    </row>
    <row r="1900" spans="5:5" x14ac:dyDescent="0.4">
      <c r="E1900"/>
    </row>
    <row r="1901" spans="5:5" x14ac:dyDescent="0.4">
      <c r="E1901"/>
    </row>
    <row r="1902" spans="5:5" x14ac:dyDescent="0.4">
      <c r="E1902"/>
    </row>
    <row r="1903" spans="5:5" x14ac:dyDescent="0.4">
      <c r="E1903"/>
    </row>
    <row r="1904" spans="5:5" x14ac:dyDescent="0.4">
      <c r="E1904"/>
    </row>
    <row r="1905" spans="5:5" x14ac:dyDescent="0.4">
      <c r="E1905"/>
    </row>
    <row r="1906" spans="5:5" x14ac:dyDescent="0.4">
      <c r="E1906"/>
    </row>
    <row r="1907" spans="5:5" x14ac:dyDescent="0.4">
      <c r="E1907"/>
    </row>
    <row r="1908" spans="5:5" x14ac:dyDescent="0.4">
      <c r="E1908"/>
    </row>
    <row r="1909" spans="5:5" x14ac:dyDescent="0.4">
      <c r="E1909"/>
    </row>
    <row r="1910" spans="5:5" x14ac:dyDescent="0.4">
      <c r="E1910"/>
    </row>
    <row r="1911" spans="5:5" x14ac:dyDescent="0.4">
      <c r="E1911"/>
    </row>
    <row r="1912" spans="5:5" x14ac:dyDescent="0.4">
      <c r="E1912"/>
    </row>
    <row r="1913" spans="5:5" x14ac:dyDescent="0.4">
      <c r="E1913"/>
    </row>
    <row r="1914" spans="5:5" x14ac:dyDescent="0.4">
      <c r="E1914"/>
    </row>
    <row r="1915" spans="5:5" x14ac:dyDescent="0.4">
      <c r="E1915"/>
    </row>
    <row r="1916" spans="5:5" x14ac:dyDescent="0.4">
      <c r="E1916"/>
    </row>
    <row r="1917" spans="5:5" x14ac:dyDescent="0.4">
      <c r="E1917"/>
    </row>
    <row r="1918" spans="5:5" x14ac:dyDescent="0.4">
      <c r="E1918"/>
    </row>
    <row r="1919" spans="5:5" x14ac:dyDescent="0.4">
      <c r="E1919"/>
    </row>
    <row r="1920" spans="5:5" x14ac:dyDescent="0.4">
      <c r="E1920"/>
    </row>
    <row r="1921" spans="5:5" x14ac:dyDescent="0.4">
      <c r="E1921"/>
    </row>
    <row r="1922" spans="5:5" x14ac:dyDescent="0.4">
      <c r="E1922"/>
    </row>
    <row r="1923" spans="5:5" x14ac:dyDescent="0.4">
      <c r="E1923"/>
    </row>
    <row r="1924" spans="5:5" x14ac:dyDescent="0.4">
      <c r="E1924"/>
    </row>
    <row r="1925" spans="5:5" x14ac:dyDescent="0.4">
      <c r="E1925"/>
    </row>
    <row r="1926" spans="5:5" x14ac:dyDescent="0.4">
      <c r="E1926"/>
    </row>
    <row r="1927" spans="5:5" x14ac:dyDescent="0.4">
      <c r="E1927"/>
    </row>
    <row r="1928" spans="5:5" x14ac:dyDescent="0.4">
      <c r="E1928"/>
    </row>
    <row r="1929" spans="5:5" x14ac:dyDescent="0.4">
      <c r="E1929"/>
    </row>
    <row r="1930" spans="5:5" x14ac:dyDescent="0.4">
      <c r="E1930"/>
    </row>
    <row r="1931" spans="5:5" x14ac:dyDescent="0.4">
      <c r="E1931"/>
    </row>
    <row r="1932" spans="5:5" x14ac:dyDescent="0.4">
      <c r="E1932"/>
    </row>
    <row r="1933" spans="5:5" x14ac:dyDescent="0.4">
      <c r="E1933"/>
    </row>
    <row r="1934" spans="5:5" x14ac:dyDescent="0.4">
      <c r="E1934"/>
    </row>
    <row r="1935" spans="5:5" x14ac:dyDescent="0.4">
      <c r="E1935"/>
    </row>
    <row r="1936" spans="5:5" x14ac:dyDescent="0.4">
      <c r="E1936"/>
    </row>
    <row r="1937" spans="5:5" x14ac:dyDescent="0.4">
      <c r="E1937"/>
    </row>
    <row r="1938" spans="5:5" x14ac:dyDescent="0.4">
      <c r="E1938"/>
    </row>
    <row r="1939" spans="5:5" x14ac:dyDescent="0.4">
      <c r="E1939"/>
    </row>
    <row r="1940" spans="5:5" x14ac:dyDescent="0.4">
      <c r="E1940"/>
    </row>
    <row r="1941" spans="5:5" x14ac:dyDescent="0.4">
      <c r="E1941"/>
    </row>
    <row r="1942" spans="5:5" x14ac:dyDescent="0.4">
      <c r="E1942"/>
    </row>
    <row r="1943" spans="5:5" x14ac:dyDescent="0.4">
      <c r="E1943"/>
    </row>
    <row r="1944" spans="5:5" x14ac:dyDescent="0.4">
      <c r="E1944"/>
    </row>
    <row r="1945" spans="5:5" x14ac:dyDescent="0.4">
      <c r="E1945"/>
    </row>
    <row r="1946" spans="5:5" x14ac:dyDescent="0.4">
      <c r="E1946"/>
    </row>
    <row r="1947" spans="5:5" x14ac:dyDescent="0.4">
      <c r="E1947"/>
    </row>
    <row r="1948" spans="5:5" x14ac:dyDescent="0.4">
      <c r="E1948"/>
    </row>
    <row r="1949" spans="5:5" x14ac:dyDescent="0.4">
      <c r="E1949"/>
    </row>
    <row r="1950" spans="5:5" x14ac:dyDescent="0.4">
      <c r="E1950"/>
    </row>
    <row r="1951" spans="5:5" x14ac:dyDescent="0.4">
      <c r="E1951"/>
    </row>
    <row r="1952" spans="5:5" x14ac:dyDescent="0.4">
      <c r="E1952"/>
    </row>
    <row r="1953" spans="5:5" x14ac:dyDescent="0.4">
      <c r="E1953"/>
    </row>
    <row r="1954" spans="5:5" x14ac:dyDescent="0.4">
      <c r="E1954"/>
    </row>
    <row r="1955" spans="5:5" x14ac:dyDescent="0.4">
      <c r="E1955"/>
    </row>
    <row r="1956" spans="5:5" x14ac:dyDescent="0.4">
      <c r="E1956"/>
    </row>
    <row r="1957" spans="5:5" x14ac:dyDescent="0.4">
      <c r="E1957"/>
    </row>
    <row r="1958" spans="5:5" x14ac:dyDescent="0.4">
      <c r="E1958"/>
    </row>
    <row r="1959" spans="5:5" x14ac:dyDescent="0.4">
      <c r="E1959"/>
    </row>
    <row r="1960" spans="5:5" x14ac:dyDescent="0.4">
      <c r="E1960"/>
    </row>
    <row r="1961" spans="5:5" x14ac:dyDescent="0.4">
      <c r="E1961"/>
    </row>
    <row r="1962" spans="5:5" x14ac:dyDescent="0.4">
      <c r="E1962"/>
    </row>
    <row r="1963" spans="5:5" x14ac:dyDescent="0.4">
      <c r="E1963"/>
    </row>
    <row r="1964" spans="5:5" x14ac:dyDescent="0.4">
      <c r="E1964"/>
    </row>
    <row r="1965" spans="5:5" x14ac:dyDescent="0.4">
      <c r="E1965"/>
    </row>
    <row r="1966" spans="5:5" x14ac:dyDescent="0.4">
      <c r="E1966"/>
    </row>
    <row r="1967" spans="5:5" x14ac:dyDescent="0.4">
      <c r="E1967"/>
    </row>
    <row r="1968" spans="5:5" x14ac:dyDescent="0.4">
      <c r="E1968"/>
    </row>
    <row r="1969" spans="5:5" x14ac:dyDescent="0.4">
      <c r="E1969"/>
    </row>
    <row r="1970" spans="5:5" x14ac:dyDescent="0.4">
      <c r="E1970"/>
    </row>
    <row r="1971" spans="5:5" x14ac:dyDescent="0.4">
      <c r="E1971"/>
    </row>
    <row r="1972" spans="5:5" x14ac:dyDescent="0.4">
      <c r="E1972"/>
    </row>
    <row r="1973" spans="5:5" x14ac:dyDescent="0.4">
      <c r="E1973"/>
    </row>
    <row r="1974" spans="5:5" x14ac:dyDescent="0.4">
      <c r="E1974"/>
    </row>
    <row r="1975" spans="5:5" x14ac:dyDescent="0.4">
      <c r="E1975"/>
    </row>
    <row r="1976" spans="5:5" x14ac:dyDescent="0.4">
      <c r="E1976"/>
    </row>
    <row r="1977" spans="5:5" x14ac:dyDescent="0.4">
      <c r="E1977"/>
    </row>
    <row r="1978" spans="5:5" x14ac:dyDescent="0.4">
      <c r="E1978"/>
    </row>
    <row r="1979" spans="5:5" x14ac:dyDescent="0.4">
      <c r="E1979"/>
    </row>
    <row r="1980" spans="5:5" x14ac:dyDescent="0.4">
      <c r="E1980"/>
    </row>
    <row r="1981" spans="5:5" x14ac:dyDescent="0.4">
      <c r="E1981"/>
    </row>
    <row r="1982" spans="5:5" x14ac:dyDescent="0.4">
      <c r="E1982"/>
    </row>
    <row r="1983" spans="5:5" x14ac:dyDescent="0.4">
      <c r="E1983"/>
    </row>
    <row r="1984" spans="5:5" x14ac:dyDescent="0.4">
      <c r="E1984"/>
    </row>
    <row r="1985" spans="5:5" x14ac:dyDescent="0.4">
      <c r="E1985"/>
    </row>
    <row r="1986" spans="5:5" x14ac:dyDescent="0.4">
      <c r="E1986"/>
    </row>
    <row r="1987" spans="5:5" x14ac:dyDescent="0.4">
      <c r="E1987"/>
    </row>
    <row r="1988" spans="5:5" x14ac:dyDescent="0.4">
      <c r="E1988"/>
    </row>
    <row r="1989" spans="5:5" x14ac:dyDescent="0.4">
      <c r="E1989"/>
    </row>
    <row r="1990" spans="5:5" x14ac:dyDescent="0.4">
      <c r="E1990"/>
    </row>
    <row r="1991" spans="5:5" x14ac:dyDescent="0.4">
      <c r="E1991"/>
    </row>
    <row r="1992" spans="5:5" x14ac:dyDescent="0.4">
      <c r="E1992"/>
    </row>
    <row r="1993" spans="5:5" x14ac:dyDescent="0.4">
      <c r="E1993"/>
    </row>
    <row r="1994" spans="5:5" x14ac:dyDescent="0.4">
      <c r="E1994"/>
    </row>
    <row r="1995" spans="5:5" x14ac:dyDescent="0.4">
      <c r="E1995"/>
    </row>
    <row r="1996" spans="5:5" x14ac:dyDescent="0.4">
      <c r="E1996"/>
    </row>
    <row r="1997" spans="5:5" x14ac:dyDescent="0.4">
      <c r="E1997"/>
    </row>
    <row r="1998" spans="5:5" x14ac:dyDescent="0.4">
      <c r="E1998"/>
    </row>
    <row r="1999" spans="5:5" x14ac:dyDescent="0.4">
      <c r="E1999"/>
    </row>
    <row r="2000" spans="5:5" x14ac:dyDescent="0.4">
      <c r="E2000"/>
    </row>
    <row r="2001" spans="5:5" x14ac:dyDescent="0.4">
      <c r="E2001"/>
    </row>
    <row r="2002" spans="5:5" x14ac:dyDescent="0.4">
      <c r="E2002"/>
    </row>
    <row r="2003" spans="5:5" x14ac:dyDescent="0.4">
      <c r="E2003"/>
    </row>
    <row r="2004" spans="5:5" x14ac:dyDescent="0.4">
      <c r="E2004"/>
    </row>
    <row r="2005" spans="5:5" x14ac:dyDescent="0.4">
      <c r="E2005"/>
    </row>
    <row r="2006" spans="5:5" x14ac:dyDescent="0.4">
      <c r="E2006"/>
    </row>
    <row r="2007" spans="5:5" x14ac:dyDescent="0.4">
      <c r="E2007"/>
    </row>
    <row r="2008" spans="5:5" x14ac:dyDescent="0.4">
      <c r="E2008"/>
    </row>
    <row r="2009" spans="5:5" x14ac:dyDescent="0.4">
      <c r="E2009"/>
    </row>
    <row r="2010" spans="5:5" x14ac:dyDescent="0.4">
      <c r="E2010"/>
    </row>
    <row r="2011" spans="5:5" x14ac:dyDescent="0.4">
      <c r="E2011"/>
    </row>
    <row r="2012" spans="5:5" x14ac:dyDescent="0.4">
      <c r="E2012"/>
    </row>
    <row r="2013" spans="5:5" x14ac:dyDescent="0.4">
      <c r="E2013"/>
    </row>
    <row r="2014" spans="5:5" x14ac:dyDescent="0.4">
      <c r="E2014"/>
    </row>
    <row r="2015" spans="5:5" x14ac:dyDescent="0.4">
      <c r="E2015"/>
    </row>
    <row r="2016" spans="5:5" x14ac:dyDescent="0.4">
      <c r="E2016"/>
    </row>
    <row r="2017" spans="5:5" x14ac:dyDescent="0.4">
      <c r="E2017"/>
    </row>
    <row r="2018" spans="5:5" x14ac:dyDescent="0.4">
      <c r="E2018"/>
    </row>
    <row r="2019" spans="5:5" x14ac:dyDescent="0.4">
      <c r="E2019"/>
    </row>
    <row r="2020" spans="5:5" x14ac:dyDescent="0.4">
      <c r="E2020"/>
    </row>
    <row r="2021" spans="5:5" x14ac:dyDescent="0.4">
      <c r="E2021"/>
    </row>
    <row r="2022" spans="5:5" x14ac:dyDescent="0.4">
      <c r="E2022"/>
    </row>
    <row r="2023" spans="5:5" x14ac:dyDescent="0.4">
      <c r="E2023"/>
    </row>
    <row r="2024" spans="5:5" x14ac:dyDescent="0.4">
      <c r="E2024"/>
    </row>
    <row r="2025" spans="5:5" x14ac:dyDescent="0.4">
      <c r="E2025"/>
    </row>
    <row r="2026" spans="5:5" x14ac:dyDescent="0.4">
      <c r="E2026"/>
    </row>
    <row r="2027" spans="5:5" x14ac:dyDescent="0.4">
      <c r="E2027"/>
    </row>
    <row r="2028" spans="5:5" x14ac:dyDescent="0.4">
      <c r="E2028"/>
    </row>
    <row r="2029" spans="5:5" x14ac:dyDescent="0.4">
      <c r="E2029"/>
    </row>
    <row r="2030" spans="5:5" x14ac:dyDescent="0.4">
      <c r="E2030"/>
    </row>
    <row r="2031" spans="5:5" x14ac:dyDescent="0.4">
      <c r="E2031"/>
    </row>
    <row r="2032" spans="5:5" x14ac:dyDescent="0.4">
      <c r="E2032"/>
    </row>
    <row r="2033" spans="5:5" x14ac:dyDescent="0.4">
      <c r="E2033"/>
    </row>
    <row r="2034" spans="5:5" x14ac:dyDescent="0.4">
      <c r="E2034"/>
    </row>
    <row r="2035" spans="5:5" x14ac:dyDescent="0.4">
      <c r="E2035"/>
    </row>
    <row r="2036" spans="5:5" x14ac:dyDescent="0.4">
      <c r="E2036"/>
    </row>
    <row r="2037" spans="5:5" x14ac:dyDescent="0.4">
      <c r="E2037"/>
    </row>
    <row r="2038" spans="5:5" x14ac:dyDescent="0.4">
      <c r="E2038"/>
    </row>
    <row r="2039" spans="5:5" x14ac:dyDescent="0.4">
      <c r="E2039"/>
    </row>
    <row r="2040" spans="5:5" x14ac:dyDescent="0.4">
      <c r="E2040"/>
    </row>
    <row r="2041" spans="5:5" x14ac:dyDescent="0.4">
      <c r="E2041"/>
    </row>
    <row r="2042" spans="5:5" x14ac:dyDescent="0.4">
      <c r="E2042"/>
    </row>
    <row r="2043" spans="5:5" x14ac:dyDescent="0.4">
      <c r="E2043"/>
    </row>
    <row r="2044" spans="5:5" x14ac:dyDescent="0.4">
      <c r="E2044"/>
    </row>
    <row r="2045" spans="5:5" x14ac:dyDescent="0.4">
      <c r="E2045"/>
    </row>
    <row r="2046" spans="5:5" x14ac:dyDescent="0.4">
      <c r="E2046"/>
    </row>
    <row r="2047" spans="5:5" x14ac:dyDescent="0.4">
      <c r="E2047"/>
    </row>
    <row r="2048" spans="5:5" x14ac:dyDescent="0.4">
      <c r="E2048"/>
    </row>
    <row r="2049" spans="5:5" x14ac:dyDescent="0.4">
      <c r="E2049"/>
    </row>
    <row r="2050" spans="5:5" x14ac:dyDescent="0.4">
      <c r="E2050"/>
    </row>
    <row r="2051" spans="5:5" x14ac:dyDescent="0.4">
      <c r="E2051"/>
    </row>
    <row r="2052" spans="5:5" x14ac:dyDescent="0.4">
      <c r="E2052"/>
    </row>
    <row r="2053" spans="5:5" x14ac:dyDescent="0.4">
      <c r="E2053"/>
    </row>
    <row r="2054" spans="5:5" x14ac:dyDescent="0.4">
      <c r="E2054"/>
    </row>
    <row r="2055" spans="5:5" x14ac:dyDescent="0.4">
      <c r="E2055"/>
    </row>
    <row r="2056" spans="5:5" x14ac:dyDescent="0.4">
      <c r="E2056"/>
    </row>
    <row r="2057" spans="5:5" x14ac:dyDescent="0.4">
      <c r="E2057"/>
    </row>
    <row r="2058" spans="5:5" x14ac:dyDescent="0.4">
      <c r="E2058"/>
    </row>
    <row r="2059" spans="5:5" x14ac:dyDescent="0.4">
      <c r="E2059"/>
    </row>
    <row r="2060" spans="5:5" x14ac:dyDescent="0.4">
      <c r="E2060"/>
    </row>
    <row r="2061" spans="5:5" x14ac:dyDescent="0.4">
      <c r="E2061"/>
    </row>
    <row r="2062" spans="5:5" x14ac:dyDescent="0.4">
      <c r="E2062"/>
    </row>
    <row r="2063" spans="5:5" x14ac:dyDescent="0.4">
      <c r="E2063"/>
    </row>
    <row r="2064" spans="5:5" x14ac:dyDescent="0.4">
      <c r="E2064"/>
    </row>
    <row r="2065" spans="5:5" x14ac:dyDescent="0.4">
      <c r="E2065"/>
    </row>
    <row r="2066" spans="5:5" x14ac:dyDescent="0.4">
      <c r="E2066"/>
    </row>
    <row r="2067" spans="5:5" x14ac:dyDescent="0.4">
      <c r="E2067"/>
    </row>
    <row r="2068" spans="5:5" x14ac:dyDescent="0.4">
      <c r="E2068"/>
    </row>
    <row r="2069" spans="5:5" x14ac:dyDescent="0.4">
      <c r="E2069"/>
    </row>
    <row r="2070" spans="5:5" x14ac:dyDescent="0.4">
      <c r="E2070"/>
    </row>
    <row r="2071" spans="5:5" x14ac:dyDescent="0.4">
      <c r="E2071"/>
    </row>
    <row r="2072" spans="5:5" x14ac:dyDescent="0.4">
      <c r="E2072"/>
    </row>
    <row r="2073" spans="5:5" x14ac:dyDescent="0.4">
      <c r="E2073"/>
    </row>
    <row r="2074" spans="5:5" x14ac:dyDescent="0.4">
      <c r="E2074"/>
    </row>
    <row r="2075" spans="5:5" x14ac:dyDescent="0.4">
      <c r="E2075"/>
    </row>
    <row r="2076" spans="5:5" x14ac:dyDescent="0.4">
      <c r="E2076"/>
    </row>
    <row r="2077" spans="5:5" x14ac:dyDescent="0.4">
      <c r="E2077"/>
    </row>
    <row r="2078" spans="5:5" x14ac:dyDescent="0.4">
      <c r="E2078"/>
    </row>
    <row r="2079" spans="5:5" x14ac:dyDescent="0.4">
      <c r="E2079"/>
    </row>
    <row r="2080" spans="5:5" x14ac:dyDescent="0.4">
      <c r="E2080"/>
    </row>
    <row r="2081" spans="5:5" x14ac:dyDescent="0.4">
      <c r="E2081"/>
    </row>
    <row r="2082" spans="5:5" x14ac:dyDescent="0.4">
      <c r="E2082"/>
    </row>
    <row r="2083" spans="5:5" x14ac:dyDescent="0.4">
      <c r="E2083"/>
    </row>
    <row r="2084" spans="5:5" x14ac:dyDescent="0.4">
      <c r="E2084"/>
    </row>
    <row r="2085" spans="5:5" x14ac:dyDescent="0.4">
      <c r="E2085"/>
    </row>
    <row r="2086" spans="5:5" x14ac:dyDescent="0.4">
      <c r="E2086"/>
    </row>
    <row r="2087" spans="5:5" x14ac:dyDescent="0.4">
      <c r="E2087"/>
    </row>
    <row r="2088" spans="5:5" x14ac:dyDescent="0.4">
      <c r="E2088"/>
    </row>
    <row r="2089" spans="5:5" x14ac:dyDescent="0.4">
      <c r="E2089"/>
    </row>
    <row r="2090" spans="5:5" x14ac:dyDescent="0.4">
      <c r="E2090"/>
    </row>
    <row r="2091" spans="5:5" x14ac:dyDescent="0.4">
      <c r="E2091"/>
    </row>
    <row r="2092" spans="5:5" x14ac:dyDescent="0.4">
      <c r="E2092"/>
    </row>
    <row r="2093" spans="5:5" x14ac:dyDescent="0.4">
      <c r="E2093"/>
    </row>
    <row r="2094" spans="5:5" x14ac:dyDescent="0.4">
      <c r="E2094"/>
    </row>
    <row r="2095" spans="5:5" x14ac:dyDescent="0.4">
      <c r="E2095"/>
    </row>
    <row r="2096" spans="5:5" x14ac:dyDescent="0.4">
      <c r="E2096"/>
    </row>
    <row r="2097" spans="5:5" x14ac:dyDescent="0.4">
      <c r="E2097"/>
    </row>
    <row r="2098" spans="5:5" x14ac:dyDescent="0.4">
      <c r="E2098"/>
    </row>
    <row r="2099" spans="5:5" x14ac:dyDescent="0.4">
      <c r="E2099"/>
    </row>
    <row r="2100" spans="5:5" x14ac:dyDescent="0.4">
      <c r="E2100"/>
    </row>
    <row r="2101" spans="5:5" x14ac:dyDescent="0.4">
      <c r="E2101"/>
    </row>
    <row r="2102" spans="5:5" x14ac:dyDescent="0.4">
      <c r="E2102"/>
    </row>
    <row r="2103" spans="5:5" x14ac:dyDescent="0.4">
      <c r="E2103"/>
    </row>
    <row r="2104" spans="5:5" x14ac:dyDescent="0.4">
      <c r="E2104"/>
    </row>
    <row r="2105" spans="5:5" x14ac:dyDescent="0.4">
      <c r="E2105"/>
    </row>
    <row r="2106" spans="5:5" x14ac:dyDescent="0.4">
      <c r="E2106"/>
    </row>
    <row r="2107" spans="5:5" x14ac:dyDescent="0.4">
      <c r="E2107"/>
    </row>
    <row r="2108" spans="5:5" x14ac:dyDescent="0.4">
      <c r="E2108"/>
    </row>
    <row r="2109" spans="5:5" x14ac:dyDescent="0.4">
      <c r="E2109"/>
    </row>
    <row r="2110" spans="5:5" x14ac:dyDescent="0.4">
      <c r="E2110"/>
    </row>
    <row r="2111" spans="5:5" x14ac:dyDescent="0.4">
      <c r="E2111"/>
    </row>
    <row r="2112" spans="5:5" x14ac:dyDescent="0.4">
      <c r="E2112"/>
    </row>
    <row r="2113" spans="5:5" x14ac:dyDescent="0.4">
      <c r="E2113"/>
    </row>
    <row r="2114" spans="5:5" x14ac:dyDescent="0.4">
      <c r="E2114"/>
    </row>
    <row r="2115" spans="5:5" x14ac:dyDescent="0.4">
      <c r="E2115"/>
    </row>
    <row r="2116" spans="5:5" x14ac:dyDescent="0.4">
      <c r="E2116"/>
    </row>
    <row r="2117" spans="5:5" x14ac:dyDescent="0.4">
      <c r="E2117"/>
    </row>
    <row r="2118" spans="5:5" x14ac:dyDescent="0.4">
      <c r="E2118"/>
    </row>
    <row r="2119" spans="5:5" x14ac:dyDescent="0.4">
      <c r="E2119"/>
    </row>
    <row r="2120" spans="5:5" x14ac:dyDescent="0.4">
      <c r="E2120"/>
    </row>
    <row r="2121" spans="5:5" x14ac:dyDescent="0.4">
      <c r="E2121"/>
    </row>
    <row r="2122" spans="5:5" x14ac:dyDescent="0.4">
      <c r="E2122"/>
    </row>
    <row r="2123" spans="5:5" x14ac:dyDescent="0.4">
      <c r="E2123"/>
    </row>
    <row r="2124" spans="5:5" x14ac:dyDescent="0.4">
      <c r="E2124"/>
    </row>
    <row r="2125" spans="5:5" x14ac:dyDescent="0.4">
      <c r="E2125"/>
    </row>
    <row r="2126" spans="5:5" x14ac:dyDescent="0.4">
      <c r="E2126"/>
    </row>
    <row r="2127" spans="5:5" x14ac:dyDescent="0.4">
      <c r="E2127"/>
    </row>
    <row r="2128" spans="5:5" x14ac:dyDescent="0.4">
      <c r="E2128"/>
    </row>
    <row r="2129" spans="5:5" x14ac:dyDescent="0.4">
      <c r="E2129"/>
    </row>
    <row r="2130" spans="5:5" x14ac:dyDescent="0.4">
      <c r="E2130"/>
    </row>
    <row r="2131" spans="5:5" x14ac:dyDescent="0.4">
      <c r="E2131"/>
    </row>
    <row r="2132" spans="5:5" x14ac:dyDescent="0.4">
      <c r="E2132"/>
    </row>
    <row r="2133" spans="5:5" x14ac:dyDescent="0.4">
      <c r="E2133"/>
    </row>
    <row r="2134" spans="5:5" x14ac:dyDescent="0.4">
      <c r="E2134"/>
    </row>
    <row r="2135" spans="5:5" x14ac:dyDescent="0.4">
      <c r="E2135"/>
    </row>
    <row r="2136" spans="5:5" x14ac:dyDescent="0.4">
      <c r="E2136"/>
    </row>
    <row r="2137" spans="5:5" x14ac:dyDescent="0.4">
      <c r="E2137"/>
    </row>
    <row r="2138" spans="5:5" x14ac:dyDescent="0.4">
      <c r="E2138"/>
    </row>
    <row r="2139" spans="5:5" x14ac:dyDescent="0.4">
      <c r="E2139"/>
    </row>
    <row r="2140" spans="5:5" x14ac:dyDescent="0.4">
      <c r="E2140"/>
    </row>
    <row r="2141" spans="5:5" x14ac:dyDescent="0.4">
      <c r="E2141"/>
    </row>
    <row r="2142" spans="5:5" x14ac:dyDescent="0.4">
      <c r="E2142"/>
    </row>
    <row r="2143" spans="5:5" x14ac:dyDescent="0.4">
      <c r="E2143"/>
    </row>
    <row r="2144" spans="5:5" x14ac:dyDescent="0.4">
      <c r="E2144"/>
    </row>
    <row r="2145" spans="5:5" x14ac:dyDescent="0.4">
      <c r="E2145"/>
    </row>
    <row r="2146" spans="5:5" x14ac:dyDescent="0.4">
      <c r="E2146"/>
    </row>
    <row r="2147" spans="5:5" x14ac:dyDescent="0.4">
      <c r="E2147"/>
    </row>
    <row r="2148" spans="5:5" x14ac:dyDescent="0.4">
      <c r="E2148"/>
    </row>
    <row r="2149" spans="5:5" x14ac:dyDescent="0.4">
      <c r="E2149"/>
    </row>
    <row r="2150" spans="5:5" x14ac:dyDescent="0.4">
      <c r="E2150"/>
    </row>
    <row r="2151" spans="5:5" x14ac:dyDescent="0.4">
      <c r="E2151"/>
    </row>
    <row r="2152" spans="5:5" x14ac:dyDescent="0.4">
      <c r="E2152"/>
    </row>
    <row r="2153" spans="5:5" x14ac:dyDescent="0.4">
      <c r="E2153"/>
    </row>
    <row r="2154" spans="5:5" x14ac:dyDescent="0.4">
      <c r="E2154"/>
    </row>
    <row r="2155" spans="5:5" x14ac:dyDescent="0.4">
      <c r="E2155"/>
    </row>
    <row r="2156" spans="5:5" x14ac:dyDescent="0.4">
      <c r="E2156"/>
    </row>
    <row r="2157" spans="5:5" x14ac:dyDescent="0.4">
      <c r="E2157"/>
    </row>
    <row r="2158" spans="5:5" x14ac:dyDescent="0.4">
      <c r="E2158"/>
    </row>
    <row r="2159" spans="5:5" x14ac:dyDescent="0.4">
      <c r="E2159"/>
    </row>
    <row r="2160" spans="5:5" x14ac:dyDescent="0.4">
      <c r="E2160"/>
    </row>
    <row r="2161" spans="5:5" x14ac:dyDescent="0.4">
      <c r="E2161"/>
    </row>
    <row r="2162" spans="5:5" x14ac:dyDescent="0.4">
      <c r="E2162"/>
    </row>
    <row r="2163" spans="5:5" x14ac:dyDescent="0.4">
      <c r="E2163"/>
    </row>
    <row r="2164" spans="5:5" x14ac:dyDescent="0.4">
      <c r="E2164"/>
    </row>
    <row r="2165" spans="5:5" x14ac:dyDescent="0.4">
      <c r="E2165"/>
    </row>
    <row r="2166" spans="5:5" x14ac:dyDescent="0.4">
      <c r="E2166"/>
    </row>
    <row r="2167" spans="5:5" x14ac:dyDescent="0.4">
      <c r="E2167"/>
    </row>
    <row r="2168" spans="5:5" x14ac:dyDescent="0.4">
      <c r="E2168"/>
    </row>
    <row r="2169" spans="5:5" x14ac:dyDescent="0.4">
      <c r="E2169"/>
    </row>
    <row r="2170" spans="5:5" x14ac:dyDescent="0.4">
      <c r="E2170"/>
    </row>
    <row r="2171" spans="5:5" x14ac:dyDescent="0.4">
      <c r="E2171"/>
    </row>
    <row r="2172" spans="5:5" x14ac:dyDescent="0.4">
      <c r="E2172"/>
    </row>
    <row r="2173" spans="5:5" x14ac:dyDescent="0.4">
      <c r="E2173"/>
    </row>
    <row r="2174" spans="5:5" x14ac:dyDescent="0.4">
      <c r="E2174"/>
    </row>
    <row r="2175" spans="5:5" x14ac:dyDescent="0.4">
      <c r="E2175"/>
    </row>
    <row r="2176" spans="5:5" x14ac:dyDescent="0.4">
      <c r="E2176"/>
    </row>
    <row r="2177" spans="5:5" x14ac:dyDescent="0.4">
      <c r="E2177"/>
    </row>
    <row r="2178" spans="5:5" x14ac:dyDescent="0.4">
      <c r="E2178"/>
    </row>
    <row r="2179" spans="5:5" x14ac:dyDescent="0.4">
      <c r="E2179"/>
    </row>
    <row r="2180" spans="5:5" x14ac:dyDescent="0.4">
      <c r="E2180"/>
    </row>
    <row r="2181" spans="5:5" x14ac:dyDescent="0.4">
      <c r="E2181"/>
    </row>
    <row r="2182" spans="5:5" x14ac:dyDescent="0.4">
      <c r="E2182"/>
    </row>
    <row r="2183" spans="5:5" x14ac:dyDescent="0.4">
      <c r="E2183"/>
    </row>
    <row r="2184" spans="5:5" x14ac:dyDescent="0.4">
      <c r="E2184"/>
    </row>
    <row r="2185" spans="5:5" x14ac:dyDescent="0.4">
      <c r="E2185"/>
    </row>
    <row r="2186" spans="5:5" x14ac:dyDescent="0.4">
      <c r="E2186"/>
    </row>
    <row r="2187" spans="5:5" x14ac:dyDescent="0.4">
      <c r="E2187"/>
    </row>
    <row r="2188" spans="5:5" x14ac:dyDescent="0.4">
      <c r="E2188"/>
    </row>
    <row r="2189" spans="5:5" x14ac:dyDescent="0.4">
      <c r="E2189"/>
    </row>
    <row r="2190" spans="5:5" x14ac:dyDescent="0.4">
      <c r="E2190"/>
    </row>
    <row r="2191" spans="5:5" x14ac:dyDescent="0.4">
      <c r="E2191"/>
    </row>
    <row r="2192" spans="5:5" x14ac:dyDescent="0.4">
      <c r="E2192"/>
    </row>
    <row r="2193" spans="5:5" x14ac:dyDescent="0.4">
      <c r="E2193"/>
    </row>
    <row r="2194" spans="5:5" x14ac:dyDescent="0.4">
      <c r="E2194"/>
    </row>
    <row r="2195" spans="5:5" x14ac:dyDescent="0.4">
      <c r="E2195"/>
    </row>
    <row r="2196" spans="5:5" x14ac:dyDescent="0.4">
      <c r="E2196"/>
    </row>
    <row r="2197" spans="5:5" x14ac:dyDescent="0.4">
      <c r="E2197"/>
    </row>
    <row r="2198" spans="5:5" x14ac:dyDescent="0.4">
      <c r="E2198"/>
    </row>
    <row r="2199" spans="5:5" x14ac:dyDescent="0.4">
      <c r="E2199"/>
    </row>
    <row r="2200" spans="5:5" x14ac:dyDescent="0.4">
      <c r="E2200"/>
    </row>
    <row r="2201" spans="5:5" x14ac:dyDescent="0.4">
      <c r="E2201"/>
    </row>
    <row r="2202" spans="5:5" x14ac:dyDescent="0.4">
      <c r="E2202"/>
    </row>
    <row r="2203" spans="5:5" x14ac:dyDescent="0.4">
      <c r="E2203"/>
    </row>
    <row r="2204" spans="5:5" x14ac:dyDescent="0.4">
      <c r="E2204"/>
    </row>
    <row r="2205" spans="5:5" x14ac:dyDescent="0.4">
      <c r="E2205"/>
    </row>
    <row r="2206" spans="5:5" x14ac:dyDescent="0.4">
      <c r="E2206"/>
    </row>
    <row r="2207" spans="5:5" x14ac:dyDescent="0.4">
      <c r="E2207"/>
    </row>
    <row r="2208" spans="5:5" x14ac:dyDescent="0.4">
      <c r="E2208"/>
    </row>
    <row r="2209" spans="5:5" x14ac:dyDescent="0.4">
      <c r="E2209"/>
    </row>
    <row r="2210" spans="5:5" x14ac:dyDescent="0.4">
      <c r="E2210"/>
    </row>
    <row r="2211" spans="5:5" x14ac:dyDescent="0.4">
      <c r="E2211"/>
    </row>
    <row r="2212" spans="5:5" x14ac:dyDescent="0.4">
      <c r="E2212"/>
    </row>
    <row r="2213" spans="5:5" x14ac:dyDescent="0.4">
      <c r="E2213"/>
    </row>
    <row r="2214" spans="5:5" x14ac:dyDescent="0.4">
      <c r="E2214"/>
    </row>
    <row r="2215" spans="5:5" x14ac:dyDescent="0.4">
      <c r="E2215"/>
    </row>
    <row r="2216" spans="5:5" x14ac:dyDescent="0.4">
      <c r="E2216"/>
    </row>
    <row r="2217" spans="5:5" x14ac:dyDescent="0.4">
      <c r="E2217"/>
    </row>
    <row r="2218" spans="5:5" x14ac:dyDescent="0.4">
      <c r="E2218"/>
    </row>
    <row r="2219" spans="5:5" x14ac:dyDescent="0.4">
      <c r="E2219"/>
    </row>
    <row r="2220" spans="5:5" x14ac:dyDescent="0.4">
      <c r="E2220"/>
    </row>
    <row r="2221" spans="5:5" x14ac:dyDescent="0.4">
      <c r="E2221"/>
    </row>
    <row r="2222" spans="5:5" x14ac:dyDescent="0.4">
      <c r="E2222"/>
    </row>
    <row r="2223" spans="5:5" x14ac:dyDescent="0.4">
      <c r="E2223"/>
    </row>
    <row r="2224" spans="5:5" x14ac:dyDescent="0.4">
      <c r="E2224"/>
    </row>
    <row r="2225" spans="5:5" x14ac:dyDescent="0.4">
      <c r="E2225"/>
    </row>
    <row r="2226" spans="5:5" x14ac:dyDescent="0.4">
      <c r="E2226"/>
    </row>
    <row r="2227" spans="5:5" x14ac:dyDescent="0.4">
      <c r="E2227"/>
    </row>
    <row r="2228" spans="5:5" x14ac:dyDescent="0.4">
      <c r="E2228"/>
    </row>
    <row r="2229" spans="5:5" x14ac:dyDescent="0.4">
      <c r="E2229"/>
    </row>
    <row r="2230" spans="5:5" x14ac:dyDescent="0.4">
      <c r="E2230"/>
    </row>
    <row r="2231" spans="5:5" x14ac:dyDescent="0.4">
      <c r="E2231"/>
    </row>
    <row r="2232" spans="5:5" x14ac:dyDescent="0.4">
      <c r="E2232"/>
    </row>
    <row r="2233" spans="5:5" x14ac:dyDescent="0.4">
      <c r="E2233"/>
    </row>
    <row r="2234" spans="5:5" x14ac:dyDescent="0.4">
      <c r="E2234"/>
    </row>
    <row r="2235" spans="5:5" x14ac:dyDescent="0.4">
      <c r="E2235"/>
    </row>
    <row r="2236" spans="5:5" x14ac:dyDescent="0.4">
      <c r="E2236"/>
    </row>
    <row r="2237" spans="5:5" x14ac:dyDescent="0.4">
      <c r="E2237"/>
    </row>
    <row r="2238" spans="5:5" x14ac:dyDescent="0.4">
      <c r="E2238"/>
    </row>
    <row r="2239" spans="5:5" x14ac:dyDescent="0.4">
      <c r="E2239"/>
    </row>
    <row r="2240" spans="5:5" x14ac:dyDescent="0.4">
      <c r="E2240"/>
    </row>
    <row r="2241" spans="5:5" x14ac:dyDescent="0.4">
      <c r="E2241"/>
    </row>
    <row r="2242" spans="5:5" x14ac:dyDescent="0.4">
      <c r="E2242"/>
    </row>
    <row r="2243" spans="5:5" x14ac:dyDescent="0.4">
      <c r="E2243"/>
    </row>
    <row r="2244" spans="5:5" x14ac:dyDescent="0.4">
      <c r="E2244"/>
    </row>
    <row r="2245" spans="5:5" x14ac:dyDescent="0.4">
      <c r="E2245"/>
    </row>
    <row r="2246" spans="5:5" x14ac:dyDescent="0.4">
      <c r="E2246"/>
    </row>
    <row r="2247" spans="5:5" x14ac:dyDescent="0.4">
      <c r="E2247"/>
    </row>
    <row r="2248" spans="5:5" x14ac:dyDescent="0.4">
      <c r="E2248"/>
    </row>
    <row r="2249" spans="5:5" x14ac:dyDescent="0.4">
      <c r="E2249"/>
    </row>
    <row r="2250" spans="5:5" x14ac:dyDescent="0.4">
      <c r="E2250"/>
    </row>
    <row r="2251" spans="5:5" x14ac:dyDescent="0.4">
      <c r="E2251"/>
    </row>
    <row r="2252" spans="5:5" x14ac:dyDescent="0.4">
      <c r="E2252"/>
    </row>
    <row r="2253" spans="5:5" x14ac:dyDescent="0.4">
      <c r="E2253"/>
    </row>
    <row r="2254" spans="5:5" x14ac:dyDescent="0.4">
      <c r="E2254"/>
    </row>
    <row r="2255" spans="5:5" x14ac:dyDescent="0.4">
      <c r="E2255"/>
    </row>
    <row r="2256" spans="5:5" x14ac:dyDescent="0.4">
      <c r="E2256"/>
    </row>
    <row r="2257" spans="5:5" x14ac:dyDescent="0.4">
      <c r="E2257"/>
    </row>
    <row r="2258" spans="5:5" x14ac:dyDescent="0.4">
      <c r="E2258"/>
    </row>
    <row r="2259" spans="5:5" x14ac:dyDescent="0.4">
      <c r="E2259"/>
    </row>
    <row r="2260" spans="5:5" x14ac:dyDescent="0.4">
      <c r="E2260"/>
    </row>
    <row r="2261" spans="5:5" x14ac:dyDescent="0.4">
      <c r="E2261"/>
    </row>
    <row r="2262" spans="5:5" x14ac:dyDescent="0.4">
      <c r="E2262"/>
    </row>
    <row r="2263" spans="5:5" x14ac:dyDescent="0.4">
      <c r="E2263"/>
    </row>
    <row r="2264" spans="5:5" x14ac:dyDescent="0.4">
      <c r="E2264"/>
    </row>
    <row r="2265" spans="5:5" x14ac:dyDescent="0.4">
      <c r="E2265"/>
    </row>
    <row r="2266" spans="5:5" x14ac:dyDescent="0.4">
      <c r="E2266"/>
    </row>
    <row r="2267" spans="5:5" x14ac:dyDescent="0.4">
      <c r="E2267"/>
    </row>
    <row r="2268" spans="5:5" x14ac:dyDescent="0.4">
      <c r="E2268"/>
    </row>
    <row r="2269" spans="5:5" x14ac:dyDescent="0.4">
      <c r="E2269"/>
    </row>
    <row r="2270" spans="5:5" x14ac:dyDescent="0.4">
      <c r="E2270"/>
    </row>
    <row r="2271" spans="5:5" x14ac:dyDescent="0.4">
      <c r="E2271"/>
    </row>
    <row r="2272" spans="5:5" x14ac:dyDescent="0.4">
      <c r="E2272"/>
    </row>
    <row r="2273" spans="5:5" x14ac:dyDescent="0.4">
      <c r="E2273"/>
    </row>
    <row r="2274" spans="5:5" x14ac:dyDescent="0.4">
      <c r="E2274"/>
    </row>
    <row r="2275" spans="5:5" x14ac:dyDescent="0.4">
      <c r="E2275"/>
    </row>
    <row r="2276" spans="5:5" x14ac:dyDescent="0.4">
      <c r="E2276"/>
    </row>
    <row r="2277" spans="5:5" x14ac:dyDescent="0.4">
      <c r="E2277"/>
    </row>
    <row r="2278" spans="5:5" x14ac:dyDescent="0.4">
      <c r="E2278"/>
    </row>
    <row r="2279" spans="5:5" x14ac:dyDescent="0.4">
      <c r="E2279"/>
    </row>
    <row r="2280" spans="5:5" x14ac:dyDescent="0.4">
      <c r="E2280"/>
    </row>
    <row r="2281" spans="5:5" x14ac:dyDescent="0.4">
      <c r="E2281"/>
    </row>
    <row r="2282" spans="5:5" x14ac:dyDescent="0.4">
      <c r="E2282"/>
    </row>
    <row r="2283" spans="5:5" x14ac:dyDescent="0.4">
      <c r="E2283"/>
    </row>
    <row r="2284" spans="5:5" x14ac:dyDescent="0.4">
      <c r="E2284"/>
    </row>
    <row r="2285" spans="5:5" x14ac:dyDescent="0.4">
      <c r="E2285"/>
    </row>
    <row r="2286" spans="5:5" x14ac:dyDescent="0.4">
      <c r="E2286"/>
    </row>
    <row r="2287" spans="5:5" x14ac:dyDescent="0.4">
      <c r="E2287"/>
    </row>
    <row r="2288" spans="5:5" x14ac:dyDescent="0.4">
      <c r="E2288"/>
    </row>
    <row r="2289" spans="5:5" x14ac:dyDescent="0.4">
      <c r="E2289"/>
    </row>
    <row r="2290" spans="5:5" x14ac:dyDescent="0.4">
      <c r="E2290"/>
    </row>
    <row r="2291" spans="5:5" x14ac:dyDescent="0.4">
      <c r="E2291"/>
    </row>
    <row r="2292" spans="5:5" x14ac:dyDescent="0.4">
      <c r="E2292"/>
    </row>
    <row r="2293" spans="5:5" x14ac:dyDescent="0.4">
      <c r="E2293"/>
    </row>
    <row r="2294" spans="5:5" x14ac:dyDescent="0.4">
      <c r="E2294"/>
    </row>
    <row r="2295" spans="5:5" x14ac:dyDescent="0.4">
      <c r="E2295"/>
    </row>
    <row r="2296" spans="5:5" x14ac:dyDescent="0.4">
      <c r="E2296"/>
    </row>
    <row r="2297" spans="5:5" x14ac:dyDescent="0.4">
      <c r="E2297"/>
    </row>
    <row r="2298" spans="5:5" x14ac:dyDescent="0.4">
      <c r="E2298"/>
    </row>
    <row r="2299" spans="5:5" x14ac:dyDescent="0.4">
      <c r="E2299"/>
    </row>
    <row r="2300" spans="5:5" x14ac:dyDescent="0.4">
      <c r="E2300"/>
    </row>
    <row r="2301" spans="5:5" x14ac:dyDescent="0.4">
      <c r="E2301"/>
    </row>
    <row r="2302" spans="5:5" x14ac:dyDescent="0.4">
      <c r="E2302"/>
    </row>
    <row r="2303" spans="5:5" x14ac:dyDescent="0.4">
      <c r="E2303"/>
    </row>
    <row r="2304" spans="5:5" x14ac:dyDescent="0.4">
      <c r="E2304"/>
    </row>
    <row r="2305" spans="5:5" x14ac:dyDescent="0.4">
      <c r="E2305"/>
    </row>
    <row r="2306" spans="5:5" x14ac:dyDescent="0.4">
      <c r="E2306"/>
    </row>
    <row r="2307" spans="5:5" x14ac:dyDescent="0.4">
      <c r="E2307"/>
    </row>
    <row r="2308" spans="5:5" x14ac:dyDescent="0.4">
      <c r="E2308"/>
    </row>
    <row r="2309" spans="5:5" x14ac:dyDescent="0.4">
      <c r="E2309"/>
    </row>
    <row r="2310" spans="5:5" x14ac:dyDescent="0.4">
      <c r="E2310"/>
    </row>
    <row r="2311" spans="5:5" x14ac:dyDescent="0.4">
      <c r="E2311"/>
    </row>
    <row r="2312" spans="5:5" x14ac:dyDescent="0.4">
      <c r="E2312"/>
    </row>
    <row r="2313" spans="5:5" x14ac:dyDescent="0.4">
      <c r="E2313"/>
    </row>
    <row r="2314" spans="5:5" x14ac:dyDescent="0.4">
      <c r="E2314"/>
    </row>
    <row r="2315" spans="5:5" x14ac:dyDescent="0.4">
      <c r="E2315"/>
    </row>
    <row r="2316" spans="5:5" x14ac:dyDescent="0.4">
      <c r="E2316"/>
    </row>
    <row r="2317" spans="5:5" x14ac:dyDescent="0.4">
      <c r="E2317"/>
    </row>
    <row r="2318" spans="5:5" x14ac:dyDescent="0.4">
      <c r="E2318"/>
    </row>
    <row r="2319" spans="5:5" x14ac:dyDescent="0.4">
      <c r="E2319"/>
    </row>
    <row r="2320" spans="5:5" x14ac:dyDescent="0.4">
      <c r="E2320"/>
    </row>
    <row r="2321" spans="5:5" x14ac:dyDescent="0.4">
      <c r="E2321"/>
    </row>
    <row r="2322" spans="5:5" x14ac:dyDescent="0.4">
      <c r="E2322"/>
    </row>
    <row r="2323" spans="5:5" x14ac:dyDescent="0.4">
      <c r="E2323"/>
    </row>
    <row r="2324" spans="5:5" x14ac:dyDescent="0.4">
      <c r="E2324"/>
    </row>
    <row r="2325" spans="5:5" x14ac:dyDescent="0.4">
      <c r="E2325"/>
    </row>
    <row r="2326" spans="5:5" x14ac:dyDescent="0.4">
      <c r="E2326"/>
    </row>
    <row r="2327" spans="5:5" x14ac:dyDescent="0.4">
      <c r="E2327"/>
    </row>
    <row r="2328" spans="5:5" x14ac:dyDescent="0.4">
      <c r="E2328"/>
    </row>
    <row r="2329" spans="5:5" x14ac:dyDescent="0.4">
      <c r="E2329"/>
    </row>
    <row r="2330" spans="5:5" x14ac:dyDescent="0.4">
      <c r="E2330"/>
    </row>
    <row r="2331" spans="5:5" x14ac:dyDescent="0.4">
      <c r="E2331"/>
    </row>
    <row r="2332" spans="5:5" x14ac:dyDescent="0.4">
      <c r="E2332"/>
    </row>
    <row r="2333" spans="5:5" x14ac:dyDescent="0.4">
      <c r="E2333"/>
    </row>
    <row r="2334" spans="5:5" x14ac:dyDescent="0.4">
      <c r="E2334"/>
    </row>
    <row r="2335" spans="5:5" x14ac:dyDescent="0.4">
      <c r="E2335"/>
    </row>
    <row r="2336" spans="5:5" x14ac:dyDescent="0.4">
      <c r="E2336"/>
    </row>
    <row r="2337" spans="5:5" x14ac:dyDescent="0.4">
      <c r="E2337"/>
    </row>
    <row r="2338" spans="5:5" x14ac:dyDescent="0.4">
      <c r="E2338"/>
    </row>
    <row r="2339" spans="5:5" x14ac:dyDescent="0.4">
      <c r="E2339"/>
    </row>
    <row r="2340" spans="5:5" x14ac:dyDescent="0.4">
      <c r="E2340"/>
    </row>
    <row r="2341" spans="5:5" x14ac:dyDescent="0.4">
      <c r="E2341"/>
    </row>
    <row r="2342" spans="5:5" x14ac:dyDescent="0.4">
      <c r="E2342"/>
    </row>
    <row r="2343" spans="5:5" x14ac:dyDescent="0.4">
      <c r="E2343"/>
    </row>
    <row r="2344" spans="5:5" x14ac:dyDescent="0.4">
      <c r="E2344"/>
    </row>
    <row r="2345" spans="5:5" x14ac:dyDescent="0.4">
      <c r="E2345"/>
    </row>
    <row r="2346" spans="5:5" x14ac:dyDescent="0.4">
      <c r="E2346"/>
    </row>
    <row r="2347" spans="5:5" x14ac:dyDescent="0.4">
      <c r="E2347"/>
    </row>
    <row r="2348" spans="5:5" x14ac:dyDescent="0.4">
      <c r="E2348"/>
    </row>
    <row r="2349" spans="5:5" x14ac:dyDescent="0.4">
      <c r="E2349"/>
    </row>
    <row r="2350" spans="5:5" x14ac:dyDescent="0.4">
      <c r="E2350"/>
    </row>
    <row r="2351" spans="5:5" x14ac:dyDescent="0.4">
      <c r="E2351"/>
    </row>
    <row r="2352" spans="5:5" x14ac:dyDescent="0.4">
      <c r="E2352"/>
    </row>
    <row r="2353" spans="5:5" x14ac:dyDescent="0.4">
      <c r="E2353"/>
    </row>
    <row r="2354" spans="5:5" x14ac:dyDescent="0.4">
      <c r="E2354"/>
    </row>
    <row r="2355" spans="5:5" x14ac:dyDescent="0.4">
      <c r="E2355"/>
    </row>
    <row r="2356" spans="5:5" x14ac:dyDescent="0.4">
      <c r="E2356"/>
    </row>
    <row r="2357" spans="5:5" x14ac:dyDescent="0.4">
      <c r="E2357"/>
    </row>
    <row r="2358" spans="5:5" x14ac:dyDescent="0.4">
      <c r="E2358"/>
    </row>
    <row r="2359" spans="5:5" x14ac:dyDescent="0.4">
      <c r="E2359"/>
    </row>
    <row r="2360" spans="5:5" x14ac:dyDescent="0.4">
      <c r="E2360"/>
    </row>
    <row r="2361" spans="5:5" x14ac:dyDescent="0.4">
      <c r="E2361"/>
    </row>
    <row r="2362" spans="5:5" x14ac:dyDescent="0.4">
      <c r="E2362"/>
    </row>
    <row r="2363" spans="5:5" x14ac:dyDescent="0.4">
      <c r="E2363"/>
    </row>
    <row r="2364" spans="5:5" x14ac:dyDescent="0.4">
      <c r="E2364"/>
    </row>
    <row r="2365" spans="5:5" x14ac:dyDescent="0.4">
      <c r="E2365"/>
    </row>
    <row r="2366" spans="5:5" x14ac:dyDescent="0.4">
      <c r="E2366"/>
    </row>
    <row r="2367" spans="5:5" x14ac:dyDescent="0.4">
      <c r="E2367"/>
    </row>
    <row r="2368" spans="5:5" x14ac:dyDescent="0.4">
      <c r="E2368"/>
    </row>
    <row r="2369" spans="5:5" x14ac:dyDescent="0.4">
      <c r="E2369"/>
    </row>
    <row r="2370" spans="5:5" x14ac:dyDescent="0.4">
      <c r="E2370"/>
    </row>
    <row r="2371" spans="5:5" x14ac:dyDescent="0.4">
      <c r="E2371"/>
    </row>
    <row r="2372" spans="5:5" x14ac:dyDescent="0.4">
      <c r="E2372"/>
    </row>
    <row r="2373" spans="5:5" x14ac:dyDescent="0.4">
      <c r="E2373"/>
    </row>
    <row r="2374" spans="5:5" x14ac:dyDescent="0.4">
      <c r="E2374"/>
    </row>
    <row r="2375" spans="5:5" x14ac:dyDescent="0.4">
      <c r="E2375"/>
    </row>
    <row r="2376" spans="5:5" x14ac:dyDescent="0.4">
      <c r="E2376"/>
    </row>
    <row r="2377" spans="5:5" x14ac:dyDescent="0.4">
      <c r="E2377"/>
    </row>
    <row r="2378" spans="5:5" x14ac:dyDescent="0.4">
      <c r="E2378"/>
    </row>
    <row r="2379" spans="5:5" x14ac:dyDescent="0.4">
      <c r="E2379"/>
    </row>
    <row r="2380" spans="5:5" x14ac:dyDescent="0.4">
      <c r="E2380"/>
    </row>
    <row r="2381" spans="5:5" x14ac:dyDescent="0.4">
      <c r="E2381"/>
    </row>
    <row r="2382" spans="5:5" x14ac:dyDescent="0.4">
      <c r="E2382"/>
    </row>
    <row r="2383" spans="5:5" x14ac:dyDescent="0.4">
      <c r="E2383"/>
    </row>
    <row r="2384" spans="5:5" x14ac:dyDescent="0.4">
      <c r="E2384"/>
    </row>
    <row r="2385" spans="5:5" x14ac:dyDescent="0.4">
      <c r="E2385"/>
    </row>
    <row r="2386" spans="5:5" x14ac:dyDescent="0.4">
      <c r="E2386"/>
    </row>
    <row r="2387" spans="5:5" x14ac:dyDescent="0.4">
      <c r="E2387"/>
    </row>
    <row r="2388" spans="5:5" x14ac:dyDescent="0.4">
      <c r="E2388"/>
    </row>
    <row r="2389" spans="5:5" x14ac:dyDescent="0.4">
      <c r="E2389"/>
    </row>
    <row r="2390" spans="5:5" x14ac:dyDescent="0.4">
      <c r="E2390"/>
    </row>
    <row r="2391" spans="5:5" x14ac:dyDescent="0.4">
      <c r="E2391"/>
    </row>
    <row r="2392" spans="5:5" x14ac:dyDescent="0.4">
      <c r="E2392"/>
    </row>
    <row r="2393" spans="5:5" x14ac:dyDescent="0.4">
      <c r="E2393"/>
    </row>
    <row r="2394" spans="5:5" x14ac:dyDescent="0.4">
      <c r="E2394"/>
    </row>
    <row r="2395" spans="5:5" x14ac:dyDescent="0.4">
      <c r="E2395"/>
    </row>
    <row r="2396" spans="5:5" x14ac:dyDescent="0.4">
      <c r="E2396"/>
    </row>
    <row r="2397" spans="5:5" x14ac:dyDescent="0.4">
      <c r="E2397"/>
    </row>
    <row r="2398" spans="5:5" x14ac:dyDescent="0.4">
      <c r="E2398"/>
    </row>
    <row r="2399" spans="5:5" x14ac:dyDescent="0.4">
      <c r="E2399"/>
    </row>
    <row r="2400" spans="5:5" x14ac:dyDescent="0.4">
      <c r="E2400"/>
    </row>
    <row r="2401" spans="5:5" x14ac:dyDescent="0.4">
      <c r="E2401"/>
    </row>
    <row r="2402" spans="5:5" x14ac:dyDescent="0.4">
      <c r="E2402"/>
    </row>
    <row r="2403" spans="5:5" x14ac:dyDescent="0.4">
      <c r="E2403"/>
    </row>
    <row r="2404" spans="5:5" x14ac:dyDescent="0.4">
      <c r="E2404"/>
    </row>
    <row r="2405" spans="5:5" x14ac:dyDescent="0.4">
      <c r="E2405"/>
    </row>
    <row r="2406" spans="5:5" x14ac:dyDescent="0.4">
      <c r="E2406"/>
    </row>
    <row r="2407" spans="5:5" x14ac:dyDescent="0.4">
      <c r="E2407"/>
    </row>
    <row r="2408" spans="5:5" x14ac:dyDescent="0.4">
      <c r="E2408"/>
    </row>
    <row r="2409" spans="5:5" x14ac:dyDescent="0.4">
      <c r="E2409"/>
    </row>
    <row r="2410" spans="5:5" x14ac:dyDescent="0.4">
      <c r="E2410"/>
    </row>
    <row r="2411" spans="5:5" x14ac:dyDescent="0.4">
      <c r="E2411"/>
    </row>
    <row r="2412" spans="5:5" x14ac:dyDescent="0.4">
      <c r="E2412"/>
    </row>
    <row r="2413" spans="5:5" x14ac:dyDescent="0.4">
      <c r="E2413"/>
    </row>
    <row r="2414" spans="5:5" x14ac:dyDescent="0.4">
      <c r="E2414"/>
    </row>
    <row r="2415" spans="5:5" x14ac:dyDescent="0.4">
      <c r="E2415"/>
    </row>
    <row r="2416" spans="5:5" x14ac:dyDescent="0.4">
      <c r="E2416"/>
    </row>
    <row r="2417" spans="5:5" x14ac:dyDescent="0.4">
      <c r="E2417"/>
    </row>
    <row r="2418" spans="5:5" x14ac:dyDescent="0.4">
      <c r="E2418"/>
    </row>
    <row r="2419" spans="5:5" x14ac:dyDescent="0.4">
      <c r="E2419"/>
    </row>
    <row r="2420" spans="5:5" x14ac:dyDescent="0.4">
      <c r="E2420"/>
    </row>
    <row r="2421" spans="5:5" x14ac:dyDescent="0.4">
      <c r="E2421"/>
    </row>
    <row r="2422" spans="5:5" x14ac:dyDescent="0.4">
      <c r="E2422"/>
    </row>
    <row r="2423" spans="5:5" x14ac:dyDescent="0.4">
      <c r="E2423"/>
    </row>
    <row r="2424" spans="5:5" x14ac:dyDescent="0.4">
      <c r="E2424"/>
    </row>
    <row r="2425" spans="5:5" x14ac:dyDescent="0.4">
      <c r="E2425"/>
    </row>
    <row r="2426" spans="5:5" x14ac:dyDescent="0.4">
      <c r="E2426"/>
    </row>
    <row r="2427" spans="5:5" x14ac:dyDescent="0.4">
      <c r="E2427"/>
    </row>
    <row r="2428" spans="5:5" x14ac:dyDescent="0.4">
      <c r="E2428"/>
    </row>
    <row r="2429" spans="5:5" x14ac:dyDescent="0.4">
      <c r="E2429"/>
    </row>
    <row r="2430" spans="5:5" x14ac:dyDescent="0.4">
      <c r="E2430"/>
    </row>
    <row r="2431" spans="5:5" x14ac:dyDescent="0.4">
      <c r="E2431"/>
    </row>
    <row r="2432" spans="5:5" x14ac:dyDescent="0.4">
      <c r="E2432"/>
    </row>
    <row r="2433" spans="5:5" x14ac:dyDescent="0.4">
      <c r="E2433"/>
    </row>
    <row r="2434" spans="5:5" x14ac:dyDescent="0.4">
      <c r="E2434"/>
    </row>
    <row r="2435" spans="5:5" x14ac:dyDescent="0.4">
      <c r="E2435"/>
    </row>
    <row r="2436" spans="5:5" x14ac:dyDescent="0.4">
      <c r="E2436"/>
    </row>
    <row r="2437" spans="5:5" x14ac:dyDescent="0.4">
      <c r="E2437"/>
    </row>
    <row r="2438" spans="5:5" x14ac:dyDescent="0.4">
      <c r="E2438"/>
    </row>
    <row r="2439" spans="5:5" x14ac:dyDescent="0.4">
      <c r="E2439"/>
    </row>
    <row r="2440" spans="5:5" x14ac:dyDescent="0.4">
      <c r="E2440"/>
    </row>
    <row r="2441" spans="5:5" x14ac:dyDescent="0.4">
      <c r="E2441"/>
    </row>
    <row r="2442" spans="5:5" x14ac:dyDescent="0.4">
      <c r="E2442"/>
    </row>
    <row r="2443" spans="5:5" x14ac:dyDescent="0.4">
      <c r="E2443"/>
    </row>
    <row r="2444" spans="5:5" x14ac:dyDescent="0.4">
      <c r="E2444"/>
    </row>
    <row r="2445" spans="5:5" x14ac:dyDescent="0.4">
      <c r="E2445"/>
    </row>
    <row r="2446" spans="5:5" x14ac:dyDescent="0.4">
      <c r="E2446"/>
    </row>
    <row r="2447" spans="5:5" x14ac:dyDescent="0.4">
      <c r="E2447"/>
    </row>
    <row r="2448" spans="5:5" x14ac:dyDescent="0.4">
      <c r="E2448"/>
    </row>
    <row r="2449" spans="5:5" x14ac:dyDescent="0.4">
      <c r="E2449"/>
    </row>
    <row r="2450" spans="5:5" x14ac:dyDescent="0.4">
      <c r="E2450"/>
    </row>
    <row r="2451" spans="5:5" x14ac:dyDescent="0.4">
      <c r="E2451"/>
    </row>
    <row r="2452" spans="5:5" x14ac:dyDescent="0.4">
      <c r="E2452"/>
    </row>
    <row r="2453" spans="5:5" x14ac:dyDescent="0.4">
      <c r="E2453"/>
    </row>
    <row r="2454" spans="5:5" x14ac:dyDescent="0.4">
      <c r="E2454"/>
    </row>
    <row r="2455" spans="5:5" x14ac:dyDescent="0.4">
      <c r="E2455"/>
    </row>
    <row r="2456" spans="5:5" x14ac:dyDescent="0.4">
      <c r="E2456"/>
    </row>
    <row r="2457" spans="5:5" x14ac:dyDescent="0.4">
      <c r="E2457"/>
    </row>
    <row r="2458" spans="5:5" x14ac:dyDescent="0.4">
      <c r="E2458"/>
    </row>
    <row r="2459" spans="5:5" x14ac:dyDescent="0.4">
      <c r="E2459"/>
    </row>
    <row r="2460" spans="5:5" x14ac:dyDescent="0.4">
      <c r="E2460"/>
    </row>
    <row r="2461" spans="5:5" x14ac:dyDescent="0.4">
      <c r="E2461"/>
    </row>
    <row r="2462" spans="5:5" x14ac:dyDescent="0.4">
      <c r="E2462"/>
    </row>
    <row r="2463" spans="5:5" x14ac:dyDescent="0.4">
      <c r="E2463"/>
    </row>
    <row r="2464" spans="5:5" x14ac:dyDescent="0.4">
      <c r="E2464"/>
    </row>
    <row r="2465" spans="5:5" x14ac:dyDescent="0.4">
      <c r="E2465"/>
    </row>
    <row r="2466" spans="5:5" x14ac:dyDescent="0.4">
      <c r="E2466"/>
    </row>
    <row r="2467" spans="5:5" x14ac:dyDescent="0.4">
      <c r="E2467"/>
    </row>
    <row r="2468" spans="5:5" x14ac:dyDescent="0.4">
      <c r="E2468"/>
    </row>
    <row r="2469" spans="5:5" x14ac:dyDescent="0.4">
      <c r="E2469"/>
    </row>
    <row r="2470" spans="5:5" x14ac:dyDescent="0.4">
      <c r="E2470"/>
    </row>
    <row r="2471" spans="5:5" x14ac:dyDescent="0.4">
      <c r="E2471"/>
    </row>
    <row r="2472" spans="5:5" x14ac:dyDescent="0.4">
      <c r="E2472"/>
    </row>
    <row r="2473" spans="5:5" x14ac:dyDescent="0.4">
      <c r="E2473"/>
    </row>
    <row r="2474" spans="5:5" x14ac:dyDescent="0.4">
      <c r="E2474"/>
    </row>
    <row r="2475" spans="5:5" x14ac:dyDescent="0.4">
      <c r="E2475"/>
    </row>
    <row r="2476" spans="5:5" x14ac:dyDescent="0.4">
      <c r="E2476"/>
    </row>
    <row r="2477" spans="5:5" x14ac:dyDescent="0.4">
      <c r="E2477"/>
    </row>
    <row r="2478" spans="5:5" x14ac:dyDescent="0.4">
      <c r="E2478"/>
    </row>
    <row r="2479" spans="5:5" x14ac:dyDescent="0.4">
      <c r="E2479"/>
    </row>
    <row r="2480" spans="5:5" x14ac:dyDescent="0.4">
      <c r="E2480"/>
    </row>
    <row r="2481" spans="5:5" x14ac:dyDescent="0.4">
      <c r="E2481"/>
    </row>
    <row r="2482" spans="5:5" x14ac:dyDescent="0.4">
      <c r="E2482"/>
    </row>
    <row r="2483" spans="5:5" x14ac:dyDescent="0.4">
      <c r="E2483"/>
    </row>
    <row r="2484" spans="5:5" x14ac:dyDescent="0.4">
      <c r="E2484"/>
    </row>
    <row r="2485" spans="5:5" x14ac:dyDescent="0.4">
      <c r="E2485"/>
    </row>
    <row r="2486" spans="5:5" x14ac:dyDescent="0.4">
      <c r="E2486"/>
    </row>
    <row r="2487" spans="5:5" x14ac:dyDescent="0.4">
      <c r="E2487"/>
    </row>
    <row r="2488" spans="5:5" x14ac:dyDescent="0.4">
      <c r="E2488"/>
    </row>
    <row r="2489" spans="5:5" x14ac:dyDescent="0.4">
      <c r="E2489"/>
    </row>
    <row r="2490" spans="5:5" x14ac:dyDescent="0.4">
      <c r="E2490"/>
    </row>
    <row r="2491" spans="5:5" x14ac:dyDescent="0.4">
      <c r="E2491"/>
    </row>
    <row r="2492" spans="5:5" x14ac:dyDescent="0.4">
      <c r="E2492"/>
    </row>
    <row r="2493" spans="5:5" x14ac:dyDescent="0.4">
      <c r="E2493"/>
    </row>
    <row r="2494" spans="5:5" x14ac:dyDescent="0.4">
      <c r="E2494"/>
    </row>
    <row r="2495" spans="5:5" x14ac:dyDescent="0.4">
      <c r="E2495"/>
    </row>
    <row r="2496" spans="5:5" x14ac:dyDescent="0.4">
      <c r="E2496"/>
    </row>
    <row r="2497" spans="5:5" x14ac:dyDescent="0.4">
      <c r="E2497"/>
    </row>
    <row r="2498" spans="5:5" x14ac:dyDescent="0.4">
      <c r="E2498"/>
    </row>
    <row r="2499" spans="5:5" x14ac:dyDescent="0.4">
      <c r="E2499"/>
    </row>
    <row r="2500" spans="5:5" x14ac:dyDescent="0.4">
      <c r="E2500"/>
    </row>
    <row r="2501" spans="5:5" x14ac:dyDescent="0.4">
      <c r="E2501"/>
    </row>
    <row r="2502" spans="5:5" x14ac:dyDescent="0.4">
      <c r="E2502"/>
    </row>
    <row r="2503" spans="5:5" x14ac:dyDescent="0.4">
      <c r="E2503"/>
    </row>
    <row r="2504" spans="5:5" x14ac:dyDescent="0.4">
      <c r="E2504"/>
    </row>
    <row r="2505" spans="5:5" x14ac:dyDescent="0.4">
      <c r="E2505"/>
    </row>
    <row r="2506" spans="5:5" x14ac:dyDescent="0.4">
      <c r="E2506"/>
    </row>
    <row r="2507" spans="5:5" x14ac:dyDescent="0.4">
      <c r="E2507"/>
    </row>
    <row r="2508" spans="5:5" x14ac:dyDescent="0.4">
      <c r="E2508"/>
    </row>
    <row r="2509" spans="5:5" x14ac:dyDescent="0.4">
      <c r="E2509"/>
    </row>
    <row r="2510" spans="5:5" x14ac:dyDescent="0.4">
      <c r="E2510"/>
    </row>
    <row r="2511" spans="5:5" x14ac:dyDescent="0.4">
      <c r="E2511"/>
    </row>
    <row r="2512" spans="5:5" x14ac:dyDescent="0.4">
      <c r="E2512"/>
    </row>
    <row r="2513" spans="5:5" x14ac:dyDescent="0.4">
      <c r="E2513"/>
    </row>
    <row r="2514" spans="5:5" x14ac:dyDescent="0.4">
      <c r="E2514"/>
    </row>
    <row r="2515" spans="5:5" x14ac:dyDescent="0.4">
      <c r="E2515"/>
    </row>
    <row r="2516" spans="5:5" x14ac:dyDescent="0.4">
      <c r="E2516"/>
    </row>
    <row r="2517" spans="5:5" x14ac:dyDescent="0.4">
      <c r="E2517"/>
    </row>
    <row r="2518" spans="5:5" x14ac:dyDescent="0.4">
      <c r="E2518"/>
    </row>
    <row r="2519" spans="5:5" x14ac:dyDescent="0.4">
      <c r="E2519"/>
    </row>
    <row r="2520" spans="5:5" x14ac:dyDescent="0.4">
      <c r="E2520"/>
    </row>
    <row r="2521" spans="5:5" x14ac:dyDescent="0.4">
      <c r="E2521"/>
    </row>
    <row r="2522" spans="5:5" x14ac:dyDescent="0.4">
      <c r="E2522"/>
    </row>
    <row r="2523" spans="5:5" x14ac:dyDescent="0.4">
      <c r="E2523"/>
    </row>
    <row r="2524" spans="5:5" x14ac:dyDescent="0.4">
      <c r="E2524"/>
    </row>
    <row r="2525" spans="5:5" x14ac:dyDescent="0.4">
      <c r="E2525"/>
    </row>
    <row r="2526" spans="5:5" x14ac:dyDescent="0.4">
      <c r="E2526"/>
    </row>
    <row r="2527" spans="5:5" x14ac:dyDescent="0.4">
      <c r="E2527"/>
    </row>
    <row r="2528" spans="5:5" x14ac:dyDescent="0.4">
      <c r="E2528"/>
    </row>
    <row r="2529" spans="5:5" x14ac:dyDescent="0.4">
      <c r="E2529"/>
    </row>
    <row r="2530" spans="5:5" x14ac:dyDescent="0.4">
      <c r="E2530"/>
    </row>
    <row r="2531" spans="5:5" x14ac:dyDescent="0.4">
      <c r="E2531"/>
    </row>
    <row r="2532" spans="5:5" x14ac:dyDescent="0.4">
      <c r="E2532"/>
    </row>
    <row r="2533" spans="5:5" x14ac:dyDescent="0.4">
      <c r="E2533"/>
    </row>
    <row r="2534" spans="5:5" x14ac:dyDescent="0.4">
      <c r="E2534"/>
    </row>
    <row r="2535" spans="5:5" x14ac:dyDescent="0.4">
      <c r="E2535"/>
    </row>
    <row r="2536" spans="5:5" x14ac:dyDescent="0.4">
      <c r="E2536"/>
    </row>
    <row r="2537" spans="5:5" x14ac:dyDescent="0.4">
      <c r="E2537"/>
    </row>
    <row r="2538" spans="5:5" x14ac:dyDescent="0.4">
      <c r="E2538"/>
    </row>
    <row r="2539" spans="5:5" x14ac:dyDescent="0.4">
      <c r="E2539"/>
    </row>
    <row r="2540" spans="5:5" x14ac:dyDescent="0.4">
      <c r="E2540"/>
    </row>
    <row r="2541" spans="5:5" x14ac:dyDescent="0.4">
      <c r="E2541"/>
    </row>
    <row r="2542" spans="5:5" x14ac:dyDescent="0.4">
      <c r="E2542"/>
    </row>
    <row r="2543" spans="5:5" x14ac:dyDescent="0.4">
      <c r="E2543"/>
    </row>
    <row r="2544" spans="5:5" x14ac:dyDescent="0.4">
      <c r="E2544"/>
    </row>
    <row r="2545" spans="5:5" x14ac:dyDescent="0.4">
      <c r="E2545"/>
    </row>
    <row r="2546" spans="5:5" x14ac:dyDescent="0.4">
      <c r="E2546"/>
    </row>
    <row r="2547" spans="5:5" x14ac:dyDescent="0.4">
      <c r="E2547"/>
    </row>
    <row r="2548" spans="5:5" x14ac:dyDescent="0.4">
      <c r="E2548"/>
    </row>
    <row r="2549" spans="5:5" x14ac:dyDescent="0.4">
      <c r="E2549"/>
    </row>
    <row r="2550" spans="5:5" x14ac:dyDescent="0.4">
      <c r="E2550"/>
    </row>
    <row r="2551" spans="5:5" x14ac:dyDescent="0.4">
      <c r="E2551"/>
    </row>
    <row r="2552" spans="5:5" x14ac:dyDescent="0.4">
      <c r="E2552"/>
    </row>
    <row r="2553" spans="5:5" x14ac:dyDescent="0.4">
      <c r="E2553"/>
    </row>
    <row r="2554" spans="5:5" x14ac:dyDescent="0.4">
      <c r="E2554"/>
    </row>
    <row r="2555" spans="5:5" x14ac:dyDescent="0.4">
      <c r="E2555"/>
    </row>
    <row r="2556" spans="5:5" x14ac:dyDescent="0.4">
      <c r="E2556"/>
    </row>
    <row r="2557" spans="5:5" x14ac:dyDescent="0.4">
      <c r="E2557"/>
    </row>
    <row r="2558" spans="5:5" x14ac:dyDescent="0.4">
      <c r="E2558"/>
    </row>
    <row r="2559" spans="5:5" x14ac:dyDescent="0.4">
      <c r="E2559"/>
    </row>
    <row r="2560" spans="5:5" x14ac:dyDescent="0.4">
      <c r="E2560"/>
    </row>
    <row r="2561" spans="5:5" x14ac:dyDescent="0.4">
      <c r="E2561"/>
    </row>
    <row r="2562" spans="5:5" x14ac:dyDescent="0.4">
      <c r="E2562"/>
    </row>
    <row r="2563" spans="5:5" x14ac:dyDescent="0.4">
      <c r="E2563"/>
    </row>
    <row r="2564" spans="5:5" x14ac:dyDescent="0.4">
      <c r="E2564"/>
    </row>
    <row r="2565" spans="5:5" x14ac:dyDescent="0.4">
      <c r="E2565"/>
    </row>
    <row r="2566" spans="5:5" x14ac:dyDescent="0.4">
      <c r="E2566"/>
    </row>
    <row r="2567" spans="5:5" x14ac:dyDescent="0.4">
      <c r="E2567"/>
    </row>
    <row r="2568" spans="5:5" x14ac:dyDescent="0.4">
      <c r="E2568"/>
    </row>
    <row r="2569" spans="5:5" x14ac:dyDescent="0.4">
      <c r="E2569"/>
    </row>
    <row r="2570" spans="5:5" x14ac:dyDescent="0.4">
      <c r="E2570"/>
    </row>
    <row r="2571" spans="5:5" x14ac:dyDescent="0.4">
      <c r="E2571"/>
    </row>
    <row r="2572" spans="5:5" x14ac:dyDescent="0.4">
      <c r="E2572"/>
    </row>
    <row r="2573" spans="5:5" x14ac:dyDescent="0.4">
      <c r="E2573"/>
    </row>
    <row r="2574" spans="5:5" x14ac:dyDescent="0.4">
      <c r="E2574"/>
    </row>
    <row r="2575" spans="5:5" x14ac:dyDescent="0.4">
      <c r="E2575"/>
    </row>
    <row r="2576" spans="5:5" x14ac:dyDescent="0.4">
      <c r="E2576"/>
    </row>
    <row r="2577" spans="5:5" x14ac:dyDescent="0.4">
      <c r="E2577"/>
    </row>
    <row r="2578" spans="5:5" x14ac:dyDescent="0.4">
      <c r="E2578"/>
    </row>
    <row r="2579" spans="5:5" x14ac:dyDescent="0.4">
      <c r="E2579"/>
    </row>
    <row r="2580" spans="5:5" x14ac:dyDescent="0.4">
      <c r="E2580"/>
    </row>
    <row r="2581" spans="5:5" x14ac:dyDescent="0.4">
      <c r="E2581"/>
    </row>
    <row r="2582" spans="5:5" x14ac:dyDescent="0.4">
      <c r="E2582"/>
    </row>
    <row r="2583" spans="5:5" x14ac:dyDescent="0.4">
      <c r="E2583"/>
    </row>
    <row r="2584" spans="5:5" x14ac:dyDescent="0.4">
      <c r="E2584"/>
    </row>
    <row r="2585" spans="5:5" x14ac:dyDescent="0.4">
      <c r="E2585"/>
    </row>
    <row r="2586" spans="5:5" x14ac:dyDescent="0.4">
      <c r="E2586"/>
    </row>
    <row r="2587" spans="5:5" x14ac:dyDescent="0.4">
      <c r="E2587"/>
    </row>
    <row r="2588" spans="5:5" x14ac:dyDescent="0.4">
      <c r="E2588"/>
    </row>
    <row r="2589" spans="5:5" x14ac:dyDescent="0.4">
      <c r="E2589"/>
    </row>
    <row r="2590" spans="5:5" x14ac:dyDescent="0.4">
      <c r="E2590"/>
    </row>
    <row r="2591" spans="5:5" x14ac:dyDescent="0.4">
      <c r="E2591"/>
    </row>
    <row r="2592" spans="5:5" x14ac:dyDescent="0.4">
      <c r="E2592"/>
    </row>
    <row r="2593" spans="5:5" x14ac:dyDescent="0.4">
      <c r="E2593"/>
    </row>
    <row r="2594" spans="5:5" x14ac:dyDescent="0.4">
      <c r="E2594"/>
    </row>
    <row r="2595" spans="5:5" x14ac:dyDescent="0.4">
      <c r="E2595"/>
    </row>
    <row r="2596" spans="5:5" x14ac:dyDescent="0.4">
      <c r="E2596"/>
    </row>
    <row r="2597" spans="5:5" x14ac:dyDescent="0.4">
      <c r="E2597"/>
    </row>
    <row r="2598" spans="5:5" x14ac:dyDescent="0.4">
      <c r="E2598"/>
    </row>
    <row r="2599" spans="5:5" x14ac:dyDescent="0.4">
      <c r="E2599"/>
    </row>
    <row r="2600" spans="5:5" x14ac:dyDescent="0.4">
      <c r="E2600"/>
    </row>
    <row r="2601" spans="5:5" x14ac:dyDescent="0.4">
      <c r="E2601"/>
    </row>
    <row r="2602" spans="5:5" x14ac:dyDescent="0.4">
      <c r="E2602"/>
    </row>
    <row r="2603" spans="5:5" x14ac:dyDescent="0.4">
      <c r="E2603"/>
    </row>
    <row r="2604" spans="5:5" x14ac:dyDescent="0.4">
      <c r="E2604"/>
    </row>
    <row r="2605" spans="5:5" x14ac:dyDescent="0.4">
      <c r="E2605"/>
    </row>
    <row r="2606" spans="5:5" x14ac:dyDescent="0.4">
      <c r="E2606"/>
    </row>
    <row r="2607" spans="5:5" x14ac:dyDescent="0.4">
      <c r="E2607"/>
    </row>
    <row r="2608" spans="5:5" x14ac:dyDescent="0.4">
      <c r="E2608"/>
    </row>
    <row r="2609" spans="5:5" x14ac:dyDescent="0.4">
      <c r="E2609"/>
    </row>
    <row r="2610" spans="5:5" x14ac:dyDescent="0.4">
      <c r="E2610"/>
    </row>
    <row r="2611" spans="5:5" x14ac:dyDescent="0.4">
      <c r="E2611"/>
    </row>
    <row r="2612" spans="5:5" x14ac:dyDescent="0.4">
      <c r="E2612"/>
    </row>
    <row r="2613" spans="5:5" x14ac:dyDescent="0.4">
      <c r="E2613"/>
    </row>
    <row r="2614" spans="5:5" x14ac:dyDescent="0.4">
      <c r="E2614"/>
    </row>
    <row r="2615" spans="5:5" x14ac:dyDescent="0.4">
      <c r="E2615"/>
    </row>
    <row r="2616" spans="5:5" x14ac:dyDescent="0.4">
      <c r="E2616"/>
    </row>
    <row r="2617" spans="5:5" x14ac:dyDescent="0.4">
      <c r="E2617"/>
    </row>
    <row r="2618" spans="5:5" x14ac:dyDescent="0.4">
      <c r="E2618"/>
    </row>
    <row r="2619" spans="5:5" x14ac:dyDescent="0.4">
      <c r="E2619"/>
    </row>
    <row r="2620" spans="5:5" x14ac:dyDescent="0.4">
      <c r="E2620"/>
    </row>
    <row r="2621" spans="5:5" x14ac:dyDescent="0.4">
      <c r="E2621"/>
    </row>
    <row r="2622" spans="5:5" x14ac:dyDescent="0.4">
      <c r="E2622"/>
    </row>
    <row r="2623" spans="5:5" x14ac:dyDescent="0.4">
      <c r="E2623"/>
    </row>
    <row r="2624" spans="5:5" x14ac:dyDescent="0.4">
      <c r="E2624"/>
    </row>
    <row r="2625" spans="5:5" x14ac:dyDescent="0.4">
      <c r="E2625"/>
    </row>
    <row r="2626" spans="5:5" x14ac:dyDescent="0.4">
      <c r="E2626"/>
    </row>
    <row r="2627" spans="5:5" x14ac:dyDescent="0.4">
      <c r="E2627"/>
    </row>
    <row r="2628" spans="5:5" x14ac:dyDescent="0.4">
      <c r="E2628"/>
    </row>
    <row r="2629" spans="5:5" x14ac:dyDescent="0.4">
      <c r="E2629"/>
    </row>
    <row r="2630" spans="5:5" x14ac:dyDescent="0.4">
      <c r="E2630"/>
    </row>
    <row r="2631" spans="5:5" x14ac:dyDescent="0.4">
      <c r="E2631"/>
    </row>
    <row r="2632" spans="5:5" x14ac:dyDescent="0.4">
      <c r="E2632"/>
    </row>
    <row r="2633" spans="5:5" x14ac:dyDescent="0.4">
      <c r="E2633"/>
    </row>
    <row r="2634" spans="5:5" x14ac:dyDescent="0.4">
      <c r="E2634"/>
    </row>
    <row r="2635" spans="5:5" x14ac:dyDescent="0.4">
      <c r="E2635"/>
    </row>
    <row r="2636" spans="5:5" x14ac:dyDescent="0.4">
      <c r="E2636"/>
    </row>
    <row r="2637" spans="5:5" x14ac:dyDescent="0.4">
      <c r="E2637"/>
    </row>
    <row r="2638" spans="5:5" x14ac:dyDescent="0.4">
      <c r="E2638"/>
    </row>
    <row r="2639" spans="5:5" x14ac:dyDescent="0.4">
      <c r="E2639"/>
    </row>
    <row r="2640" spans="5:5" x14ac:dyDescent="0.4">
      <c r="E2640"/>
    </row>
    <row r="2641" spans="5:5" x14ac:dyDescent="0.4">
      <c r="E2641"/>
    </row>
    <row r="2642" spans="5:5" x14ac:dyDescent="0.4">
      <c r="E2642"/>
    </row>
    <row r="2643" spans="5:5" x14ac:dyDescent="0.4">
      <c r="E2643"/>
    </row>
    <row r="2644" spans="5:5" x14ac:dyDescent="0.4">
      <c r="E2644"/>
    </row>
    <row r="2645" spans="5:5" x14ac:dyDescent="0.4">
      <c r="E2645"/>
    </row>
    <row r="2646" spans="5:5" x14ac:dyDescent="0.4">
      <c r="E2646"/>
    </row>
    <row r="2647" spans="5:5" x14ac:dyDescent="0.4">
      <c r="E2647"/>
    </row>
    <row r="2648" spans="5:5" x14ac:dyDescent="0.4">
      <c r="E2648"/>
    </row>
    <row r="2649" spans="5:5" x14ac:dyDescent="0.4">
      <c r="E2649"/>
    </row>
    <row r="2650" spans="5:5" x14ac:dyDescent="0.4">
      <c r="E2650"/>
    </row>
    <row r="2651" spans="5:5" x14ac:dyDescent="0.4">
      <c r="E2651"/>
    </row>
    <row r="2652" spans="5:5" x14ac:dyDescent="0.4">
      <c r="E2652"/>
    </row>
    <row r="2653" spans="5:5" x14ac:dyDescent="0.4">
      <c r="E2653"/>
    </row>
    <row r="2654" spans="5:5" x14ac:dyDescent="0.4">
      <c r="E2654"/>
    </row>
    <row r="2655" spans="5:5" x14ac:dyDescent="0.4">
      <c r="E2655"/>
    </row>
    <row r="2656" spans="5:5" x14ac:dyDescent="0.4">
      <c r="E2656"/>
    </row>
    <row r="2657" spans="5:5" x14ac:dyDescent="0.4">
      <c r="E2657"/>
    </row>
    <row r="2658" spans="5:5" x14ac:dyDescent="0.4">
      <c r="E2658"/>
    </row>
    <row r="2659" spans="5:5" x14ac:dyDescent="0.4">
      <c r="E2659"/>
    </row>
    <row r="2660" spans="5:5" x14ac:dyDescent="0.4">
      <c r="E2660"/>
    </row>
    <row r="2661" spans="5:5" x14ac:dyDescent="0.4">
      <c r="E2661"/>
    </row>
    <row r="2662" spans="5:5" x14ac:dyDescent="0.4">
      <c r="E2662"/>
    </row>
    <row r="2663" spans="5:5" x14ac:dyDescent="0.4">
      <c r="E2663"/>
    </row>
    <row r="2664" spans="5:5" x14ac:dyDescent="0.4">
      <c r="E2664"/>
    </row>
    <row r="2665" spans="5:5" x14ac:dyDescent="0.4">
      <c r="E2665"/>
    </row>
    <row r="2666" spans="5:5" x14ac:dyDescent="0.4">
      <c r="E2666"/>
    </row>
    <row r="2667" spans="5:5" x14ac:dyDescent="0.4">
      <c r="E2667"/>
    </row>
    <row r="2668" spans="5:5" x14ac:dyDescent="0.4">
      <c r="E2668"/>
    </row>
    <row r="2669" spans="5:5" x14ac:dyDescent="0.4">
      <c r="E2669"/>
    </row>
    <row r="2670" spans="5:5" x14ac:dyDescent="0.4">
      <c r="E2670"/>
    </row>
    <row r="2671" spans="5:5" x14ac:dyDescent="0.4">
      <c r="E2671"/>
    </row>
    <row r="2672" spans="5:5" x14ac:dyDescent="0.4">
      <c r="E2672"/>
    </row>
    <row r="2673" spans="5:5" x14ac:dyDescent="0.4">
      <c r="E2673"/>
    </row>
    <row r="2674" spans="5:5" x14ac:dyDescent="0.4">
      <c r="E2674"/>
    </row>
    <row r="2675" spans="5:5" x14ac:dyDescent="0.4">
      <c r="E2675"/>
    </row>
    <row r="2676" spans="5:5" x14ac:dyDescent="0.4">
      <c r="E2676"/>
    </row>
    <row r="2677" spans="5:5" x14ac:dyDescent="0.4">
      <c r="E2677"/>
    </row>
    <row r="2678" spans="5:5" x14ac:dyDescent="0.4">
      <c r="E2678"/>
    </row>
    <row r="2679" spans="5:5" x14ac:dyDescent="0.4">
      <c r="E2679"/>
    </row>
    <row r="2680" spans="5:5" x14ac:dyDescent="0.4">
      <c r="E2680"/>
    </row>
    <row r="2681" spans="5:5" x14ac:dyDescent="0.4">
      <c r="E2681"/>
    </row>
    <row r="2682" spans="5:5" x14ac:dyDescent="0.4">
      <c r="E2682"/>
    </row>
    <row r="2683" spans="5:5" x14ac:dyDescent="0.4">
      <c r="E2683"/>
    </row>
    <row r="2684" spans="5:5" x14ac:dyDescent="0.4">
      <c r="E2684"/>
    </row>
    <row r="2685" spans="5:5" x14ac:dyDescent="0.4">
      <c r="E2685"/>
    </row>
    <row r="2686" spans="5:5" x14ac:dyDescent="0.4">
      <c r="E2686"/>
    </row>
    <row r="2687" spans="5:5" x14ac:dyDescent="0.4">
      <c r="E2687"/>
    </row>
    <row r="2688" spans="5:5" x14ac:dyDescent="0.4">
      <c r="E2688"/>
    </row>
    <row r="2689" spans="5:5" x14ac:dyDescent="0.4">
      <c r="E2689"/>
    </row>
    <row r="2690" spans="5:5" x14ac:dyDescent="0.4">
      <c r="E2690"/>
    </row>
    <row r="2691" spans="5:5" x14ac:dyDescent="0.4">
      <c r="E2691"/>
    </row>
    <row r="2692" spans="5:5" x14ac:dyDescent="0.4">
      <c r="E2692"/>
    </row>
    <row r="2693" spans="5:5" x14ac:dyDescent="0.4">
      <c r="E2693"/>
    </row>
    <row r="2694" spans="5:5" x14ac:dyDescent="0.4">
      <c r="E2694"/>
    </row>
    <row r="2695" spans="5:5" x14ac:dyDescent="0.4">
      <c r="E2695"/>
    </row>
    <row r="2696" spans="5:5" x14ac:dyDescent="0.4">
      <c r="E2696"/>
    </row>
    <row r="2697" spans="5:5" x14ac:dyDescent="0.4">
      <c r="E2697"/>
    </row>
    <row r="2698" spans="5:5" x14ac:dyDescent="0.4">
      <c r="E2698"/>
    </row>
    <row r="2699" spans="5:5" x14ac:dyDescent="0.4">
      <c r="E2699"/>
    </row>
    <row r="2700" spans="5:5" x14ac:dyDescent="0.4">
      <c r="E2700"/>
    </row>
    <row r="2701" spans="5:5" x14ac:dyDescent="0.4">
      <c r="E2701"/>
    </row>
    <row r="2702" spans="5:5" x14ac:dyDescent="0.4">
      <c r="E2702"/>
    </row>
    <row r="2703" spans="5:5" x14ac:dyDescent="0.4">
      <c r="E2703"/>
    </row>
    <row r="2704" spans="5:5" x14ac:dyDescent="0.4">
      <c r="E2704"/>
    </row>
    <row r="2705" spans="5:5" x14ac:dyDescent="0.4">
      <c r="E2705"/>
    </row>
    <row r="2706" spans="5:5" x14ac:dyDescent="0.4">
      <c r="E2706"/>
    </row>
    <row r="2707" spans="5:5" x14ac:dyDescent="0.4">
      <c r="E2707"/>
    </row>
    <row r="2708" spans="5:5" x14ac:dyDescent="0.4">
      <c r="E2708"/>
    </row>
    <row r="2709" spans="5:5" x14ac:dyDescent="0.4">
      <c r="E2709"/>
    </row>
    <row r="2710" spans="5:5" x14ac:dyDescent="0.4">
      <c r="E2710"/>
    </row>
    <row r="2711" spans="5:5" x14ac:dyDescent="0.4">
      <c r="E2711"/>
    </row>
    <row r="2712" spans="5:5" x14ac:dyDescent="0.4">
      <c r="E2712"/>
    </row>
    <row r="2713" spans="5:5" x14ac:dyDescent="0.4">
      <c r="E2713"/>
    </row>
    <row r="2714" spans="5:5" x14ac:dyDescent="0.4">
      <c r="E2714"/>
    </row>
    <row r="2715" spans="5:5" x14ac:dyDescent="0.4">
      <c r="E2715"/>
    </row>
    <row r="2716" spans="5:5" x14ac:dyDescent="0.4">
      <c r="E2716"/>
    </row>
    <row r="2717" spans="5:5" x14ac:dyDescent="0.4">
      <c r="E2717"/>
    </row>
    <row r="2718" spans="5:5" x14ac:dyDescent="0.4">
      <c r="E2718"/>
    </row>
    <row r="2719" spans="5:5" x14ac:dyDescent="0.4">
      <c r="E2719"/>
    </row>
    <row r="2720" spans="5:5" x14ac:dyDescent="0.4">
      <c r="E2720"/>
    </row>
    <row r="2721" spans="5:5" x14ac:dyDescent="0.4">
      <c r="E2721"/>
    </row>
    <row r="2722" spans="5:5" x14ac:dyDescent="0.4">
      <c r="E2722"/>
    </row>
    <row r="2723" spans="5:5" x14ac:dyDescent="0.4">
      <c r="E2723"/>
    </row>
    <row r="2724" spans="5:5" x14ac:dyDescent="0.4">
      <c r="E2724"/>
    </row>
    <row r="2725" spans="5:5" x14ac:dyDescent="0.4">
      <c r="E2725"/>
    </row>
    <row r="2726" spans="5:5" x14ac:dyDescent="0.4">
      <c r="E2726"/>
    </row>
    <row r="2727" spans="5:5" x14ac:dyDescent="0.4">
      <c r="E2727"/>
    </row>
    <row r="2728" spans="5:5" x14ac:dyDescent="0.4">
      <c r="E2728"/>
    </row>
    <row r="2729" spans="5:5" x14ac:dyDescent="0.4">
      <c r="E2729"/>
    </row>
    <row r="2730" spans="5:5" x14ac:dyDescent="0.4">
      <c r="E2730"/>
    </row>
    <row r="2731" spans="5:5" x14ac:dyDescent="0.4">
      <c r="E2731"/>
    </row>
    <row r="2732" spans="5:5" x14ac:dyDescent="0.4">
      <c r="E2732"/>
    </row>
    <row r="2733" spans="5:5" x14ac:dyDescent="0.4">
      <c r="E2733"/>
    </row>
    <row r="2734" spans="5:5" x14ac:dyDescent="0.4">
      <c r="E2734"/>
    </row>
    <row r="2735" spans="5:5" x14ac:dyDescent="0.4">
      <c r="E2735"/>
    </row>
    <row r="2736" spans="5:5" x14ac:dyDescent="0.4">
      <c r="E2736"/>
    </row>
    <row r="2737" spans="5:5" x14ac:dyDescent="0.4">
      <c r="E2737"/>
    </row>
    <row r="2738" spans="5:5" x14ac:dyDescent="0.4">
      <c r="E2738"/>
    </row>
    <row r="2739" spans="5:5" x14ac:dyDescent="0.4">
      <c r="E2739"/>
    </row>
    <row r="2740" spans="5:5" x14ac:dyDescent="0.4">
      <c r="E2740"/>
    </row>
    <row r="2741" spans="5:5" x14ac:dyDescent="0.4">
      <c r="E2741"/>
    </row>
    <row r="2742" spans="5:5" x14ac:dyDescent="0.4">
      <c r="E2742"/>
    </row>
    <row r="2743" spans="5:5" x14ac:dyDescent="0.4">
      <c r="E2743"/>
    </row>
    <row r="2744" spans="5:5" x14ac:dyDescent="0.4">
      <c r="E2744"/>
    </row>
    <row r="2745" spans="5:5" x14ac:dyDescent="0.4">
      <c r="E2745"/>
    </row>
    <row r="2746" spans="5:5" x14ac:dyDescent="0.4">
      <c r="E2746"/>
    </row>
    <row r="2747" spans="5:5" x14ac:dyDescent="0.4">
      <c r="E2747"/>
    </row>
    <row r="2748" spans="5:5" x14ac:dyDescent="0.4">
      <c r="E2748"/>
    </row>
    <row r="2749" spans="5:5" x14ac:dyDescent="0.4">
      <c r="E2749"/>
    </row>
    <row r="2750" spans="5:5" x14ac:dyDescent="0.4">
      <c r="E2750"/>
    </row>
    <row r="2751" spans="5:5" x14ac:dyDescent="0.4">
      <c r="E2751"/>
    </row>
    <row r="2752" spans="5:5" x14ac:dyDescent="0.4">
      <c r="E2752"/>
    </row>
    <row r="2753" spans="5:5" x14ac:dyDescent="0.4">
      <c r="E2753"/>
    </row>
    <row r="2754" spans="5:5" x14ac:dyDescent="0.4">
      <c r="E2754"/>
    </row>
    <row r="2755" spans="5:5" x14ac:dyDescent="0.4">
      <c r="E2755"/>
    </row>
    <row r="2756" spans="5:5" x14ac:dyDescent="0.4">
      <c r="E2756"/>
    </row>
    <row r="2757" spans="5:5" x14ac:dyDescent="0.4">
      <c r="E2757"/>
    </row>
    <row r="2758" spans="5:5" x14ac:dyDescent="0.4">
      <c r="E2758"/>
    </row>
    <row r="2759" spans="5:5" x14ac:dyDescent="0.4">
      <c r="E2759"/>
    </row>
    <row r="2760" spans="5:5" x14ac:dyDescent="0.4">
      <c r="E2760"/>
    </row>
    <row r="2761" spans="5:5" x14ac:dyDescent="0.4">
      <c r="E2761"/>
    </row>
    <row r="2762" spans="5:5" x14ac:dyDescent="0.4">
      <c r="E2762"/>
    </row>
    <row r="2763" spans="5:5" x14ac:dyDescent="0.4">
      <c r="E2763"/>
    </row>
    <row r="2764" spans="5:5" x14ac:dyDescent="0.4">
      <c r="E2764"/>
    </row>
    <row r="2765" spans="5:5" x14ac:dyDescent="0.4">
      <c r="E2765"/>
    </row>
    <row r="2766" spans="5:5" x14ac:dyDescent="0.4">
      <c r="E2766"/>
    </row>
    <row r="2767" spans="5:5" x14ac:dyDescent="0.4">
      <c r="E2767"/>
    </row>
    <row r="2768" spans="5:5" x14ac:dyDescent="0.4">
      <c r="E2768"/>
    </row>
    <row r="2769" spans="5:5" x14ac:dyDescent="0.4">
      <c r="E2769"/>
    </row>
    <row r="2770" spans="5:5" x14ac:dyDescent="0.4">
      <c r="E2770"/>
    </row>
    <row r="2771" spans="5:5" x14ac:dyDescent="0.4">
      <c r="E2771"/>
    </row>
    <row r="2772" spans="5:5" x14ac:dyDescent="0.4">
      <c r="E2772"/>
    </row>
    <row r="2773" spans="5:5" x14ac:dyDescent="0.4">
      <c r="E2773"/>
    </row>
    <row r="2774" spans="5:5" x14ac:dyDescent="0.4">
      <c r="E2774"/>
    </row>
    <row r="2775" spans="5:5" x14ac:dyDescent="0.4">
      <c r="E2775"/>
    </row>
    <row r="2776" spans="5:5" x14ac:dyDescent="0.4">
      <c r="E2776"/>
    </row>
    <row r="2777" spans="5:5" x14ac:dyDescent="0.4">
      <c r="E2777"/>
    </row>
    <row r="2778" spans="5:5" x14ac:dyDescent="0.4">
      <c r="E2778"/>
    </row>
    <row r="2779" spans="5:5" x14ac:dyDescent="0.4">
      <c r="E2779"/>
    </row>
    <row r="2780" spans="5:5" x14ac:dyDescent="0.4">
      <c r="E2780"/>
    </row>
    <row r="2781" spans="5:5" x14ac:dyDescent="0.4">
      <c r="E2781"/>
    </row>
    <row r="2782" spans="5:5" x14ac:dyDescent="0.4">
      <c r="E2782"/>
    </row>
    <row r="2783" spans="5:5" x14ac:dyDescent="0.4">
      <c r="E2783"/>
    </row>
    <row r="2784" spans="5:5" x14ac:dyDescent="0.4">
      <c r="E2784"/>
    </row>
    <row r="2785" spans="5:5" x14ac:dyDescent="0.4">
      <c r="E2785"/>
    </row>
    <row r="2786" spans="5:5" x14ac:dyDescent="0.4">
      <c r="E2786"/>
    </row>
    <row r="2787" spans="5:5" x14ac:dyDescent="0.4">
      <c r="E2787"/>
    </row>
    <row r="2788" spans="5:5" x14ac:dyDescent="0.4">
      <c r="E2788"/>
    </row>
    <row r="2789" spans="5:5" x14ac:dyDescent="0.4">
      <c r="E2789"/>
    </row>
    <row r="2790" spans="5:5" x14ac:dyDescent="0.4">
      <c r="E2790"/>
    </row>
    <row r="2791" spans="5:5" x14ac:dyDescent="0.4">
      <c r="E2791"/>
    </row>
    <row r="2792" spans="5:5" x14ac:dyDescent="0.4">
      <c r="E2792"/>
    </row>
    <row r="2793" spans="5:5" x14ac:dyDescent="0.4">
      <c r="E2793"/>
    </row>
    <row r="2794" spans="5:5" x14ac:dyDescent="0.4">
      <c r="E2794"/>
    </row>
    <row r="2795" spans="5:5" x14ac:dyDescent="0.4">
      <c r="E2795"/>
    </row>
    <row r="2796" spans="5:5" x14ac:dyDescent="0.4">
      <c r="E2796"/>
    </row>
    <row r="2797" spans="5:5" x14ac:dyDescent="0.4">
      <c r="E2797"/>
    </row>
    <row r="2798" spans="5:5" x14ac:dyDescent="0.4">
      <c r="E2798"/>
    </row>
    <row r="2799" spans="5:5" x14ac:dyDescent="0.4">
      <c r="E2799"/>
    </row>
    <row r="2800" spans="5:5" x14ac:dyDescent="0.4">
      <c r="E2800"/>
    </row>
    <row r="2801" spans="5:5" x14ac:dyDescent="0.4">
      <c r="E2801"/>
    </row>
    <row r="2802" spans="5:5" x14ac:dyDescent="0.4">
      <c r="E2802"/>
    </row>
    <row r="2803" spans="5:5" x14ac:dyDescent="0.4">
      <c r="E2803"/>
    </row>
    <row r="2804" spans="5:5" x14ac:dyDescent="0.4">
      <c r="E2804"/>
    </row>
    <row r="2805" spans="5:5" x14ac:dyDescent="0.4">
      <c r="E2805"/>
    </row>
    <row r="2806" spans="5:5" x14ac:dyDescent="0.4">
      <c r="E2806"/>
    </row>
    <row r="2807" spans="5:5" x14ac:dyDescent="0.4">
      <c r="E2807"/>
    </row>
    <row r="2808" spans="5:5" x14ac:dyDescent="0.4">
      <c r="E2808"/>
    </row>
    <row r="2809" spans="5:5" x14ac:dyDescent="0.4">
      <c r="E2809"/>
    </row>
    <row r="2810" spans="5:5" x14ac:dyDescent="0.4">
      <c r="E2810"/>
    </row>
    <row r="2811" spans="5:5" x14ac:dyDescent="0.4">
      <c r="E2811"/>
    </row>
    <row r="2812" spans="5:5" x14ac:dyDescent="0.4">
      <c r="E2812"/>
    </row>
    <row r="2813" spans="5:5" x14ac:dyDescent="0.4">
      <c r="E2813"/>
    </row>
    <row r="2814" spans="5:5" x14ac:dyDescent="0.4">
      <c r="E2814"/>
    </row>
    <row r="2815" spans="5:5" x14ac:dyDescent="0.4">
      <c r="E2815"/>
    </row>
    <row r="2816" spans="5:5" x14ac:dyDescent="0.4">
      <c r="E2816"/>
    </row>
    <row r="2817" spans="5:5" x14ac:dyDescent="0.4">
      <c r="E2817"/>
    </row>
    <row r="2818" spans="5:5" x14ac:dyDescent="0.4">
      <c r="E2818"/>
    </row>
    <row r="2819" spans="5:5" x14ac:dyDescent="0.4">
      <c r="E2819"/>
    </row>
    <row r="2820" spans="5:5" x14ac:dyDescent="0.4">
      <c r="E2820"/>
    </row>
    <row r="2821" spans="5:5" x14ac:dyDescent="0.4">
      <c r="E2821"/>
    </row>
    <row r="2822" spans="5:5" x14ac:dyDescent="0.4">
      <c r="E2822"/>
    </row>
    <row r="2823" spans="5:5" x14ac:dyDescent="0.4">
      <c r="E2823"/>
    </row>
    <row r="2824" spans="5:5" x14ac:dyDescent="0.4">
      <c r="E2824"/>
    </row>
    <row r="2825" spans="5:5" x14ac:dyDescent="0.4">
      <c r="E2825"/>
    </row>
    <row r="2826" spans="5:5" x14ac:dyDescent="0.4">
      <c r="E2826"/>
    </row>
    <row r="2827" spans="5:5" x14ac:dyDescent="0.4">
      <c r="E2827"/>
    </row>
    <row r="2828" spans="5:5" x14ac:dyDescent="0.4">
      <c r="E2828"/>
    </row>
    <row r="2829" spans="5:5" x14ac:dyDescent="0.4">
      <c r="E2829"/>
    </row>
    <row r="2830" spans="5:5" x14ac:dyDescent="0.4">
      <c r="E2830"/>
    </row>
    <row r="2831" spans="5:5" x14ac:dyDescent="0.4">
      <c r="E2831"/>
    </row>
    <row r="2832" spans="5:5" x14ac:dyDescent="0.4">
      <c r="E2832"/>
    </row>
    <row r="2833" spans="5:5" x14ac:dyDescent="0.4">
      <c r="E2833"/>
    </row>
    <row r="2834" spans="5:5" x14ac:dyDescent="0.4">
      <c r="E2834"/>
    </row>
    <row r="2835" spans="5:5" x14ac:dyDescent="0.4">
      <c r="E2835"/>
    </row>
    <row r="2836" spans="5:5" x14ac:dyDescent="0.4">
      <c r="E2836"/>
    </row>
    <row r="2837" spans="5:5" x14ac:dyDescent="0.4">
      <c r="E2837"/>
    </row>
    <row r="2838" spans="5:5" x14ac:dyDescent="0.4">
      <c r="E2838"/>
    </row>
    <row r="2839" spans="5:5" x14ac:dyDescent="0.4">
      <c r="E2839"/>
    </row>
    <row r="2840" spans="5:5" x14ac:dyDescent="0.4">
      <c r="E2840"/>
    </row>
    <row r="2841" spans="5:5" x14ac:dyDescent="0.4">
      <c r="E2841"/>
    </row>
    <row r="2842" spans="5:5" x14ac:dyDescent="0.4">
      <c r="E2842"/>
    </row>
    <row r="2843" spans="5:5" x14ac:dyDescent="0.4">
      <c r="E2843"/>
    </row>
    <row r="2844" spans="5:5" x14ac:dyDescent="0.4">
      <c r="E2844"/>
    </row>
    <row r="2845" spans="5:5" x14ac:dyDescent="0.4">
      <c r="E2845"/>
    </row>
    <row r="2846" spans="5:5" x14ac:dyDescent="0.4">
      <c r="E2846"/>
    </row>
    <row r="2847" spans="5:5" x14ac:dyDescent="0.4">
      <c r="E2847"/>
    </row>
    <row r="2848" spans="5:5" x14ac:dyDescent="0.4">
      <c r="E2848"/>
    </row>
    <row r="2849" spans="5:5" x14ac:dyDescent="0.4">
      <c r="E2849"/>
    </row>
    <row r="2850" spans="5:5" x14ac:dyDescent="0.4">
      <c r="E2850"/>
    </row>
    <row r="2851" spans="5:5" x14ac:dyDescent="0.4">
      <c r="E2851"/>
    </row>
    <row r="2852" spans="5:5" x14ac:dyDescent="0.4">
      <c r="E2852"/>
    </row>
    <row r="2853" spans="5:5" x14ac:dyDescent="0.4">
      <c r="E2853"/>
    </row>
    <row r="2854" spans="5:5" x14ac:dyDescent="0.4">
      <c r="E2854"/>
    </row>
    <row r="2855" spans="5:5" x14ac:dyDescent="0.4">
      <c r="E2855"/>
    </row>
    <row r="2856" spans="5:5" x14ac:dyDescent="0.4">
      <c r="E2856"/>
    </row>
    <row r="2857" spans="5:5" x14ac:dyDescent="0.4">
      <c r="E2857"/>
    </row>
    <row r="2858" spans="5:5" x14ac:dyDescent="0.4">
      <c r="E2858"/>
    </row>
    <row r="2859" spans="5:5" x14ac:dyDescent="0.4">
      <c r="E2859"/>
    </row>
    <row r="2860" spans="5:5" x14ac:dyDescent="0.4">
      <c r="E2860"/>
    </row>
    <row r="2861" spans="5:5" x14ac:dyDescent="0.4">
      <c r="E2861"/>
    </row>
    <row r="2862" spans="5:5" x14ac:dyDescent="0.4">
      <c r="E2862"/>
    </row>
    <row r="2863" spans="5:5" x14ac:dyDescent="0.4">
      <c r="E2863"/>
    </row>
    <row r="2864" spans="5:5" x14ac:dyDescent="0.4">
      <c r="E2864"/>
    </row>
    <row r="2865" spans="5:5" x14ac:dyDescent="0.4">
      <c r="E2865"/>
    </row>
    <row r="2866" spans="5:5" x14ac:dyDescent="0.4">
      <c r="E2866"/>
    </row>
    <row r="2867" spans="5:5" x14ac:dyDescent="0.4">
      <c r="E2867"/>
    </row>
    <row r="2868" spans="5:5" x14ac:dyDescent="0.4">
      <c r="E2868"/>
    </row>
    <row r="2869" spans="5:5" x14ac:dyDescent="0.4">
      <c r="E2869"/>
    </row>
    <row r="2870" spans="5:5" x14ac:dyDescent="0.4">
      <c r="E2870"/>
    </row>
    <row r="2871" spans="5:5" x14ac:dyDescent="0.4">
      <c r="E2871"/>
    </row>
    <row r="2872" spans="5:5" x14ac:dyDescent="0.4">
      <c r="E2872"/>
    </row>
    <row r="2873" spans="5:5" x14ac:dyDescent="0.4">
      <c r="E2873"/>
    </row>
    <row r="2874" spans="5:5" x14ac:dyDescent="0.4">
      <c r="E2874"/>
    </row>
    <row r="2875" spans="5:5" x14ac:dyDescent="0.4">
      <c r="E2875"/>
    </row>
    <row r="2876" spans="5:5" x14ac:dyDescent="0.4">
      <c r="E2876"/>
    </row>
    <row r="2877" spans="5:5" x14ac:dyDescent="0.4">
      <c r="E2877"/>
    </row>
    <row r="2878" spans="5:5" x14ac:dyDescent="0.4">
      <c r="E2878"/>
    </row>
    <row r="2879" spans="5:5" x14ac:dyDescent="0.4">
      <c r="E2879"/>
    </row>
    <row r="2880" spans="5:5" x14ac:dyDescent="0.4">
      <c r="E2880"/>
    </row>
    <row r="2881" spans="5:5" x14ac:dyDescent="0.4">
      <c r="E2881"/>
    </row>
    <row r="2882" spans="5:5" x14ac:dyDescent="0.4">
      <c r="E2882"/>
    </row>
    <row r="2883" spans="5:5" x14ac:dyDescent="0.4">
      <c r="E2883"/>
    </row>
    <row r="2884" spans="5:5" x14ac:dyDescent="0.4">
      <c r="E2884"/>
    </row>
    <row r="2885" spans="5:5" x14ac:dyDescent="0.4">
      <c r="E2885"/>
    </row>
    <row r="2886" spans="5:5" x14ac:dyDescent="0.4">
      <c r="E2886"/>
    </row>
    <row r="2887" spans="5:5" x14ac:dyDescent="0.4">
      <c r="E2887"/>
    </row>
    <row r="2888" spans="5:5" x14ac:dyDescent="0.4">
      <c r="E2888"/>
    </row>
    <row r="2889" spans="5:5" x14ac:dyDescent="0.4">
      <c r="E2889"/>
    </row>
    <row r="2890" spans="5:5" x14ac:dyDescent="0.4">
      <c r="E2890"/>
    </row>
    <row r="2891" spans="5:5" x14ac:dyDescent="0.4">
      <c r="E2891"/>
    </row>
    <row r="2892" spans="5:5" x14ac:dyDescent="0.4">
      <c r="E2892"/>
    </row>
    <row r="2893" spans="5:5" x14ac:dyDescent="0.4">
      <c r="E2893"/>
    </row>
    <row r="2894" spans="5:5" x14ac:dyDescent="0.4">
      <c r="E2894"/>
    </row>
    <row r="2895" spans="5:5" x14ac:dyDescent="0.4">
      <c r="E2895"/>
    </row>
    <row r="2896" spans="5:5" x14ac:dyDescent="0.4">
      <c r="E2896"/>
    </row>
    <row r="2897" spans="5:5" x14ac:dyDescent="0.4">
      <c r="E2897"/>
    </row>
    <row r="2898" spans="5:5" x14ac:dyDescent="0.4">
      <c r="E2898"/>
    </row>
    <row r="2899" spans="5:5" x14ac:dyDescent="0.4">
      <c r="E2899"/>
    </row>
    <row r="2900" spans="5:5" x14ac:dyDescent="0.4">
      <c r="E2900"/>
    </row>
    <row r="2901" spans="5:5" x14ac:dyDescent="0.4">
      <c r="E2901"/>
    </row>
    <row r="2902" spans="5:5" x14ac:dyDescent="0.4">
      <c r="E2902"/>
    </row>
    <row r="2903" spans="5:5" x14ac:dyDescent="0.4">
      <c r="E2903"/>
    </row>
    <row r="2904" spans="5:5" x14ac:dyDescent="0.4">
      <c r="E2904"/>
    </row>
    <row r="2905" spans="5:5" x14ac:dyDescent="0.4">
      <c r="E2905"/>
    </row>
    <row r="2906" spans="5:5" x14ac:dyDescent="0.4">
      <c r="E2906"/>
    </row>
    <row r="2907" spans="5:5" x14ac:dyDescent="0.4">
      <c r="E2907"/>
    </row>
    <row r="2908" spans="5:5" x14ac:dyDescent="0.4">
      <c r="E2908"/>
    </row>
    <row r="2909" spans="5:5" x14ac:dyDescent="0.4">
      <c r="E2909"/>
    </row>
    <row r="2910" spans="5:5" x14ac:dyDescent="0.4">
      <c r="E2910"/>
    </row>
    <row r="2911" spans="5:5" x14ac:dyDescent="0.4">
      <c r="E2911"/>
    </row>
    <row r="2912" spans="5:5" x14ac:dyDescent="0.4">
      <c r="E2912"/>
    </row>
    <row r="2913" spans="5:5" x14ac:dyDescent="0.4">
      <c r="E2913"/>
    </row>
    <row r="2914" spans="5:5" x14ac:dyDescent="0.4">
      <c r="E2914"/>
    </row>
    <row r="2915" spans="5:5" x14ac:dyDescent="0.4">
      <c r="E2915"/>
    </row>
    <row r="2916" spans="5:5" x14ac:dyDescent="0.4">
      <c r="E2916"/>
    </row>
    <row r="2917" spans="5:5" x14ac:dyDescent="0.4">
      <c r="E2917"/>
    </row>
    <row r="2918" spans="5:5" x14ac:dyDescent="0.4">
      <c r="E2918"/>
    </row>
    <row r="2919" spans="5:5" x14ac:dyDescent="0.4">
      <c r="E2919"/>
    </row>
    <row r="2920" spans="5:5" x14ac:dyDescent="0.4">
      <c r="E2920"/>
    </row>
    <row r="2921" spans="5:5" x14ac:dyDescent="0.4">
      <c r="E2921"/>
    </row>
    <row r="2922" spans="5:5" x14ac:dyDescent="0.4">
      <c r="E2922"/>
    </row>
    <row r="2923" spans="5:5" x14ac:dyDescent="0.4">
      <c r="E2923"/>
    </row>
    <row r="2924" spans="5:5" x14ac:dyDescent="0.4">
      <c r="E2924"/>
    </row>
    <row r="2925" spans="5:5" x14ac:dyDescent="0.4">
      <c r="E2925"/>
    </row>
    <row r="2926" spans="5:5" x14ac:dyDescent="0.4">
      <c r="E2926"/>
    </row>
    <row r="2927" spans="5:5" x14ac:dyDescent="0.4">
      <c r="E2927"/>
    </row>
    <row r="2928" spans="5:5" x14ac:dyDescent="0.4">
      <c r="E2928"/>
    </row>
    <row r="2929" spans="5:5" x14ac:dyDescent="0.4">
      <c r="E2929"/>
    </row>
    <row r="2930" spans="5:5" x14ac:dyDescent="0.4">
      <c r="E2930"/>
    </row>
    <row r="2931" spans="5:5" x14ac:dyDescent="0.4">
      <c r="E2931"/>
    </row>
    <row r="2932" spans="5:5" x14ac:dyDescent="0.4">
      <c r="E2932"/>
    </row>
    <row r="2933" spans="5:5" x14ac:dyDescent="0.4">
      <c r="E2933"/>
    </row>
    <row r="2934" spans="5:5" x14ac:dyDescent="0.4">
      <c r="E2934"/>
    </row>
    <row r="2935" spans="5:5" x14ac:dyDescent="0.4">
      <c r="E2935"/>
    </row>
    <row r="2936" spans="5:5" x14ac:dyDescent="0.4">
      <c r="E2936"/>
    </row>
    <row r="2937" spans="5:5" x14ac:dyDescent="0.4">
      <c r="E2937"/>
    </row>
    <row r="2938" spans="5:5" x14ac:dyDescent="0.4">
      <c r="E2938"/>
    </row>
    <row r="2939" spans="5:5" x14ac:dyDescent="0.4">
      <c r="E2939"/>
    </row>
    <row r="2940" spans="5:5" x14ac:dyDescent="0.4">
      <c r="E2940"/>
    </row>
    <row r="2941" spans="5:5" x14ac:dyDescent="0.4">
      <c r="E2941"/>
    </row>
    <row r="2942" spans="5:5" x14ac:dyDescent="0.4">
      <c r="E2942"/>
    </row>
    <row r="2943" spans="5:5" x14ac:dyDescent="0.4">
      <c r="E2943"/>
    </row>
    <row r="2944" spans="5:5" x14ac:dyDescent="0.4">
      <c r="E2944"/>
    </row>
    <row r="2945" spans="5:5" x14ac:dyDescent="0.4">
      <c r="E2945"/>
    </row>
    <row r="2946" spans="5:5" x14ac:dyDescent="0.4">
      <c r="E2946"/>
    </row>
    <row r="2947" spans="5:5" x14ac:dyDescent="0.4">
      <c r="E2947"/>
    </row>
    <row r="2948" spans="5:5" x14ac:dyDescent="0.4">
      <c r="E2948"/>
    </row>
    <row r="2949" spans="5:5" x14ac:dyDescent="0.4">
      <c r="E2949"/>
    </row>
    <row r="2950" spans="5:5" x14ac:dyDescent="0.4">
      <c r="E2950"/>
    </row>
    <row r="2951" spans="5:5" x14ac:dyDescent="0.4">
      <c r="E2951"/>
    </row>
    <row r="2952" spans="5:5" x14ac:dyDescent="0.4">
      <c r="E2952"/>
    </row>
    <row r="2953" spans="5:5" x14ac:dyDescent="0.4">
      <c r="E2953"/>
    </row>
    <row r="2954" spans="5:5" x14ac:dyDescent="0.4">
      <c r="E2954"/>
    </row>
    <row r="2955" spans="5:5" x14ac:dyDescent="0.4">
      <c r="E2955"/>
    </row>
    <row r="2956" spans="5:5" x14ac:dyDescent="0.4">
      <c r="E2956"/>
    </row>
    <row r="2957" spans="5:5" x14ac:dyDescent="0.4">
      <c r="E2957"/>
    </row>
    <row r="2958" spans="5:5" x14ac:dyDescent="0.4">
      <c r="E2958"/>
    </row>
    <row r="2959" spans="5:5" x14ac:dyDescent="0.4">
      <c r="E2959"/>
    </row>
    <row r="2960" spans="5:5" x14ac:dyDescent="0.4">
      <c r="E2960"/>
    </row>
    <row r="2961" spans="5:5" x14ac:dyDescent="0.4">
      <c r="E2961"/>
    </row>
    <row r="2962" spans="5:5" x14ac:dyDescent="0.4">
      <c r="E2962"/>
    </row>
    <row r="2963" spans="5:5" x14ac:dyDescent="0.4">
      <c r="E2963"/>
    </row>
    <row r="2964" spans="5:5" x14ac:dyDescent="0.4">
      <c r="E2964"/>
    </row>
    <row r="2965" spans="5:5" x14ac:dyDescent="0.4">
      <c r="E2965"/>
    </row>
    <row r="2966" spans="5:5" x14ac:dyDescent="0.4">
      <c r="E2966"/>
    </row>
    <row r="2967" spans="5:5" x14ac:dyDescent="0.4">
      <c r="E2967"/>
    </row>
    <row r="2968" spans="5:5" x14ac:dyDescent="0.4">
      <c r="E2968"/>
    </row>
    <row r="2969" spans="5:5" x14ac:dyDescent="0.4">
      <c r="E2969"/>
    </row>
    <row r="2970" spans="5:5" x14ac:dyDescent="0.4">
      <c r="E2970"/>
    </row>
    <row r="2971" spans="5:5" x14ac:dyDescent="0.4">
      <c r="E2971"/>
    </row>
    <row r="2972" spans="5:5" x14ac:dyDescent="0.4">
      <c r="E2972"/>
    </row>
    <row r="2973" spans="5:5" x14ac:dyDescent="0.4">
      <c r="E2973"/>
    </row>
    <row r="2974" spans="5:5" x14ac:dyDescent="0.4">
      <c r="E2974"/>
    </row>
    <row r="2975" spans="5:5" x14ac:dyDescent="0.4">
      <c r="E2975"/>
    </row>
    <row r="2976" spans="5:5" x14ac:dyDescent="0.4">
      <c r="E2976"/>
    </row>
    <row r="2977" spans="5:5" x14ac:dyDescent="0.4">
      <c r="E2977"/>
    </row>
    <row r="2978" spans="5:5" x14ac:dyDescent="0.4">
      <c r="E2978"/>
    </row>
    <row r="2979" spans="5:5" x14ac:dyDescent="0.4">
      <c r="E2979"/>
    </row>
    <row r="2980" spans="5:5" x14ac:dyDescent="0.4">
      <c r="E2980"/>
    </row>
    <row r="2981" spans="5:5" x14ac:dyDescent="0.4">
      <c r="E2981"/>
    </row>
    <row r="2982" spans="5:5" x14ac:dyDescent="0.4">
      <c r="E2982"/>
    </row>
    <row r="2983" spans="5:5" x14ac:dyDescent="0.4">
      <c r="E2983"/>
    </row>
    <row r="2984" spans="5:5" x14ac:dyDescent="0.4">
      <c r="E2984"/>
    </row>
    <row r="2985" spans="5:5" x14ac:dyDescent="0.4">
      <c r="E2985"/>
    </row>
    <row r="2986" spans="5:5" x14ac:dyDescent="0.4">
      <c r="E2986"/>
    </row>
    <row r="2987" spans="5:5" x14ac:dyDescent="0.4">
      <c r="E2987"/>
    </row>
    <row r="2988" spans="5:5" x14ac:dyDescent="0.4">
      <c r="E2988"/>
    </row>
    <row r="2989" spans="5:5" x14ac:dyDescent="0.4">
      <c r="E2989"/>
    </row>
    <row r="2990" spans="5:5" x14ac:dyDescent="0.4">
      <c r="E2990"/>
    </row>
    <row r="2991" spans="5:5" x14ac:dyDescent="0.4">
      <c r="E2991"/>
    </row>
    <row r="2992" spans="5:5" x14ac:dyDescent="0.4">
      <c r="E2992"/>
    </row>
    <row r="2993" spans="5:5" x14ac:dyDescent="0.4">
      <c r="E2993"/>
    </row>
    <row r="2994" spans="5:5" x14ac:dyDescent="0.4">
      <c r="E2994"/>
    </row>
    <row r="2995" spans="5:5" x14ac:dyDescent="0.4">
      <c r="E2995"/>
    </row>
    <row r="2996" spans="5:5" x14ac:dyDescent="0.4">
      <c r="E2996"/>
    </row>
    <row r="2997" spans="5:5" x14ac:dyDescent="0.4">
      <c r="E2997"/>
    </row>
    <row r="2998" spans="5:5" x14ac:dyDescent="0.4">
      <c r="E2998"/>
    </row>
    <row r="2999" spans="5:5" x14ac:dyDescent="0.4">
      <c r="E2999"/>
    </row>
    <row r="3000" spans="5:5" x14ac:dyDescent="0.4">
      <c r="E3000"/>
    </row>
    <row r="3001" spans="5:5" x14ac:dyDescent="0.4">
      <c r="E3001"/>
    </row>
    <row r="3002" spans="5:5" x14ac:dyDescent="0.4">
      <c r="E3002"/>
    </row>
    <row r="3003" spans="5:5" x14ac:dyDescent="0.4">
      <c r="E3003"/>
    </row>
    <row r="3004" spans="5:5" x14ac:dyDescent="0.4">
      <c r="E3004"/>
    </row>
    <row r="3005" spans="5:5" x14ac:dyDescent="0.4">
      <c r="E3005"/>
    </row>
    <row r="3006" spans="5:5" x14ac:dyDescent="0.4">
      <c r="E3006"/>
    </row>
    <row r="3007" spans="5:5" x14ac:dyDescent="0.4">
      <c r="E3007"/>
    </row>
    <row r="3008" spans="5:5" x14ac:dyDescent="0.4">
      <c r="E3008"/>
    </row>
    <row r="3009" spans="5:5" x14ac:dyDescent="0.4">
      <c r="E3009"/>
    </row>
    <row r="3010" spans="5:5" x14ac:dyDescent="0.4">
      <c r="E3010"/>
    </row>
    <row r="3011" spans="5:5" x14ac:dyDescent="0.4">
      <c r="E3011"/>
    </row>
    <row r="3012" spans="5:5" x14ac:dyDescent="0.4">
      <c r="E3012"/>
    </row>
    <row r="3013" spans="5:5" x14ac:dyDescent="0.4">
      <c r="E3013"/>
    </row>
    <row r="3014" spans="5:5" x14ac:dyDescent="0.4">
      <c r="E3014"/>
    </row>
    <row r="3015" spans="5:5" x14ac:dyDescent="0.4">
      <c r="E3015"/>
    </row>
    <row r="3016" spans="5:5" x14ac:dyDescent="0.4">
      <c r="E3016"/>
    </row>
    <row r="3017" spans="5:5" x14ac:dyDescent="0.4">
      <c r="E3017"/>
    </row>
    <row r="3018" spans="5:5" x14ac:dyDescent="0.4">
      <c r="E3018"/>
    </row>
    <row r="3019" spans="5:5" x14ac:dyDescent="0.4">
      <c r="E3019"/>
    </row>
    <row r="3020" spans="5:5" x14ac:dyDescent="0.4">
      <c r="E3020"/>
    </row>
    <row r="3021" spans="5:5" x14ac:dyDescent="0.4">
      <c r="E3021"/>
    </row>
    <row r="3022" spans="5:5" x14ac:dyDescent="0.4">
      <c r="E3022"/>
    </row>
    <row r="3023" spans="5:5" x14ac:dyDescent="0.4">
      <c r="E3023"/>
    </row>
    <row r="3024" spans="5:5" x14ac:dyDescent="0.4">
      <c r="E3024"/>
    </row>
    <row r="3025" spans="5:5" x14ac:dyDescent="0.4">
      <c r="E3025"/>
    </row>
    <row r="3026" spans="5:5" x14ac:dyDescent="0.4">
      <c r="E3026"/>
    </row>
    <row r="3027" spans="5:5" x14ac:dyDescent="0.4">
      <c r="E3027"/>
    </row>
    <row r="3028" spans="5:5" x14ac:dyDescent="0.4">
      <c r="E3028"/>
    </row>
    <row r="3029" spans="5:5" x14ac:dyDescent="0.4">
      <c r="E3029"/>
    </row>
    <row r="3030" spans="5:5" x14ac:dyDescent="0.4">
      <c r="E3030"/>
    </row>
    <row r="3031" spans="5:5" x14ac:dyDescent="0.4">
      <c r="E3031"/>
    </row>
    <row r="3032" spans="5:5" x14ac:dyDescent="0.4">
      <c r="E3032"/>
    </row>
    <row r="3033" spans="5:5" x14ac:dyDescent="0.4">
      <c r="E3033"/>
    </row>
    <row r="3034" spans="5:5" x14ac:dyDescent="0.4">
      <c r="E3034"/>
    </row>
    <row r="3035" spans="5:5" x14ac:dyDescent="0.4">
      <c r="E3035"/>
    </row>
    <row r="3036" spans="5:5" x14ac:dyDescent="0.4">
      <c r="E3036"/>
    </row>
    <row r="3037" spans="5:5" x14ac:dyDescent="0.4">
      <c r="E3037"/>
    </row>
    <row r="3038" spans="5:5" x14ac:dyDescent="0.4">
      <c r="E3038"/>
    </row>
    <row r="3039" spans="5:5" x14ac:dyDescent="0.4">
      <c r="E3039"/>
    </row>
    <row r="3040" spans="5:5" x14ac:dyDescent="0.4">
      <c r="E3040"/>
    </row>
    <row r="3041" spans="5:5" x14ac:dyDescent="0.4">
      <c r="E3041"/>
    </row>
    <row r="3042" spans="5:5" x14ac:dyDescent="0.4">
      <c r="E3042"/>
    </row>
    <row r="3043" spans="5:5" x14ac:dyDescent="0.4">
      <c r="E3043"/>
    </row>
    <row r="3044" spans="5:5" x14ac:dyDescent="0.4">
      <c r="E3044"/>
    </row>
    <row r="3045" spans="5:5" x14ac:dyDescent="0.4">
      <c r="E3045"/>
    </row>
    <row r="3046" spans="5:5" x14ac:dyDescent="0.4">
      <c r="E3046"/>
    </row>
    <row r="3047" spans="5:5" x14ac:dyDescent="0.4">
      <c r="E3047"/>
    </row>
    <row r="3048" spans="5:5" x14ac:dyDescent="0.4">
      <c r="E3048"/>
    </row>
    <row r="3049" spans="5:5" x14ac:dyDescent="0.4">
      <c r="E3049"/>
    </row>
    <row r="3050" spans="5:5" x14ac:dyDescent="0.4">
      <c r="E3050"/>
    </row>
    <row r="3051" spans="5:5" x14ac:dyDescent="0.4">
      <c r="E3051"/>
    </row>
    <row r="3052" spans="5:5" x14ac:dyDescent="0.4">
      <c r="E3052"/>
    </row>
    <row r="3053" spans="5:5" x14ac:dyDescent="0.4">
      <c r="E3053"/>
    </row>
    <row r="3054" spans="5:5" x14ac:dyDescent="0.4">
      <c r="E3054"/>
    </row>
    <row r="3055" spans="5:5" x14ac:dyDescent="0.4">
      <c r="E3055"/>
    </row>
    <row r="3056" spans="5:5" x14ac:dyDescent="0.4">
      <c r="E3056"/>
    </row>
    <row r="3057" spans="5:5" x14ac:dyDescent="0.4">
      <c r="E3057"/>
    </row>
    <row r="3058" spans="5:5" x14ac:dyDescent="0.4">
      <c r="E3058"/>
    </row>
    <row r="3059" spans="5:5" x14ac:dyDescent="0.4">
      <c r="E3059"/>
    </row>
    <row r="3060" spans="5:5" x14ac:dyDescent="0.4">
      <c r="E3060"/>
    </row>
    <row r="3061" spans="5:5" x14ac:dyDescent="0.4">
      <c r="E3061"/>
    </row>
    <row r="3062" spans="5:5" x14ac:dyDescent="0.4">
      <c r="E3062"/>
    </row>
    <row r="3063" spans="5:5" x14ac:dyDescent="0.4">
      <c r="E3063"/>
    </row>
    <row r="3064" spans="5:5" x14ac:dyDescent="0.4">
      <c r="E3064"/>
    </row>
    <row r="3065" spans="5:5" x14ac:dyDescent="0.4">
      <c r="E3065"/>
    </row>
    <row r="3066" spans="5:5" x14ac:dyDescent="0.4">
      <c r="E3066"/>
    </row>
    <row r="3067" spans="5:5" x14ac:dyDescent="0.4">
      <c r="E3067"/>
    </row>
    <row r="3068" spans="5:5" x14ac:dyDescent="0.4">
      <c r="E3068"/>
    </row>
    <row r="3069" spans="5:5" x14ac:dyDescent="0.4">
      <c r="E3069"/>
    </row>
    <row r="3070" spans="5:5" x14ac:dyDescent="0.4">
      <c r="E3070"/>
    </row>
    <row r="3071" spans="5:5" x14ac:dyDescent="0.4">
      <c r="E3071"/>
    </row>
    <row r="3072" spans="5:5" x14ac:dyDescent="0.4">
      <c r="E3072"/>
    </row>
    <row r="3073" spans="5:5" x14ac:dyDescent="0.4">
      <c r="E3073"/>
    </row>
    <row r="3074" spans="5:5" x14ac:dyDescent="0.4">
      <c r="E3074"/>
    </row>
    <row r="3075" spans="5:5" x14ac:dyDescent="0.4">
      <c r="E3075"/>
    </row>
    <row r="3076" spans="5:5" x14ac:dyDescent="0.4">
      <c r="E3076"/>
    </row>
    <row r="3077" spans="5:5" x14ac:dyDescent="0.4">
      <c r="E3077"/>
    </row>
    <row r="3078" spans="5:5" x14ac:dyDescent="0.4">
      <c r="E3078"/>
    </row>
    <row r="3079" spans="5:5" x14ac:dyDescent="0.4">
      <c r="E3079"/>
    </row>
    <row r="3080" spans="5:5" x14ac:dyDescent="0.4">
      <c r="E3080"/>
    </row>
    <row r="3081" spans="5:5" x14ac:dyDescent="0.4">
      <c r="E3081"/>
    </row>
    <row r="3082" spans="5:5" x14ac:dyDescent="0.4">
      <c r="E3082"/>
    </row>
    <row r="3083" spans="5:5" x14ac:dyDescent="0.4">
      <c r="E3083"/>
    </row>
    <row r="3084" spans="5:5" x14ac:dyDescent="0.4">
      <c r="E3084"/>
    </row>
    <row r="3085" spans="5:5" x14ac:dyDescent="0.4">
      <c r="E3085"/>
    </row>
    <row r="3086" spans="5:5" x14ac:dyDescent="0.4">
      <c r="E3086"/>
    </row>
    <row r="3087" spans="5:5" x14ac:dyDescent="0.4">
      <c r="E3087"/>
    </row>
    <row r="3088" spans="5:5" x14ac:dyDescent="0.4">
      <c r="E3088"/>
    </row>
    <row r="3089" spans="5:5" x14ac:dyDescent="0.4">
      <c r="E3089"/>
    </row>
    <row r="3090" spans="5:5" x14ac:dyDescent="0.4">
      <c r="E3090"/>
    </row>
    <row r="3091" spans="5:5" x14ac:dyDescent="0.4">
      <c r="E3091"/>
    </row>
    <row r="3092" spans="5:5" x14ac:dyDescent="0.4">
      <c r="E3092"/>
    </row>
    <row r="3093" spans="5:5" x14ac:dyDescent="0.4">
      <c r="E3093"/>
    </row>
    <row r="3094" spans="5:5" x14ac:dyDescent="0.4">
      <c r="E3094"/>
    </row>
    <row r="3095" spans="5:5" x14ac:dyDescent="0.4">
      <c r="E3095"/>
    </row>
    <row r="3096" spans="5:5" x14ac:dyDescent="0.4">
      <c r="E3096"/>
    </row>
    <row r="3097" spans="5:5" x14ac:dyDescent="0.4">
      <c r="E3097"/>
    </row>
    <row r="3098" spans="5:5" x14ac:dyDescent="0.4">
      <c r="E3098"/>
    </row>
    <row r="3099" spans="5:5" x14ac:dyDescent="0.4">
      <c r="E3099"/>
    </row>
    <row r="3100" spans="5:5" x14ac:dyDescent="0.4">
      <c r="E3100"/>
    </row>
    <row r="3101" spans="5:5" x14ac:dyDescent="0.4">
      <c r="E3101"/>
    </row>
    <row r="3102" spans="5:5" x14ac:dyDescent="0.4">
      <c r="E3102"/>
    </row>
    <row r="3103" spans="5:5" x14ac:dyDescent="0.4">
      <c r="E3103"/>
    </row>
    <row r="3104" spans="5:5" x14ac:dyDescent="0.4">
      <c r="E3104"/>
    </row>
    <row r="3105" spans="5:5" x14ac:dyDescent="0.4">
      <c r="E3105"/>
    </row>
    <row r="3106" spans="5:5" x14ac:dyDescent="0.4">
      <c r="E3106"/>
    </row>
    <row r="3107" spans="5:5" x14ac:dyDescent="0.4">
      <c r="E3107"/>
    </row>
    <row r="3108" spans="5:5" x14ac:dyDescent="0.4">
      <c r="E3108"/>
    </row>
    <row r="3109" spans="5:5" x14ac:dyDescent="0.4">
      <c r="E3109"/>
    </row>
    <row r="3110" spans="5:5" x14ac:dyDescent="0.4">
      <c r="E3110"/>
    </row>
    <row r="3111" spans="5:5" x14ac:dyDescent="0.4">
      <c r="E3111"/>
    </row>
    <row r="3112" spans="5:5" x14ac:dyDescent="0.4">
      <c r="E3112"/>
    </row>
    <row r="3113" spans="5:5" x14ac:dyDescent="0.4">
      <c r="E3113"/>
    </row>
    <row r="3114" spans="5:5" x14ac:dyDescent="0.4">
      <c r="E3114"/>
    </row>
    <row r="3115" spans="5:5" x14ac:dyDescent="0.4">
      <c r="E3115"/>
    </row>
    <row r="3116" spans="5:5" x14ac:dyDescent="0.4">
      <c r="E3116"/>
    </row>
    <row r="3117" spans="5:5" x14ac:dyDescent="0.4">
      <c r="E3117"/>
    </row>
    <row r="3118" spans="5:5" x14ac:dyDescent="0.4">
      <c r="E3118"/>
    </row>
    <row r="3119" spans="5:5" x14ac:dyDescent="0.4">
      <c r="E3119"/>
    </row>
    <row r="3120" spans="5:5" x14ac:dyDescent="0.4">
      <c r="E3120"/>
    </row>
    <row r="3121" spans="5:5" x14ac:dyDescent="0.4">
      <c r="E3121"/>
    </row>
    <row r="3122" spans="5:5" x14ac:dyDescent="0.4">
      <c r="E3122"/>
    </row>
    <row r="3123" spans="5:5" x14ac:dyDescent="0.4">
      <c r="E3123"/>
    </row>
    <row r="3124" spans="5:5" x14ac:dyDescent="0.4">
      <c r="E3124"/>
    </row>
    <row r="3125" spans="5:5" x14ac:dyDescent="0.4">
      <c r="E3125"/>
    </row>
    <row r="3126" spans="5:5" x14ac:dyDescent="0.4">
      <c r="E3126"/>
    </row>
    <row r="3127" spans="5:5" x14ac:dyDescent="0.4">
      <c r="E3127"/>
    </row>
    <row r="3128" spans="5:5" x14ac:dyDescent="0.4">
      <c r="E3128"/>
    </row>
    <row r="3129" spans="5:5" x14ac:dyDescent="0.4">
      <c r="E3129"/>
    </row>
    <row r="3130" spans="5:5" x14ac:dyDescent="0.4">
      <c r="E3130"/>
    </row>
    <row r="3131" spans="5:5" x14ac:dyDescent="0.4">
      <c r="E3131"/>
    </row>
    <row r="3132" spans="5:5" x14ac:dyDescent="0.4">
      <c r="E3132"/>
    </row>
    <row r="3133" spans="5:5" x14ac:dyDescent="0.4">
      <c r="E3133"/>
    </row>
    <row r="3134" spans="5:5" x14ac:dyDescent="0.4">
      <c r="E3134"/>
    </row>
    <row r="3135" spans="5:5" x14ac:dyDescent="0.4">
      <c r="E3135"/>
    </row>
    <row r="3136" spans="5:5" x14ac:dyDescent="0.4">
      <c r="E3136"/>
    </row>
    <row r="3137" spans="5:5" x14ac:dyDescent="0.4">
      <c r="E3137"/>
    </row>
    <row r="3138" spans="5:5" x14ac:dyDescent="0.4">
      <c r="E3138"/>
    </row>
    <row r="3139" spans="5:5" x14ac:dyDescent="0.4">
      <c r="E3139"/>
    </row>
    <row r="3140" spans="5:5" x14ac:dyDescent="0.4">
      <c r="E3140"/>
    </row>
    <row r="3141" spans="5:5" x14ac:dyDescent="0.4">
      <c r="E3141"/>
    </row>
    <row r="3142" spans="5:5" x14ac:dyDescent="0.4">
      <c r="E3142"/>
    </row>
    <row r="3143" spans="5:5" x14ac:dyDescent="0.4">
      <c r="E3143"/>
    </row>
    <row r="3144" spans="5:5" x14ac:dyDescent="0.4">
      <c r="E3144"/>
    </row>
    <row r="3145" spans="5:5" x14ac:dyDescent="0.4">
      <c r="E3145"/>
    </row>
    <row r="3146" spans="5:5" x14ac:dyDescent="0.4">
      <c r="E3146"/>
    </row>
    <row r="3147" spans="5:5" x14ac:dyDescent="0.4">
      <c r="E3147"/>
    </row>
    <row r="3148" spans="5:5" x14ac:dyDescent="0.4">
      <c r="E3148"/>
    </row>
    <row r="3149" spans="5:5" x14ac:dyDescent="0.4">
      <c r="E3149"/>
    </row>
    <row r="3150" spans="5:5" x14ac:dyDescent="0.4">
      <c r="E3150"/>
    </row>
    <row r="3151" spans="5:5" x14ac:dyDescent="0.4">
      <c r="E3151"/>
    </row>
    <row r="3152" spans="5:5" x14ac:dyDescent="0.4">
      <c r="E3152"/>
    </row>
    <row r="3153" spans="5:5" x14ac:dyDescent="0.4">
      <c r="E3153"/>
    </row>
    <row r="3154" spans="5:5" x14ac:dyDescent="0.4">
      <c r="E3154"/>
    </row>
    <row r="3155" spans="5:5" x14ac:dyDescent="0.4">
      <c r="E3155"/>
    </row>
    <row r="3156" spans="5:5" x14ac:dyDescent="0.4">
      <c r="E3156"/>
    </row>
    <row r="3157" spans="5:5" x14ac:dyDescent="0.4">
      <c r="E3157"/>
    </row>
    <row r="3158" spans="5:5" x14ac:dyDescent="0.4">
      <c r="E3158"/>
    </row>
    <row r="3159" spans="5:5" x14ac:dyDescent="0.4">
      <c r="E3159"/>
    </row>
    <row r="3160" spans="5:5" x14ac:dyDescent="0.4">
      <c r="E3160"/>
    </row>
    <row r="3161" spans="5:5" x14ac:dyDescent="0.4">
      <c r="E3161"/>
    </row>
    <row r="3162" spans="5:5" x14ac:dyDescent="0.4">
      <c r="E3162"/>
    </row>
    <row r="3163" spans="5:5" x14ac:dyDescent="0.4">
      <c r="E3163"/>
    </row>
    <row r="3164" spans="5:5" x14ac:dyDescent="0.4">
      <c r="E3164"/>
    </row>
    <row r="3165" spans="5:5" x14ac:dyDescent="0.4">
      <c r="E3165"/>
    </row>
    <row r="3166" spans="5:5" x14ac:dyDescent="0.4">
      <c r="E3166"/>
    </row>
    <row r="3167" spans="5:5" x14ac:dyDescent="0.4">
      <c r="E3167"/>
    </row>
    <row r="3168" spans="5:5" x14ac:dyDescent="0.4">
      <c r="E3168"/>
    </row>
    <row r="3169" spans="5:5" x14ac:dyDescent="0.4">
      <c r="E3169"/>
    </row>
    <row r="3170" spans="5:5" x14ac:dyDescent="0.4">
      <c r="E3170"/>
    </row>
    <row r="3171" spans="5:5" x14ac:dyDescent="0.4">
      <c r="E3171"/>
    </row>
    <row r="3172" spans="5:5" x14ac:dyDescent="0.4">
      <c r="E3172"/>
    </row>
    <row r="3173" spans="5:5" x14ac:dyDescent="0.4">
      <c r="E3173"/>
    </row>
    <row r="3174" spans="5:5" x14ac:dyDescent="0.4">
      <c r="E3174"/>
    </row>
    <row r="3175" spans="5:5" x14ac:dyDescent="0.4">
      <c r="E3175"/>
    </row>
    <row r="3176" spans="5:5" x14ac:dyDescent="0.4">
      <c r="E3176"/>
    </row>
    <row r="3177" spans="5:5" x14ac:dyDescent="0.4">
      <c r="E3177"/>
    </row>
    <row r="3178" spans="5:5" x14ac:dyDescent="0.4">
      <c r="E3178"/>
    </row>
    <row r="3179" spans="5:5" x14ac:dyDescent="0.4">
      <c r="E3179"/>
    </row>
    <row r="3180" spans="5:5" x14ac:dyDescent="0.4">
      <c r="E3180"/>
    </row>
    <row r="3181" spans="5:5" x14ac:dyDescent="0.4">
      <c r="E3181"/>
    </row>
    <row r="3182" spans="5:5" x14ac:dyDescent="0.4">
      <c r="E3182"/>
    </row>
    <row r="3183" spans="5:5" x14ac:dyDescent="0.4">
      <c r="E3183"/>
    </row>
    <row r="3184" spans="5:5" x14ac:dyDescent="0.4">
      <c r="E3184"/>
    </row>
    <row r="3185" spans="5:5" x14ac:dyDescent="0.4">
      <c r="E3185"/>
    </row>
    <row r="3186" spans="5:5" x14ac:dyDescent="0.4">
      <c r="E3186"/>
    </row>
    <row r="3187" spans="5:5" x14ac:dyDescent="0.4">
      <c r="E3187"/>
    </row>
    <row r="3188" spans="5:5" x14ac:dyDescent="0.4">
      <c r="E3188"/>
    </row>
    <row r="3189" spans="5:5" x14ac:dyDescent="0.4">
      <c r="E3189"/>
    </row>
    <row r="3190" spans="5:5" x14ac:dyDescent="0.4">
      <c r="E3190"/>
    </row>
    <row r="3191" spans="5:5" x14ac:dyDescent="0.4">
      <c r="E3191"/>
    </row>
    <row r="3192" spans="5:5" x14ac:dyDescent="0.4">
      <c r="E3192"/>
    </row>
    <row r="3193" spans="5:5" x14ac:dyDescent="0.4">
      <c r="E3193"/>
    </row>
    <row r="3194" spans="5:5" x14ac:dyDescent="0.4">
      <c r="E3194"/>
    </row>
    <row r="3195" spans="5:5" x14ac:dyDescent="0.4">
      <c r="E3195"/>
    </row>
    <row r="3196" spans="5:5" x14ac:dyDescent="0.4">
      <c r="E3196"/>
    </row>
    <row r="3197" spans="5:5" x14ac:dyDescent="0.4">
      <c r="E3197"/>
    </row>
    <row r="3198" spans="5:5" x14ac:dyDescent="0.4">
      <c r="E3198"/>
    </row>
    <row r="3199" spans="5:5" x14ac:dyDescent="0.4">
      <c r="E3199"/>
    </row>
    <row r="3200" spans="5:5" x14ac:dyDescent="0.4">
      <c r="E3200"/>
    </row>
    <row r="3201" spans="5:5" x14ac:dyDescent="0.4">
      <c r="E3201"/>
    </row>
    <row r="3202" spans="5:5" x14ac:dyDescent="0.4">
      <c r="E3202"/>
    </row>
    <row r="3203" spans="5:5" x14ac:dyDescent="0.4">
      <c r="E3203"/>
    </row>
    <row r="3204" spans="5:5" x14ac:dyDescent="0.4">
      <c r="E3204"/>
    </row>
    <row r="3205" spans="5:5" x14ac:dyDescent="0.4">
      <c r="E3205"/>
    </row>
    <row r="3206" spans="5:5" x14ac:dyDescent="0.4">
      <c r="E3206"/>
    </row>
    <row r="3207" spans="5:5" x14ac:dyDescent="0.4">
      <c r="E3207"/>
    </row>
    <row r="3208" spans="5:5" x14ac:dyDescent="0.4">
      <c r="E3208"/>
    </row>
    <row r="3209" spans="5:5" x14ac:dyDescent="0.4">
      <c r="E3209"/>
    </row>
    <row r="3210" spans="5:5" x14ac:dyDescent="0.4">
      <c r="E3210"/>
    </row>
    <row r="3211" spans="5:5" x14ac:dyDescent="0.4">
      <c r="E3211"/>
    </row>
    <row r="3212" spans="5:5" x14ac:dyDescent="0.4">
      <c r="E3212"/>
    </row>
    <row r="3213" spans="5:5" x14ac:dyDescent="0.4">
      <c r="E3213"/>
    </row>
    <row r="3214" spans="5:5" x14ac:dyDescent="0.4">
      <c r="E3214"/>
    </row>
    <row r="3215" spans="5:5" x14ac:dyDescent="0.4">
      <c r="E3215"/>
    </row>
    <row r="3216" spans="5:5" x14ac:dyDescent="0.4">
      <c r="E3216"/>
    </row>
    <row r="3217" spans="5:5" x14ac:dyDescent="0.4">
      <c r="E3217"/>
    </row>
    <row r="3218" spans="5:5" x14ac:dyDescent="0.4">
      <c r="E3218"/>
    </row>
    <row r="3219" spans="5:5" x14ac:dyDescent="0.4">
      <c r="E3219"/>
    </row>
    <row r="3220" spans="5:5" x14ac:dyDescent="0.4">
      <c r="E3220"/>
    </row>
    <row r="3221" spans="5:5" x14ac:dyDescent="0.4">
      <c r="E3221"/>
    </row>
    <row r="3222" spans="5:5" x14ac:dyDescent="0.4">
      <c r="E3222"/>
    </row>
    <row r="3223" spans="5:5" x14ac:dyDescent="0.4">
      <c r="E3223"/>
    </row>
    <row r="3224" spans="5:5" x14ac:dyDescent="0.4">
      <c r="E3224"/>
    </row>
    <row r="3225" spans="5:5" x14ac:dyDescent="0.4">
      <c r="E3225"/>
    </row>
    <row r="3226" spans="5:5" x14ac:dyDescent="0.4">
      <c r="E3226"/>
    </row>
    <row r="3227" spans="5:5" x14ac:dyDescent="0.4">
      <c r="E3227"/>
    </row>
    <row r="3228" spans="5:5" x14ac:dyDescent="0.4">
      <c r="E3228"/>
    </row>
    <row r="3229" spans="5:5" x14ac:dyDescent="0.4">
      <c r="E3229"/>
    </row>
    <row r="3230" spans="5:5" x14ac:dyDescent="0.4">
      <c r="E3230"/>
    </row>
    <row r="3231" spans="5:5" x14ac:dyDescent="0.4">
      <c r="E3231"/>
    </row>
    <row r="3232" spans="5:5" x14ac:dyDescent="0.4">
      <c r="E3232"/>
    </row>
    <row r="3233" spans="5:5" x14ac:dyDescent="0.4">
      <c r="E3233"/>
    </row>
    <row r="3234" spans="5:5" x14ac:dyDescent="0.4">
      <c r="E3234"/>
    </row>
    <row r="3235" spans="5:5" x14ac:dyDescent="0.4">
      <c r="E3235"/>
    </row>
    <row r="3236" spans="5:5" x14ac:dyDescent="0.4">
      <c r="E3236"/>
    </row>
    <row r="3237" spans="5:5" x14ac:dyDescent="0.4">
      <c r="E3237"/>
    </row>
    <row r="3238" spans="5:5" x14ac:dyDescent="0.4">
      <c r="E3238"/>
    </row>
    <row r="3239" spans="5:5" x14ac:dyDescent="0.4">
      <c r="E3239"/>
    </row>
    <row r="3240" spans="5:5" x14ac:dyDescent="0.4">
      <c r="E3240"/>
    </row>
    <row r="3241" spans="5:5" x14ac:dyDescent="0.4">
      <c r="E3241"/>
    </row>
    <row r="3242" spans="5:5" x14ac:dyDescent="0.4">
      <c r="E3242"/>
    </row>
    <row r="3243" spans="5:5" x14ac:dyDescent="0.4">
      <c r="E3243"/>
    </row>
    <row r="3244" spans="5:5" x14ac:dyDescent="0.4">
      <c r="E3244"/>
    </row>
    <row r="3245" spans="5:5" x14ac:dyDescent="0.4">
      <c r="E3245"/>
    </row>
    <row r="3246" spans="5:5" x14ac:dyDescent="0.4">
      <c r="E3246"/>
    </row>
    <row r="3247" spans="5:5" x14ac:dyDescent="0.4">
      <c r="E3247"/>
    </row>
    <row r="3248" spans="5:5" x14ac:dyDescent="0.4">
      <c r="E3248"/>
    </row>
    <row r="3249" spans="5:5" x14ac:dyDescent="0.4">
      <c r="E3249"/>
    </row>
    <row r="3250" spans="5:5" x14ac:dyDescent="0.4">
      <c r="E3250"/>
    </row>
    <row r="3251" spans="5:5" x14ac:dyDescent="0.4">
      <c r="E3251"/>
    </row>
    <row r="3252" spans="5:5" x14ac:dyDescent="0.4">
      <c r="E3252"/>
    </row>
    <row r="3253" spans="5:5" x14ac:dyDescent="0.4">
      <c r="E3253"/>
    </row>
    <row r="3254" spans="5:5" x14ac:dyDescent="0.4">
      <c r="E3254"/>
    </row>
    <row r="3255" spans="5:5" x14ac:dyDescent="0.4">
      <c r="E3255"/>
    </row>
    <row r="3256" spans="5:5" x14ac:dyDescent="0.4">
      <c r="E3256"/>
    </row>
    <row r="3257" spans="5:5" x14ac:dyDescent="0.4">
      <c r="E3257"/>
    </row>
    <row r="3258" spans="5:5" x14ac:dyDescent="0.4">
      <c r="E3258"/>
    </row>
    <row r="3259" spans="5:5" x14ac:dyDescent="0.4">
      <c r="E3259"/>
    </row>
    <row r="3260" spans="5:5" x14ac:dyDescent="0.4">
      <c r="E3260"/>
    </row>
    <row r="3261" spans="5:5" x14ac:dyDescent="0.4">
      <c r="E3261"/>
    </row>
    <row r="3262" spans="5:5" x14ac:dyDescent="0.4">
      <c r="E3262"/>
    </row>
    <row r="3263" spans="5:5" x14ac:dyDescent="0.4">
      <c r="E3263"/>
    </row>
    <row r="3264" spans="5:5" x14ac:dyDescent="0.4">
      <c r="E3264"/>
    </row>
    <row r="3265" spans="5:5" x14ac:dyDescent="0.4">
      <c r="E3265"/>
    </row>
    <row r="3266" spans="5:5" x14ac:dyDescent="0.4">
      <c r="E3266"/>
    </row>
    <row r="3267" spans="5:5" x14ac:dyDescent="0.4">
      <c r="E3267"/>
    </row>
    <row r="3268" spans="5:5" x14ac:dyDescent="0.4">
      <c r="E3268"/>
    </row>
    <row r="3269" spans="5:5" x14ac:dyDescent="0.4">
      <c r="E3269"/>
    </row>
    <row r="3270" spans="5:5" x14ac:dyDescent="0.4">
      <c r="E3270"/>
    </row>
    <row r="3271" spans="5:5" x14ac:dyDescent="0.4">
      <c r="E3271"/>
    </row>
    <row r="3272" spans="5:5" x14ac:dyDescent="0.4">
      <c r="E3272"/>
    </row>
    <row r="3273" spans="5:5" x14ac:dyDescent="0.4">
      <c r="E3273"/>
    </row>
    <row r="3274" spans="5:5" x14ac:dyDescent="0.4">
      <c r="E3274"/>
    </row>
    <row r="3275" spans="5:5" x14ac:dyDescent="0.4">
      <c r="E3275"/>
    </row>
    <row r="3276" spans="5:5" x14ac:dyDescent="0.4">
      <c r="E3276"/>
    </row>
    <row r="3277" spans="5:5" x14ac:dyDescent="0.4">
      <c r="E3277"/>
    </row>
    <row r="3278" spans="5:5" x14ac:dyDescent="0.4">
      <c r="E3278"/>
    </row>
    <row r="3279" spans="5:5" x14ac:dyDescent="0.4">
      <c r="E3279"/>
    </row>
    <row r="3280" spans="5:5" x14ac:dyDescent="0.4">
      <c r="E3280"/>
    </row>
    <row r="3281" spans="5:5" x14ac:dyDescent="0.4">
      <c r="E3281"/>
    </row>
    <row r="3282" spans="5:5" x14ac:dyDescent="0.4">
      <c r="E3282"/>
    </row>
    <row r="3283" spans="5:5" x14ac:dyDescent="0.4">
      <c r="E3283"/>
    </row>
    <row r="3284" spans="5:5" x14ac:dyDescent="0.4">
      <c r="E3284"/>
    </row>
    <row r="3285" spans="5:5" x14ac:dyDescent="0.4">
      <c r="E3285"/>
    </row>
    <row r="3286" spans="5:5" x14ac:dyDescent="0.4">
      <c r="E3286"/>
    </row>
    <row r="3287" spans="5:5" x14ac:dyDescent="0.4">
      <c r="E3287"/>
    </row>
    <row r="3288" spans="5:5" x14ac:dyDescent="0.4">
      <c r="E3288"/>
    </row>
    <row r="3289" spans="5:5" x14ac:dyDescent="0.4">
      <c r="E3289"/>
    </row>
    <row r="3290" spans="5:5" x14ac:dyDescent="0.4">
      <c r="E3290"/>
    </row>
    <row r="3291" spans="5:5" x14ac:dyDescent="0.4">
      <c r="E3291"/>
    </row>
    <row r="3292" spans="5:5" x14ac:dyDescent="0.4">
      <c r="E3292"/>
    </row>
    <row r="3293" spans="5:5" x14ac:dyDescent="0.4">
      <c r="E3293"/>
    </row>
    <row r="3294" spans="5:5" x14ac:dyDescent="0.4">
      <c r="E3294"/>
    </row>
    <row r="3295" spans="5:5" x14ac:dyDescent="0.4">
      <c r="E3295"/>
    </row>
    <row r="3296" spans="5:5" x14ac:dyDescent="0.4">
      <c r="E3296"/>
    </row>
    <row r="3297" spans="5:5" x14ac:dyDescent="0.4">
      <c r="E3297"/>
    </row>
    <row r="3298" spans="5:5" x14ac:dyDescent="0.4">
      <c r="E3298"/>
    </row>
    <row r="3299" spans="5:5" x14ac:dyDescent="0.4">
      <c r="E3299"/>
    </row>
    <row r="3300" spans="5:5" x14ac:dyDescent="0.4">
      <c r="E3300"/>
    </row>
    <row r="3301" spans="5:5" x14ac:dyDescent="0.4">
      <c r="E3301"/>
    </row>
    <row r="3302" spans="5:5" x14ac:dyDescent="0.4">
      <c r="E3302"/>
    </row>
    <row r="3303" spans="5:5" x14ac:dyDescent="0.4">
      <c r="E3303"/>
    </row>
    <row r="3304" spans="5:5" x14ac:dyDescent="0.4">
      <c r="E3304"/>
    </row>
    <row r="3305" spans="5:5" x14ac:dyDescent="0.4">
      <c r="E3305"/>
    </row>
    <row r="3306" spans="5:5" x14ac:dyDescent="0.4">
      <c r="E3306"/>
    </row>
    <row r="3307" spans="5:5" x14ac:dyDescent="0.4">
      <c r="E3307"/>
    </row>
    <row r="3308" spans="5:5" x14ac:dyDescent="0.4">
      <c r="E3308"/>
    </row>
    <row r="3309" spans="5:5" x14ac:dyDescent="0.4">
      <c r="E3309"/>
    </row>
    <row r="3310" spans="5:5" x14ac:dyDescent="0.4">
      <c r="E3310"/>
    </row>
    <row r="3311" spans="5:5" x14ac:dyDescent="0.4">
      <c r="E3311"/>
    </row>
    <row r="3312" spans="5:5" x14ac:dyDescent="0.4">
      <c r="E3312"/>
    </row>
    <row r="3313" spans="5:5" x14ac:dyDescent="0.4">
      <c r="E3313"/>
    </row>
    <row r="3314" spans="5:5" x14ac:dyDescent="0.4">
      <c r="E3314"/>
    </row>
    <row r="3315" spans="5:5" x14ac:dyDescent="0.4">
      <c r="E3315"/>
    </row>
    <row r="3316" spans="5:5" x14ac:dyDescent="0.4">
      <c r="E3316"/>
    </row>
    <row r="3317" spans="5:5" x14ac:dyDescent="0.4">
      <c r="E3317"/>
    </row>
    <row r="3318" spans="5:5" x14ac:dyDescent="0.4">
      <c r="E3318"/>
    </row>
    <row r="3319" spans="5:5" x14ac:dyDescent="0.4">
      <c r="E3319"/>
    </row>
    <row r="3320" spans="5:5" x14ac:dyDescent="0.4">
      <c r="E3320"/>
    </row>
    <row r="3321" spans="5:5" x14ac:dyDescent="0.4">
      <c r="E3321"/>
    </row>
    <row r="3322" spans="5:5" x14ac:dyDescent="0.4">
      <c r="E3322"/>
    </row>
    <row r="3323" spans="5:5" x14ac:dyDescent="0.4">
      <c r="E3323"/>
    </row>
    <row r="3324" spans="5:5" x14ac:dyDescent="0.4">
      <c r="E3324"/>
    </row>
    <row r="3325" spans="5:5" x14ac:dyDescent="0.4">
      <c r="E3325"/>
    </row>
    <row r="3326" spans="5:5" x14ac:dyDescent="0.4">
      <c r="E3326"/>
    </row>
    <row r="3327" spans="5:5" x14ac:dyDescent="0.4">
      <c r="E3327"/>
    </row>
    <row r="3328" spans="5:5" x14ac:dyDescent="0.4">
      <c r="E3328"/>
    </row>
    <row r="3329" spans="5:5" x14ac:dyDescent="0.4">
      <c r="E3329"/>
    </row>
    <row r="3330" spans="5:5" x14ac:dyDescent="0.4">
      <c r="E3330"/>
    </row>
    <row r="3331" spans="5:5" x14ac:dyDescent="0.4">
      <c r="E3331"/>
    </row>
    <row r="3332" spans="5:5" x14ac:dyDescent="0.4">
      <c r="E3332"/>
    </row>
    <row r="3333" spans="5:5" x14ac:dyDescent="0.4">
      <c r="E3333"/>
    </row>
    <row r="3334" spans="5:5" x14ac:dyDescent="0.4">
      <c r="E3334"/>
    </row>
    <row r="3335" spans="5:5" x14ac:dyDescent="0.4">
      <c r="E3335"/>
    </row>
    <row r="3336" spans="5:5" x14ac:dyDescent="0.4">
      <c r="E3336"/>
    </row>
    <row r="3337" spans="5:5" x14ac:dyDescent="0.4">
      <c r="E3337"/>
    </row>
    <row r="3338" spans="5:5" x14ac:dyDescent="0.4">
      <c r="E3338"/>
    </row>
    <row r="3339" spans="5:5" x14ac:dyDescent="0.4">
      <c r="E3339"/>
    </row>
    <row r="3340" spans="5:5" x14ac:dyDescent="0.4">
      <c r="E3340"/>
    </row>
    <row r="3341" spans="5:5" x14ac:dyDescent="0.4">
      <c r="E3341"/>
    </row>
    <row r="3342" spans="5:5" x14ac:dyDescent="0.4">
      <c r="E3342"/>
    </row>
    <row r="3343" spans="5:5" x14ac:dyDescent="0.4">
      <c r="E3343"/>
    </row>
    <row r="3344" spans="5:5" x14ac:dyDescent="0.4">
      <c r="E3344"/>
    </row>
    <row r="3345" spans="5:5" x14ac:dyDescent="0.4">
      <c r="E3345"/>
    </row>
    <row r="3346" spans="5:5" x14ac:dyDescent="0.4">
      <c r="E3346"/>
    </row>
    <row r="3347" spans="5:5" x14ac:dyDescent="0.4">
      <c r="E3347"/>
    </row>
    <row r="3348" spans="5:5" x14ac:dyDescent="0.4">
      <c r="E3348"/>
    </row>
    <row r="3349" spans="5:5" x14ac:dyDescent="0.4">
      <c r="E3349"/>
    </row>
    <row r="3350" spans="5:5" x14ac:dyDescent="0.4">
      <c r="E3350"/>
    </row>
    <row r="3351" spans="5:5" x14ac:dyDescent="0.4">
      <c r="E3351"/>
    </row>
    <row r="3352" spans="5:5" x14ac:dyDescent="0.4">
      <c r="E3352"/>
    </row>
    <row r="3353" spans="5:5" x14ac:dyDescent="0.4">
      <c r="E3353"/>
    </row>
    <row r="3354" spans="5:5" x14ac:dyDescent="0.4">
      <c r="E3354"/>
    </row>
    <row r="3355" spans="5:5" x14ac:dyDescent="0.4">
      <c r="E3355"/>
    </row>
    <row r="3356" spans="5:5" x14ac:dyDescent="0.4">
      <c r="E3356"/>
    </row>
    <row r="3357" spans="5:5" x14ac:dyDescent="0.4">
      <c r="E3357"/>
    </row>
    <row r="3358" spans="5:5" x14ac:dyDescent="0.4">
      <c r="E3358"/>
    </row>
    <row r="3359" spans="5:5" x14ac:dyDescent="0.4">
      <c r="E3359"/>
    </row>
    <row r="3360" spans="5:5" x14ac:dyDescent="0.4">
      <c r="E3360"/>
    </row>
    <row r="3361" spans="5:5" x14ac:dyDescent="0.4">
      <c r="E3361"/>
    </row>
    <row r="3362" spans="5:5" x14ac:dyDescent="0.4">
      <c r="E3362"/>
    </row>
    <row r="3363" spans="5:5" x14ac:dyDescent="0.4">
      <c r="E3363"/>
    </row>
    <row r="3364" spans="5:5" x14ac:dyDescent="0.4">
      <c r="E3364"/>
    </row>
    <row r="3365" spans="5:5" x14ac:dyDescent="0.4">
      <c r="E3365"/>
    </row>
    <row r="3366" spans="5:5" x14ac:dyDescent="0.4">
      <c r="E3366"/>
    </row>
    <row r="3367" spans="5:5" x14ac:dyDescent="0.4">
      <c r="E3367"/>
    </row>
    <row r="3368" spans="5:5" x14ac:dyDescent="0.4">
      <c r="E3368"/>
    </row>
    <row r="3369" spans="5:5" x14ac:dyDescent="0.4">
      <c r="E3369"/>
    </row>
    <row r="3370" spans="5:5" x14ac:dyDescent="0.4">
      <c r="E3370"/>
    </row>
    <row r="3371" spans="5:5" x14ac:dyDescent="0.4">
      <c r="E3371"/>
    </row>
    <row r="3372" spans="5:5" x14ac:dyDescent="0.4">
      <c r="E3372"/>
    </row>
    <row r="3373" spans="5:5" x14ac:dyDescent="0.4">
      <c r="E3373"/>
    </row>
    <row r="3374" spans="5:5" x14ac:dyDescent="0.4">
      <c r="E3374"/>
    </row>
    <row r="3375" spans="5:5" x14ac:dyDescent="0.4">
      <c r="E3375"/>
    </row>
    <row r="3376" spans="5:5" x14ac:dyDescent="0.4">
      <c r="E3376"/>
    </row>
    <row r="3377" spans="5:5" x14ac:dyDescent="0.4">
      <c r="E3377"/>
    </row>
    <row r="3378" spans="5:5" x14ac:dyDescent="0.4">
      <c r="E3378"/>
    </row>
    <row r="3379" spans="5:5" x14ac:dyDescent="0.4">
      <c r="E3379"/>
    </row>
    <row r="3380" spans="5:5" x14ac:dyDescent="0.4">
      <c r="E3380"/>
    </row>
    <row r="3381" spans="5:5" x14ac:dyDescent="0.4">
      <c r="E3381"/>
    </row>
    <row r="3382" spans="5:5" x14ac:dyDescent="0.4">
      <c r="E3382"/>
    </row>
    <row r="3383" spans="5:5" x14ac:dyDescent="0.4">
      <c r="E3383"/>
    </row>
    <row r="3384" spans="5:5" x14ac:dyDescent="0.4">
      <c r="E3384"/>
    </row>
    <row r="3385" spans="5:5" x14ac:dyDescent="0.4">
      <c r="E3385"/>
    </row>
    <row r="3386" spans="5:5" x14ac:dyDescent="0.4">
      <c r="E3386"/>
    </row>
    <row r="3387" spans="5:5" x14ac:dyDescent="0.4">
      <c r="E3387"/>
    </row>
    <row r="3388" spans="5:5" x14ac:dyDescent="0.4">
      <c r="E3388"/>
    </row>
    <row r="3389" spans="5:5" x14ac:dyDescent="0.4">
      <c r="E3389"/>
    </row>
    <row r="3390" spans="5:5" x14ac:dyDescent="0.4">
      <c r="E3390"/>
    </row>
    <row r="3391" spans="5:5" x14ac:dyDescent="0.4">
      <c r="E3391"/>
    </row>
    <row r="3392" spans="5:5" x14ac:dyDescent="0.4">
      <c r="E3392"/>
    </row>
    <row r="3393" spans="5:5" x14ac:dyDescent="0.4">
      <c r="E3393"/>
    </row>
    <row r="3394" spans="5:5" x14ac:dyDescent="0.4">
      <c r="E3394"/>
    </row>
    <row r="3395" spans="5:5" x14ac:dyDescent="0.4">
      <c r="E3395"/>
    </row>
    <row r="3396" spans="5:5" x14ac:dyDescent="0.4">
      <c r="E3396"/>
    </row>
    <row r="3397" spans="5:5" x14ac:dyDescent="0.4">
      <c r="E3397"/>
    </row>
    <row r="3398" spans="5:5" x14ac:dyDescent="0.4">
      <c r="E3398"/>
    </row>
    <row r="3399" spans="5:5" x14ac:dyDescent="0.4">
      <c r="E3399"/>
    </row>
    <row r="3400" spans="5:5" x14ac:dyDescent="0.4">
      <c r="E3400"/>
    </row>
    <row r="3401" spans="5:5" x14ac:dyDescent="0.4">
      <c r="E3401"/>
    </row>
    <row r="3402" spans="5:5" x14ac:dyDescent="0.4">
      <c r="E3402"/>
    </row>
    <row r="3403" spans="5:5" x14ac:dyDescent="0.4">
      <c r="E3403"/>
    </row>
    <row r="3404" spans="5:5" x14ac:dyDescent="0.4">
      <c r="E3404"/>
    </row>
    <row r="3405" spans="5:5" x14ac:dyDescent="0.4">
      <c r="E3405"/>
    </row>
    <row r="3406" spans="5:5" x14ac:dyDescent="0.4">
      <c r="E3406"/>
    </row>
    <row r="3407" spans="5:5" x14ac:dyDescent="0.4">
      <c r="E3407"/>
    </row>
    <row r="3408" spans="5:5" x14ac:dyDescent="0.4">
      <c r="E3408"/>
    </row>
    <row r="3409" spans="5:5" x14ac:dyDescent="0.4">
      <c r="E3409"/>
    </row>
    <row r="3410" spans="5:5" x14ac:dyDescent="0.4">
      <c r="E3410"/>
    </row>
    <row r="3411" spans="5:5" x14ac:dyDescent="0.4">
      <c r="E3411"/>
    </row>
    <row r="3412" spans="5:5" x14ac:dyDescent="0.4">
      <c r="E3412"/>
    </row>
    <row r="3413" spans="5:5" x14ac:dyDescent="0.4">
      <c r="E3413"/>
    </row>
    <row r="3414" spans="5:5" x14ac:dyDescent="0.4">
      <c r="E3414"/>
    </row>
    <row r="3415" spans="5:5" x14ac:dyDescent="0.4">
      <c r="E3415"/>
    </row>
    <row r="3416" spans="5:5" x14ac:dyDescent="0.4">
      <c r="E3416"/>
    </row>
    <row r="3417" spans="5:5" x14ac:dyDescent="0.4">
      <c r="E3417"/>
    </row>
    <row r="3418" spans="5:5" x14ac:dyDescent="0.4">
      <c r="E3418"/>
    </row>
    <row r="3419" spans="5:5" x14ac:dyDescent="0.4">
      <c r="E3419"/>
    </row>
    <row r="3420" spans="5:5" x14ac:dyDescent="0.4">
      <c r="E3420"/>
    </row>
    <row r="3421" spans="5:5" x14ac:dyDescent="0.4">
      <c r="E3421"/>
    </row>
    <row r="3422" spans="5:5" x14ac:dyDescent="0.4">
      <c r="E3422"/>
    </row>
    <row r="3423" spans="5:5" x14ac:dyDescent="0.4">
      <c r="E3423"/>
    </row>
    <row r="3424" spans="5:5" x14ac:dyDescent="0.4">
      <c r="E3424"/>
    </row>
    <row r="3425" spans="5:5" x14ac:dyDescent="0.4">
      <c r="E3425"/>
    </row>
    <row r="3426" spans="5:5" x14ac:dyDescent="0.4">
      <c r="E3426"/>
    </row>
    <row r="3427" spans="5:5" x14ac:dyDescent="0.4">
      <c r="E3427"/>
    </row>
    <row r="3428" spans="5:5" x14ac:dyDescent="0.4">
      <c r="E3428"/>
    </row>
    <row r="3429" spans="5:5" x14ac:dyDescent="0.4">
      <c r="E3429"/>
    </row>
    <row r="3430" spans="5:5" x14ac:dyDescent="0.4">
      <c r="E3430"/>
    </row>
    <row r="3431" spans="5:5" x14ac:dyDescent="0.4">
      <c r="E3431"/>
    </row>
    <row r="3432" spans="5:5" x14ac:dyDescent="0.4">
      <c r="E3432"/>
    </row>
    <row r="3433" spans="5:5" x14ac:dyDescent="0.4">
      <c r="E3433"/>
    </row>
    <row r="3434" spans="5:5" x14ac:dyDescent="0.4">
      <c r="E3434"/>
    </row>
    <row r="3435" spans="5:5" x14ac:dyDescent="0.4">
      <c r="E3435"/>
    </row>
    <row r="3436" spans="5:5" x14ac:dyDescent="0.4">
      <c r="E3436"/>
    </row>
    <row r="3437" spans="5:5" x14ac:dyDescent="0.4">
      <c r="E3437"/>
    </row>
    <row r="3438" spans="5:5" x14ac:dyDescent="0.4">
      <c r="E3438"/>
    </row>
    <row r="3439" spans="5:5" x14ac:dyDescent="0.4">
      <c r="E3439"/>
    </row>
    <row r="3440" spans="5:5" x14ac:dyDescent="0.4">
      <c r="E3440"/>
    </row>
    <row r="3441" spans="5:5" x14ac:dyDescent="0.4">
      <c r="E3441"/>
    </row>
    <row r="3442" spans="5:5" x14ac:dyDescent="0.4">
      <c r="E3442"/>
    </row>
    <row r="3443" spans="5:5" x14ac:dyDescent="0.4">
      <c r="E3443"/>
    </row>
    <row r="3444" spans="5:5" x14ac:dyDescent="0.4">
      <c r="E3444"/>
    </row>
    <row r="3445" spans="5:5" x14ac:dyDescent="0.4">
      <c r="E3445"/>
    </row>
    <row r="3446" spans="5:5" x14ac:dyDescent="0.4">
      <c r="E3446"/>
    </row>
    <row r="3447" spans="5:5" x14ac:dyDescent="0.4">
      <c r="E3447"/>
    </row>
    <row r="3448" spans="5:5" x14ac:dyDescent="0.4">
      <c r="E3448"/>
    </row>
    <row r="3449" spans="5:5" x14ac:dyDescent="0.4">
      <c r="E3449"/>
    </row>
    <row r="3450" spans="5:5" x14ac:dyDescent="0.4">
      <c r="E3450"/>
    </row>
    <row r="3451" spans="5:5" x14ac:dyDescent="0.4">
      <c r="E3451"/>
    </row>
    <row r="3452" spans="5:5" x14ac:dyDescent="0.4">
      <c r="E3452"/>
    </row>
    <row r="3453" spans="5:5" x14ac:dyDescent="0.4">
      <c r="E3453"/>
    </row>
    <row r="3454" spans="5:5" x14ac:dyDescent="0.4">
      <c r="E3454"/>
    </row>
    <row r="3455" spans="5:5" x14ac:dyDescent="0.4">
      <c r="E3455"/>
    </row>
    <row r="3456" spans="5:5" x14ac:dyDescent="0.4">
      <c r="E3456"/>
    </row>
    <row r="3457" spans="5:5" x14ac:dyDescent="0.4">
      <c r="E3457"/>
    </row>
    <row r="3458" spans="5:5" x14ac:dyDescent="0.4">
      <c r="E3458"/>
    </row>
    <row r="3459" spans="5:5" x14ac:dyDescent="0.4">
      <c r="E3459"/>
    </row>
    <row r="3460" spans="5:5" x14ac:dyDescent="0.4">
      <c r="E3460"/>
    </row>
    <row r="3461" spans="5:5" x14ac:dyDescent="0.4">
      <c r="E3461"/>
    </row>
    <row r="3462" spans="5:5" x14ac:dyDescent="0.4">
      <c r="E3462"/>
    </row>
    <row r="3463" spans="5:5" x14ac:dyDescent="0.4">
      <c r="E3463"/>
    </row>
    <row r="3464" spans="5:5" x14ac:dyDescent="0.4">
      <c r="E3464"/>
    </row>
    <row r="3465" spans="5:5" x14ac:dyDescent="0.4">
      <c r="E3465"/>
    </row>
    <row r="3466" spans="5:5" x14ac:dyDescent="0.4">
      <c r="E3466"/>
    </row>
    <row r="3467" spans="5:5" x14ac:dyDescent="0.4">
      <c r="E3467"/>
    </row>
    <row r="3468" spans="5:5" x14ac:dyDescent="0.4">
      <c r="E3468"/>
    </row>
    <row r="3469" spans="5:5" x14ac:dyDescent="0.4">
      <c r="E3469"/>
    </row>
    <row r="3470" spans="5:5" x14ac:dyDescent="0.4">
      <c r="E3470"/>
    </row>
    <row r="3471" spans="5:5" x14ac:dyDescent="0.4">
      <c r="E3471"/>
    </row>
    <row r="3472" spans="5:5" x14ac:dyDescent="0.4">
      <c r="E3472"/>
    </row>
    <row r="3473" spans="5:5" x14ac:dyDescent="0.4">
      <c r="E3473"/>
    </row>
    <row r="3474" spans="5:5" x14ac:dyDescent="0.4">
      <c r="E3474"/>
    </row>
    <row r="3475" spans="5:5" x14ac:dyDescent="0.4">
      <c r="E3475"/>
    </row>
    <row r="3476" spans="5:5" x14ac:dyDescent="0.4">
      <c r="E3476"/>
    </row>
    <row r="3477" spans="5:5" x14ac:dyDescent="0.4">
      <c r="E3477"/>
    </row>
    <row r="3478" spans="5:5" x14ac:dyDescent="0.4">
      <c r="E3478"/>
    </row>
    <row r="3479" spans="5:5" x14ac:dyDescent="0.4">
      <c r="E3479"/>
    </row>
    <row r="3480" spans="5:5" x14ac:dyDescent="0.4">
      <c r="E3480"/>
    </row>
    <row r="3481" spans="5:5" x14ac:dyDescent="0.4">
      <c r="E3481"/>
    </row>
    <row r="3482" spans="5:5" x14ac:dyDescent="0.4">
      <c r="E3482"/>
    </row>
    <row r="3483" spans="5:5" x14ac:dyDescent="0.4">
      <c r="E3483"/>
    </row>
    <row r="3484" spans="5:5" x14ac:dyDescent="0.4">
      <c r="E3484"/>
    </row>
    <row r="3485" spans="5:5" x14ac:dyDescent="0.4">
      <c r="E3485"/>
    </row>
    <row r="3486" spans="5:5" x14ac:dyDescent="0.4">
      <c r="E3486"/>
    </row>
    <row r="3487" spans="5:5" x14ac:dyDescent="0.4">
      <c r="E3487"/>
    </row>
    <row r="3488" spans="5:5" x14ac:dyDescent="0.4">
      <c r="E3488"/>
    </row>
    <row r="3489" spans="5:5" x14ac:dyDescent="0.4">
      <c r="E3489"/>
    </row>
    <row r="3490" spans="5:5" x14ac:dyDescent="0.4">
      <c r="E3490"/>
    </row>
    <row r="3491" spans="5:5" x14ac:dyDescent="0.4">
      <c r="E3491"/>
    </row>
    <row r="3492" spans="5:5" x14ac:dyDescent="0.4">
      <c r="E3492"/>
    </row>
    <row r="3493" spans="5:5" x14ac:dyDescent="0.4">
      <c r="E3493"/>
    </row>
    <row r="3494" spans="5:5" x14ac:dyDescent="0.4">
      <c r="E3494"/>
    </row>
    <row r="3495" spans="5:5" x14ac:dyDescent="0.4">
      <c r="E3495"/>
    </row>
    <row r="3496" spans="5:5" x14ac:dyDescent="0.4">
      <c r="E3496"/>
    </row>
    <row r="3497" spans="5:5" x14ac:dyDescent="0.4">
      <c r="E3497"/>
    </row>
    <row r="3498" spans="5:5" x14ac:dyDescent="0.4">
      <c r="E3498"/>
    </row>
    <row r="3499" spans="5:5" x14ac:dyDescent="0.4">
      <c r="E3499"/>
    </row>
    <row r="3500" spans="5:5" x14ac:dyDescent="0.4">
      <c r="E3500"/>
    </row>
    <row r="3501" spans="5:5" x14ac:dyDescent="0.4">
      <c r="E3501"/>
    </row>
    <row r="3502" spans="5:5" x14ac:dyDescent="0.4">
      <c r="E3502"/>
    </row>
    <row r="3503" spans="5:5" x14ac:dyDescent="0.4">
      <c r="E3503"/>
    </row>
    <row r="3504" spans="5:5" x14ac:dyDescent="0.4">
      <c r="E3504"/>
    </row>
    <row r="3505" spans="5:5" x14ac:dyDescent="0.4">
      <c r="E3505"/>
    </row>
    <row r="3506" spans="5:5" x14ac:dyDescent="0.4">
      <c r="E3506"/>
    </row>
    <row r="3507" spans="5:5" x14ac:dyDescent="0.4">
      <c r="E3507"/>
    </row>
    <row r="3508" spans="5:5" x14ac:dyDescent="0.4">
      <c r="E3508"/>
    </row>
    <row r="3509" spans="5:5" x14ac:dyDescent="0.4">
      <c r="E3509"/>
    </row>
    <row r="3510" spans="5:5" x14ac:dyDescent="0.4">
      <c r="E3510"/>
    </row>
    <row r="3511" spans="5:5" x14ac:dyDescent="0.4">
      <c r="E3511"/>
    </row>
    <row r="3512" spans="5:5" x14ac:dyDescent="0.4">
      <c r="E3512"/>
    </row>
    <row r="3513" spans="5:5" x14ac:dyDescent="0.4">
      <c r="E3513"/>
    </row>
    <row r="3514" spans="5:5" x14ac:dyDescent="0.4">
      <c r="E3514"/>
    </row>
    <row r="3515" spans="5:5" x14ac:dyDescent="0.4">
      <c r="E3515"/>
    </row>
    <row r="3516" spans="5:5" x14ac:dyDescent="0.4">
      <c r="E3516"/>
    </row>
    <row r="3517" spans="5:5" x14ac:dyDescent="0.4">
      <c r="E3517"/>
    </row>
    <row r="3518" spans="5:5" x14ac:dyDescent="0.4">
      <c r="E3518"/>
    </row>
    <row r="3519" spans="5:5" x14ac:dyDescent="0.4">
      <c r="E3519"/>
    </row>
    <row r="3520" spans="5:5" x14ac:dyDescent="0.4">
      <c r="E3520"/>
    </row>
    <row r="3521" spans="5:5" x14ac:dyDescent="0.4">
      <c r="E3521"/>
    </row>
    <row r="3522" spans="5:5" x14ac:dyDescent="0.4">
      <c r="E3522"/>
    </row>
    <row r="3523" spans="5:5" x14ac:dyDescent="0.4">
      <c r="E3523"/>
    </row>
    <row r="3524" spans="5:5" x14ac:dyDescent="0.4">
      <c r="E3524"/>
    </row>
    <row r="3525" spans="5:5" x14ac:dyDescent="0.4">
      <c r="E3525"/>
    </row>
    <row r="3526" spans="5:5" x14ac:dyDescent="0.4">
      <c r="E3526"/>
    </row>
    <row r="3527" spans="5:5" x14ac:dyDescent="0.4">
      <c r="E3527"/>
    </row>
    <row r="3528" spans="5:5" x14ac:dyDescent="0.4">
      <c r="E3528"/>
    </row>
    <row r="3529" spans="5:5" x14ac:dyDescent="0.4">
      <c r="E3529"/>
    </row>
    <row r="3530" spans="5:5" x14ac:dyDescent="0.4">
      <c r="E3530"/>
    </row>
    <row r="3531" spans="5:5" x14ac:dyDescent="0.4">
      <c r="E3531"/>
    </row>
    <row r="3532" spans="5:5" x14ac:dyDescent="0.4">
      <c r="E3532"/>
    </row>
    <row r="3533" spans="5:5" x14ac:dyDescent="0.4">
      <c r="E3533"/>
    </row>
    <row r="3534" spans="5:5" x14ac:dyDescent="0.4">
      <c r="E3534"/>
    </row>
    <row r="3535" spans="5:5" x14ac:dyDescent="0.4">
      <c r="E3535"/>
    </row>
    <row r="3536" spans="5:5" x14ac:dyDescent="0.4">
      <c r="E3536"/>
    </row>
    <row r="3537" spans="5:5" x14ac:dyDescent="0.4">
      <c r="E3537"/>
    </row>
    <row r="3538" spans="5:5" x14ac:dyDescent="0.4">
      <c r="E3538"/>
    </row>
    <row r="3539" spans="5:5" x14ac:dyDescent="0.4">
      <c r="E3539"/>
    </row>
    <row r="3540" spans="5:5" x14ac:dyDescent="0.4">
      <c r="E3540"/>
    </row>
    <row r="3541" spans="5:5" x14ac:dyDescent="0.4">
      <c r="E3541"/>
    </row>
    <row r="3542" spans="5:5" x14ac:dyDescent="0.4">
      <c r="E3542"/>
    </row>
    <row r="3543" spans="5:5" x14ac:dyDescent="0.4">
      <c r="E3543"/>
    </row>
    <row r="3544" spans="5:5" x14ac:dyDescent="0.4">
      <c r="E3544"/>
    </row>
    <row r="3545" spans="5:5" x14ac:dyDescent="0.4">
      <c r="E3545"/>
    </row>
    <row r="3546" spans="5:5" x14ac:dyDescent="0.4">
      <c r="E3546"/>
    </row>
    <row r="3547" spans="5:5" x14ac:dyDescent="0.4">
      <c r="E3547"/>
    </row>
    <row r="3548" spans="5:5" x14ac:dyDescent="0.4">
      <c r="E3548"/>
    </row>
    <row r="3549" spans="5:5" x14ac:dyDescent="0.4">
      <c r="E3549"/>
    </row>
    <row r="3550" spans="5:5" x14ac:dyDescent="0.4">
      <c r="E3550"/>
    </row>
    <row r="3551" spans="5:5" x14ac:dyDescent="0.4">
      <c r="E3551"/>
    </row>
    <row r="3552" spans="5:5" x14ac:dyDescent="0.4">
      <c r="E3552"/>
    </row>
    <row r="3553" spans="5:5" x14ac:dyDescent="0.4">
      <c r="E3553"/>
    </row>
    <row r="3554" spans="5:5" x14ac:dyDescent="0.4">
      <c r="E3554"/>
    </row>
    <row r="3555" spans="5:5" x14ac:dyDescent="0.4">
      <c r="E3555"/>
    </row>
    <row r="3556" spans="5:5" x14ac:dyDescent="0.4">
      <c r="E3556"/>
    </row>
    <row r="3557" spans="5:5" x14ac:dyDescent="0.4">
      <c r="E3557"/>
    </row>
    <row r="3558" spans="5:5" x14ac:dyDescent="0.4">
      <c r="E3558"/>
    </row>
    <row r="3559" spans="5:5" x14ac:dyDescent="0.4">
      <c r="E3559"/>
    </row>
    <row r="3560" spans="5:5" x14ac:dyDescent="0.4">
      <c r="E3560"/>
    </row>
    <row r="3561" spans="5:5" x14ac:dyDescent="0.4">
      <c r="E3561"/>
    </row>
    <row r="3562" spans="5:5" x14ac:dyDescent="0.4">
      <c r="E3562"/>
    </row>
    <row r="3563" spans="5:5" x14ac:dyDescent="0.4">
      <c r="E3563"/>
    </row>
    <row r="3564" spans="5:5" x14ac:dyDescent="0.4">
      <c r="E3564"/>
    </row>
    <row r="3565" spans="5:5" x14ac:dyDescent="0.4">
      <c r="E3565"/>
    </row>
    <row r="3566" spans="5:5" x14ac:dyDescent="0.4">
      <c r="E3566"/>
    </row>
    <row r="3567" spans="5:5" x14ac:dyDescent="0.4">
      <c r="E3567"/>
    </row>
    <row r="3568" spans="5:5" x14ac:dyDescent="0.4">
      <c r="E3568"/>
    </row>
    <row r="3569" spans="5:5" x14ac:dyDescent="0.4">
      <c r="E3569"/>
    </row>
    <row r="3570" spans="5:5" x14ac:dyDescent="0.4">
      <c r="E3570"/>
    </row>
    <row r="3571" spans="5:5" x14ac:dyDescent="0.4">
      <c r="E3571"/>
    </row>
    <row r="3572" spans="5:5" x14ac:dyDescent="0.4">
      <c r="E3572"/>
    </row>
    <row r="3573" spans="5:5" x14ac:dyDescent="0.4">
      <c r="E3573"/>
    </row>
    <row r="3574" spans="5:5" x14ac:dyDescent="0.4">
      <c r="E3574"/>
    </row>
    <row r="3575" spans="5:5" x14ac:dyDescent="0.4">
      <c r="E3575"/>
    </row>
    <row r="3576" spans="5:5" x14ac:dyDescent="0.4">
      <c r="E3576"/>
    </row>
    <row r="3577" spans="5:5" x14ac:dyDescent="0.4">
      <c r="E3577"/>
    </row>
    <row r="3578" spans="5:5" x14ac:dyDescent="0.4">
      <c r="E3578"/>
    </row>
    <row r="3579" spans="5:5" x14ac:dyDescent="0.4">
      <c r="E3579"/>
    </row>
    <row r="3580" spans="5:5" x14ac:dyDescent="0.4">
      <c r="E3580"/>
    </row>
    <row r="3581" spans="5:5" x14ac:dyDescent="0.4">
      <c r="E3581"/>
    </row>
    <row r="3582" spans="5:5" x14ac:dyDescent="0.4">
      <c r="E3582"/>
    </row>
    <row r="3583" spans="5:5" x14ac:dyDescent="0.4">
      <c r="E3583"/>
    </row>
    <row r="3584" spans="5:5" x14ac:dyDescent="0.4">
      <c r="E3584"/>
    </row>
    <row r="3585" spans="5:5" x14ac:dyDescent="0.4">
      <c r="E3585"/>
    </row>
    <row r="3586" spans="5:5" x14ac:dyDescent="0.4">
      <c r="E3586"/>
    </row>
    <row r="3587" spans="5:5" x14ac:dyDescent="0.4">
      <c r="E3587"/>
    </row>
    <row r="3588" spans="5:5" x14ac:dyDescent="0.4">
      <c r="E3588"/>
    </row>
    <row r="3589" spans="5:5" x14ac:dyDescent="0.4">
      <c r="E3589"/>
    </row>
    <row r="3590" spans="5:5" x14ac:dyDescent="0.4">
      <c r="E3590"/>
    </row>
    <row r="3591" spans="5:5" x14ac:dyDescent="0.4">
      <c r="E3591"/>
    </row>
    <row r="3592" spans="5:5" x14ac:dyDescent="0.4">
      <c r="E3592"/>
    </row>
    <row r="3593" spans="5:5" x14ac:dyDescent="0.4">
      <c r="E3593"/>
    </row>
    <row r="3594" spans="5:5" x14ac:dyDescent="0.4">
      <c r="E3594"/>
    </row>
    <row r="3595" spans="5:5" x14ac:dyDescent="0.4">
      <c r="E3595"/>
    </row>
    <row r="3596" spans="5:5" x14ac:dyDescent="0.4">
      <c r="E3596"/>
    </row>
    <row r="3597" spans="5:5" x14ac:dyDescent="0.4">
      <c r="E3597"/>
    </row>
    <row r="3598" spans="5:5" x14ac:dyDescent="0.4">
      <c r="E3598"/>
    </row>
    <row r="3599" spans="5:5" x14ac:dyDescent="0.4">
      <c r="E3599"/>
    </row>
    <row r="3600" spans="5:5" x14ac:dyDescent="0.4">
      <c r="E3600"/>
    </row>
    <row r="3601" spans="5:5" x14ac:dyDescent="0.4">
      <c r="E3601"/>
    </row>
    <row r="3602" spans="5:5" x14ac:dyDescent="0.4">
      <c r="E3602"/>
    </row>
    <row r="3603" spans="5:5" x14ac:dyDescent="0.4">
      <c r="E3603"/>
    </row>
    <row r="3604" spans="5:5" x14ac:dyDescent="0.4">
      <c r="E3604"/>
    </row>
    <row r="3605" spans="5:5" x14ac:dyDescent="0.4">
      <c r="E3605"/>
    </row>
    <row r="3606" spans="5:5" x14ac:dyDescent="0.4">
      <c r="E3606"/>
    </row>
    <row r="3607" spans="5:5" x14ac:dyDescent="0.4">
      <c r="E3607"/>
    </row>
    <row r="3608" spans="5:5" x14ac:dyDescent="0.4">
      <c r="E3608"/>
    </row>
    <row r="3609" spans="5:5" x14ac:dyDescent="0.4">
      <c r="E3609"/>
    </row>
    <row r="3610" spans="5:5" x14ac:dyDescent="0.4">
      <c r="E3610"/>
    </row>
    <row r="3611" spans="5:5" x14ac:dyDescent="0.4">
      <c r="E3611"/>
    </row>
    <row r="3612" spans="5:5" x14ac:dyDescent="0.4">
      <c r="E3612"/>
    </row>
    <row r="3613" spans="5:5" x14ac:dyDescent="0.4">
      <c r="E3613"/>
    </row>
    <row r="3614" spans="5:5" x14ac:dyDescent="0.4">
      <c r="E3614"/>
    </row>
    <row r="3615" spans="5:5" x14ac:dyDescent="0.4">
      <c r="E3615"/>
    </row>
    <row r="3616" spans="5:5" x14ac:dyDescent="0.4">
      <c r="E3616"/>
    </row>
    <row r="3617" spans="5:5" x14ac:dyDescent="0.4">
      <c r="E3617"/>
    </row>
    <row r="3618" spans="5:5" x14ac:dyDescent="0.4">
      <c r="E3618"/>
    </row>
    <row r="3619" spans="5:5" x14ac:dyDescent="0.4">
      <c r="E3619"/>
    </row>
    <row r="3620" spans="5:5" x14ac:dyDescent="0.4">
      <c r="E3620"/>
    </row>
    <row r="3621" spans="5:5" x14ac:dyDescent="0.4">
      <c r="E3621"/>
    </row>
    <row r="3622" spans="5:5" x14ac:dyDescent="0.4">
      <c r="E3622"/>
    </row>
    <row r="3623" spans="5:5" x14ac:dyDescent="0.4">
      <c r="E3623"/>
    </row>
    <row r="3624" spans="5:5" x14ac:dyDescent="0.4">
      <c r="E3624"/>
    </row>
    <row r="3625" spans="5:5" x14ac:dyDescent="0.4">
      <c r="E3625"/>
    </row>
    <row r="3626" spans="5:5" x14ac:dyDescent="0.4">
      <c r="E3626"/>
    </row>
    <row r="3627" spans="5:5" x14ac:dyDescent="0.4">
      <c r="E3627"/>
    </row>
    <row r="3628" spans="5:5" x14ac:dyDescent="0.4">
      <c r="E3628"/>
    </row>
    <row r="3629" spans="5:5" x14ac:dyDescent="0.4">
      <c r="E3629"/>
    </row>
    <row r="3630" spans="5:5" x14ac:dyDescent="0.4">
      <c r="E3630"/>
    </row>
    <row r="3631" spans="5:5" x14ac:dyDescent="0.4">
      <c r="E3631"/>
    </row>
    <row r="3632" spans="5:5" x14ac:dyDescent="0.4">
      <c r="E3632"/>
    </row>
    <row r="3633" spans="5:5" x14ac:dyDescent="0.4">
      <c r="E3633"/>
    </row>
    <row r="3634" spans="5:5" x14ac:dyDescent="0.4">
      <c r="E3634"/>
    </row>
    <row r="3635" spans="5:5" x14ac:dyDescent="0.4">
      <c r="E3635"/>
    </row>
    <row r="3636" spans="5:5" x14ac:dyDescent="0.4">
      <c r="E3636"/>
    </row>
    <row r="3637" spans="5:5" x14ac:dyDescent="0.4">
      <c r="E3637"/>
    </row>
    <row r="3638" spans="5:5" x14ac:dyDescent="0.4">
      <c r="E3638"/>
    </row>
    <row r="3639" spans="5:5" x14ac:dyDescent="0.4">
      <c r="E3639"/>
    </row>
    <row r="3640" spans="5:5" x14ac:dyDescent="0.4">
      <c r="E3640"/>
    </row>
    <row r="3641" spans="5:5" x14ac:dyDescent="0.4">
      <c r="E3641"/>
    </row>
    <row r="3642" spans="5:5" x14ac:dyDescent="0.4">
      <c r="E3642"/>
    </row>
    <row r="3643" spans="5:5" x14ac:dyDescent="0.4">
      <c r="E3643"/>
    </row>
    <row r="3644" spans="5:5" x14ac:dyDescent="0.4">
      <c r="E3644"/>
    </row>
    <row r="3645" spans="5:5" x14ac:dyDescent="0.4">
      <c r="E3645"/>
    </row>
    <row r="3646" spans="5:5" x14ac:dyDescent="0.4">
      <c r="E3646"/>
    </row>
    <row r="3647" spans="5:5" x14ac:dyDescent="0.4">
      <c r="E3647"/>
    </row>
    <row r="3648" spans="5:5" x14ac:dyDescent="0.4">
      <c r="E3648"/>
    </row>
    <row r="3649" spans="5:5" x14ac:dyDescent="0.4">
      <c r="E3649"/>
    </row>
    <row r="3650" spans="5:5" x14ac:dyDescent="0.4">
      <c r="E3650"/>
    </row>
    <row r="3651" spans="5:5" x14ac:dyDescent="0.4">
      <c r="E3651"/>
    </row>
    <row r="3652" spans="5:5" x14ac:dyDescent="0.4">
      <c r="E3652"/>
    </row>
    <row r="3653" spans="5:5" x14ac:dyDescent="0.4">
      <c r="E3653"/>
    </row>
    <row r="3654" spans="5:5" x14ac:dyDescent="0.4">
      <c r="E3654"/>
    </row>
    <row r="3655" spans="5:5" x14ac:dyDescent="0.4">
      <c r="E3655"/>
    </row>
    <row r="3656" spans="5:5" x14ac:dyDescent="0.4">
      <c r="E3656"/>
    </row>
    <row r="3657" spans="5:5" x14ac:dyDescent="0.4">
      <c r="E3657"/>
    </row>
    <row r="3658" spans="5:5" x14ac:dyDescent="0.4">
      <c r="E3658"/>
    </row>
    <row r="3659" spans="5:5" x14ac:dyDescent="0.4">
      <c r="E3659"/>
    </row>
    <row r="3660" spans="5:5" x14ac:dyDescent="0.4">
      <c r="E3660"/>
    </row>
    <row r="3661" spans="5:5" x14ac:dyDescent="0.4">
      <c r="E3661"/>
    </row>
    <row r="3662" spans="5:5" x14ac:dyDescent="0.4">
      <c r="E3662"/>
    </row>
    <row r="3663" spans="5:5" x14ac:dyDescent="0.4">
      <c r="E3663"/>
    </row>
    <row r="3664" spans="5:5" x14ac:dyDescent="0.4">
      <c r="E3664"/>
    </row>
    <row r="3665" spans="5:5" x14ac:dyDescent="0.4">
      <c r="E3665"/>
    </row>
    <row r="3666" spans="5:5" x14ac:dyDescent="0.4">
      <c r="E3666"/>
    </row>
    <row r="3667" spans="5:5" x14ac:dyDescent="0.4">
      <c r="E3667"/>
    </row>
    <row r="3668" spans="5:5" x14ac:dyDescent="0.4">
      <c r="E3668"/>
    </row>
    <row r="3669" spans="5:5" x14ac:dyDescent="0.4">
      <c r="E3669"/>
    </row>
    <row r="3670" spans="5:5" x14ac:dyDescent="0.4">
      <c r="E3670"/>
    </row>
    <row r="3671" spans="5:5" x14ac:dyDescent="0.4">
      <c r="E3671"/>
    </row>
    <row r="3672" spans="5:5" x14ac:dyDescent="0.4">
      <c r="E3672"/>
    </row>
    <row r="3673" spans="5:5" x14ac:dyDescent="0.4">
      <c r="E3673"/>
    </row>
    <row r="3674" spans="5:5" x14ac:dyDescent="0.4">
      <c r="E3674"/>
    </row>
    <row r="3675" spans="5:5" x14ac:dyDescent="0.4">
      <c r="E3675"/>
    </row>
    <row r="3676" spans="5:5" x14ac:dyDescent="0.4">
      <c r="E3676"/>
    </row>
    <row r="3677" spans="5:5" x14ac:dyDescent="0.4">
      <c r="E3677"/>
    </row>
    <row r="3678" spans="5:5" x14ac:dyDescent="0.4">
      <c r="E3678"/>
    </row>
    <row r="3679" spans="5:5" x14ac:dyDescent="0.4">
      <c r="E3679"/>
    </row>
    <row r="3680" spans="5:5" x14ac:dyDescent="0.4">
      <c r="E3680"/>
    </row>
    <row r="3681" spans="5:5" x14ac:dyDescent="0.4">
      <c r="E3681"/>
    </row>
    <row r="3682" spans="5:5" x14ac:dyDescent="0.4">
      <c r="E3682"/>
    </row>
    <row r="3683" spans="5:5" x14ac:dyDescent="0.4">
      <c r="E3683"/>
    </row>
    <row r="3684" spans="5:5" x14ac:dyDescent="0.4">
      <c r="E3684"/>
    </row>
    <row r="3685" spans="5:5" x14ac:dyDescent="0.4">
      <c r="E3685"/>
    </row>
    <row r="3686" spans="5:5" x14ac:dyDescent="0.4">
      <c r="E3686"/>
    </row>
    <row r="3687" spans="5:5" x14ac:dyDescent="0.4">
      <c r="E3687"/>
    </row>
    <row r="3688" spans="5:5" x14ac:dyDescent="0.4">
      <c r="E3688"/>
    </row>
    <row r="3689" spans="5:5" x14ac:dyDescent="0.4">
      <c r="E3689"/>
    </row>
    <row r="3690" spans="5:5" x14ac:dyDescent="0.4">
      <c r="E3690"/>
    </row>
    <row r="3691" spans="5:5" x14ac:dyDescent="0.4">
      <c r="E3691"/>
    </row>
    <row r="3692" spans="5:5" x14ac:dyDescent="0.4">
      <c r="E3692"/>
    </row>
    <row r="3693" spans="5:5" x14ac:dyDescent="0.4">
      <c r="E3693"/>
    </row>
    <row r="3694" spans="5:5" x14ac:dyDescent="0.4">
      <c r="E3694"/>
    </row>
    <row r="3695" spans="5:5" x14ac:dyDescent="0.4">
      <c r="E3695"/>
    </row>
    <row r="3696" spans="5:5" x14ac:dyDescent="0.4">
      <c r="E3696"/>
    </row>
    <row r="3697" spans="5:5" x14ac:dyDescent="0.4">
      <c r="E3697"/>
    </row>
    <row r="3698" spans="5:5" x14ac:dyDescent="0.4">
      <c r="E3698"/>
    </row>
    <row r="3699" spans="5:5" x14ac:dyDescent="0.4">
      <c r="E3699"/>
    </row>
    <row r="3700" spans="5:5" x14ac:dyDescent="0.4">
      <c r="E3700"/>
    </row>
    <row r="3701" spans="5:5" x14ac:dyDescent="0.4">
      <c r="E3701"/>
    </row>
    <row r="3702" spans="5:5" x14ac:dyDescent="0.4">
      <c r="E3702"/>
    </row>
    <row r="3703" spans="5:5" x14ac:dyDescent="0.4">
      <c r="E3703"/>
    </row>
    <row r="3704" spans="5:5" x14ac:dyDescent="0.4">
      <c r="E3704"/>
    </row>
    <row r="3705" spans="5:5" x14ac:dyDescent="0.4">
      <c r="E3705"/>
    </row>
    <row r="3706" spans="5:5" x14ac:dyDescent="0.4">
      <c r="E3706"/>
    </row>
    <row r="3707" spans="5:5" x14ac:dyDescent="0.4">
      <c r="E3707"/>
    </row>
    <row r="3708" spans="5:5" x14ac:dyDescent="0.4">
      <c r="E3708"/>
    </row>
    <row r="3709" spans="5:5" x14ac:dyDescent="0.4">
      <c r="E3709"/>
    </row>
    <row r="3710" spans="5:5" x14ac:dyDescent="0.4">
      <c r="E3710"/>
    </row>
    <row r="3711" spans="5:5" x14ac:dyDescent="0.4">
      <c r="E3711"/>
    </row>
    <row r="3712" spans="5:5" x14ac:dyDescent="0.4">
      <c r="E3712"/>
    </row>
    <row r="3713" spans="5:5" x14ac:dyDescent="0.4">
      <c r="E3713"/>
    </row>
    <row r="3714" spans="5:5" x14ac:dyDescent="0.4">
      <c r="E3714"/>
    </row>
    <row r="3715" spans="5:5" x14ac:dyDescent="0.4">
      <c r="E3715"/>
    </row>
    <row r="3716" spans="5:5" x14ac:dyDescent="0.4">
      <c r="E3716"/>
    </row>
    <row r="3717" spans="5:5" x14ac:dyDescent="0.4">
      <c r="E3717"/>
    </row>
    <row r="3718" spans="5:5" x14ac:dyDescent="0.4">
      <c r="E3718"/>
    </row>
    <row r="3719" spans="5:5" x14ac:dyDescent="0.4">
      <c r="E3719"/>
    </row>
    <row r="3720" spans="5:5" x14ac:dyDescent="0.4">
      <c r="E3720"/>
    </row>
    <row r="3721" spans="5:5" x14ac:dyDescent="0.4">
      <c r="E3721"/>
    </row>
    <row r="3722" spans="5:5" x14ac:dyDescent="0.4">
      <c r="E3722"/>
    </row>
    <row r="3723" spans="5:5" x14ac:dyDescent="0.4">
      <c r="E3723"/>
    </row>
    <row r="3724" spans="5:5" x14ac:dyDescent="0.4">
      <c r="E3724"/>
    </row>
    <row r="3725" spans="5:5" x14ac:dyDescent="0.4">
      <c r="E3725"/>
    </row>
    <row r="3726" spans="5:5" x14ac:dyDescent="0.4">
      <c r="E3726"/>
    </row>
    <row r="3727" spans="5:5" x14ac:dyDescent="0.4">
      <c r="E3727"/>
    </row>
    <row r="3728" spans="5:5" x14ac:dyDescent="0.4">
      <c r="E3728"/>
    </row>
    <row r="3729" spans="5:5" x14ac:dyDescent="0.4">
      <c r="E3729"/>
    </row>
    <row r="3730" spans="5:5" x14ac:dyDescent="0.4">
      <c r="E3730"/>
    </row>
    <row r="3731" spans="5:5" x14ac:dyDescent="0.4">
      <c r="E3731"/>
    </row>
    <row r="3732" spans="5:5" x14ac:dyDescent="0.4">
      <c r="E3732"/>
    </row>
    <row r="3733" spans="5:5" x14ac:dyDescent="0.4">
      <c r="E3733"/>
    </row>
    <row r="3734" spans="5:5" x14ac:dyDescent="0.4">
      <c r="E3734"/>
    </row>
    <row r="3735" spans="5:5" x14ac:dyDescent="0.4">
      <c r="E3735"/>
    </row>
    <row r="3736" spans="5:5" x14ac:dyDescent="0.4">
      <c r="E3736"/>
    </row>
    <row r="3737" spans="5:5" x14ac:dyDescent="0.4">
      <c r="E3737"/>
    </row>
    <row r="3738" spans="5:5" x14ac:dyDescent="0.4">
      <c r="E3738"/>
    </row>
    <row r="3739" spans="5:5" x14ac:dyDescent="0.4">
      <c r="E3739"/>
    </row>
    <row r="3740" spans="5:5" x14ac:dyDescent="0.4">
      <c r="E3740"/>
    </row>
    <row r="3741" spans="5:5" x14ac:dyDescent="0.4">
      <c r="E3741"/>
    </row>
    <row r="3742" spans="5:5" x14ac:dyDescent="0.4">
      <c r="E3742"/>
    </row>
    <row r="3743" spans="5:5" x14ac:dyDescent="0.4">
      <c r="E3743"/>
    </row>
    <row r="3744" spans="5:5" x14ac:dyDescent="0.4">
      <c r="E3744"/>
    </row>
    <row r="3745" spans="5:5" x14ac:dyDescent="0.4">
      <c r="E3745"/>
    </row>
    <row r="3746" spans="5:5" x14ac:dyDescent="0.4">
      <c r="E3746"/>
    </row>
    <row r="3747" spans="5:5" x14ac:dyDescent="0.4">
      <c r="E3747"/>
    </row>
    <row r="3748" spans="5:5" x14ac:dyDescent="0.4">
      <c r="E3748"/>
    </row>
    <row r="3749" spans="5:5" x14ac:dyDescent="0.4">
      <c r="E3749"/>
    </row>
    <row r="3750" spans="5:5" x14ac:dyDescent="0.4">
      <c r="E3750"/>
    </row>
    <row r="3751" spans="5:5" x14ac:dyDescent="0.4">
      <c r="E3751"/>
    </row>
    <row r="3752" spans="5:5" x14ac:dyDescent="0.4">
      <c r="E3752"/>
    </row>
    <row r="3753" spans="5:5" x14ac:dyDescent="0.4">
      <c r="E3753"/>
    </row>
    <row r="3754" spans="5:5" x14ac:dyDescent="0.4">
      <c r="E3754"/>
    </row>
    <row r="3755" spans="5:5" x14ac:dyDescent="0.4">
      <c r="E3755"/>
    </row>
    <row r="3756" spans="5:5" x14ac:dyDescent="0.4">
      <c r="E3756"/>
    </row>
    <row r="3757" spans="5:5" x14ac:dyDescent="0.4">
      <c r="E3757"/>
    </row>
    <row r="3758" spans="5:5" x14ac:dyDescent="0.4">
      <c r="E3758"/>
    </row>
    <row r="3759" spans="5:5" x14ac:dyDescent="0.4">
      <c r="E3759"/>
    </row>
    <row r="3760" spans="5:5" x14ac:dyDescent="0.4">
      <c r="E3760"/>
    </row>
    <row r="3761" spans="5:5" x14ac:dyDescent="0.4">
      <c r="E3761"/>
    </row>
    <row r="3762" spans="5:5" x14ac:dyDescent="0.4">
      <c r="E3762"/>
    </row>
    <row r="3763" spans="5:5" x14ac:dyDescent="0.4">
      <c r="E3763"/>
    </row>
    <row r="3764" spans="5:5" x14ac:dyDescent="0.4">
      <c r="E3764"/>
    </row>
    <row r="3765" spans="5:5" x14ac:dyDescent="0.4">
      <c r="E3765"/>
    </row>
    <row r="3766" spans="5:5" x14ac:dyDescent="0.4">
      <c r="E3766"/>
    </row>
    <row r="3767" spans="5:5" x14ac:dyDescent="0.4">
      <c r="E3767"/>
    </row>
    <row r="3768" spans="5:5" x14ac:dyDescent="0.4">
      <c r="E3768"/>
    </row>
    <row r="3769" spans="5:5" x14ac:dyDescent="0.4">
      <c r="E3769"/>
    </row>
    <row r="3770" spans="5:5" x14ac:dyDescent="0.4">
      <c r="E3770"/>
    </row>
    <row r="3771" spans="5:5" x14ac:dyDescent="0.4">
      <c r="E3771"/>
    </row>
    <row r="3772" spans="5:5" x14ac:dyDescent="0.4">
      <c r="E3772"/>
    </row>
    <row r="3773" spans="5:5" x14ac:dyDescent="0.4">
      <c r="E3773"/>
    </row>
    <row r="3774" spans="5:5" x14ac:dyDescent="0.4">
      <c r="E3774"/>
    </row>
    <row r="3775" spans="5:5" x14ac:dyDescent="0.4">
      <c r="E3775"/>
    </row>
    <row r="3776" spans="5:5" x14ac:dyDescent="0.4">
      <c r="E3776"/>
    </row>
    <row r="3777" spans="5:5" x14ac:dyDescent="0.4">
      <c r="E3777"/>
    </row>
    <row r="3778" spans="5:5" x14ac:dyDescent="0.4">
      <c r="E3778"/>
    </row>
    <row r="3779" spans="5:5" x14ac:dyDescent="0.4">
      <c r="E3779"/>
    </row>
    <row r="3780" spans="5:5" x14ac:dyDescent="0.4">
      <c r="E3780"/>
    </row>
    <row r="3781" spans="5:5" x14ac:dyDescent="0.4">
      <c r="E3781"/>
    </row>
    <row r="3782" spans="5:5" x14ac:dyDescent="0.4">
      <c r="E3782"/>
    </row>
    <row r="3783" spans="5:5" x14ac:dyDescent="0.4">
      <c r="E3783"/>
    </row>
    <row r="3784" spans="5:5" x14ac:dyDescent="0.4">
      <c r="E3784"/>
    </row>
    <row r="3785" spans="5:5" x14ac:dyDescent="0.4">
      <c r="E3785"/>
    </row>
    <row r="3786" spans="5:5" x14ac:dyDescent="0.4">
      <c r="E3786"/>
    </row>
    <row r="3787" spans="5:5" x14ac:dyDescent="0.4">
      <c r="E3787"/>
    </row>
    <row r="3788" spans="5:5" x14ac:dyDescent="0.4">
      <c r="E3788"/>
    </row>
    <row r="3789" spans="5:5" x14ac:dyDescent="0.4">
      <c r="E3789"/>
    </row>
    <row r="3790" spans="5:5" x14ac:dyDescent="0.4">
      <c r="E3790"/>
    </row>
    <row r="3791" spans="5:5" x14ac:dyDescent="0.4">
      <c r="E3791"/>
    </row>
    <row r="3792" spans="5:5" x14ac:dyDescent="0.4">
      <c r="E3792"/>
    </row>
    <row r="3793" spans="5:5" x14ac:dyDescent="0.4">
      <c r="E3793"/>
    </row>
    <row r="3794" spans="5:5" x14ac:dyDescent="0.4">
      <c r="E3794"/>
    </row>
    <row r="3795" spans="5:5" x14ac:dyDescent="0.4">
      <c r="E3795"/>
    </row>
    <row r="3796" spans="5:5" x14ac:dyDescent="0.4">
      <c r="E3796"/>
    </row>
    <row r="3797" spans="5:5" x14ac:dyDescent="0.4">
      <c r="E3797"/>
    </row>
    <row r="3798" spans="5:5" x14ac:dyDescent="0.4">
      <c r="E3798"/>
    </row>
    <row r="3799" spans="5:5" x14ac:dyDescent="0.4">
      <c r="E3799"/>
    </row>
    <row r="3800" spans="5:5" x14ac:dyDescent="0.4">
      <c r="E3800"/>
    </row>
    <row r="3801" spans="5:5" x14ac:dyDescent="0.4">
      <c r="E3801"/>
    </row>
    <row r="3802" spans="5:5" x14ac:dyDescent="0.4">
      <c r="E3802"/>
    </row>
    <row r="3803" spans="5:5" x14ac:dyDescent="0.4">
      <c r="E3803"/>
    </row>
    <row r="3804" spans="5:5" x14ac:dyDescent="0.4">
      <c r="E3804"/>
    </row>
    <row r="3805" spans="5:5" x14ac:dyDescent="0.4">
      <c r="E3805"/>
    </row>
    <row r="3806" spans="5:5" x14ac:dyDescent="0.4">
      <c r="E3806"/>
    </row>
    <row r="3807" spans="5:5" x14ac:dyDescent="0.4">
      <c r="E3807"/>
    </row>
    <row r="3808" spans="5:5" x14ac:dyDescent="0.4">
      <c r="E3808"/>
    </row>
    <row r="3809" spans="5:5" x14ac:dyDescent="0.4">
      <c r="E3809"/>
    </row>
    <row r="3810" spans="5:5" x14ac:dyDescent="0.4">
      <c r="E3810"/>
    </row>
    <row r="3811" spans="5:5" x14ac:dyDescent="0.4">
      <c r="E3811"/>
    </row>
    <row r="3812" spans="5:5" x14ac:dyDescent="0.4">
      <c r="E3812"/>
    </row>
    <row r="3813" spans="5:5" x14ac:dyDescent="0.4">
      <c r="E3813"/>
    </row>
    <row r="3814" spans="5:5" x14ac:dyDescent="0.4">
      <c r="E3814"/>
    </row>
    <row r="3815" spans="5:5" x14ac:dyDescent="0.4">
      <c r="E3815"/>
    </row>
    <row r="3816" spans="5:5" x14ac:dyDescent="0.4">
      <c r="E3816"/>
    </row>
    <row r="3817" spans="5:5" x14ac:dyDescent="0.4">
      <c r="E3817"/>
    </row>
    <row r="3818" spans="5:5" x14ac:dyDescent="0.4">
      <c r="E3818"/>
    </row>
    <row r="3819" spans="5:5" x14ac:dyDescent="0.4">
      <c r="E3819"/>
    </row>
    <row r="3820" spans="5:5" x14ac:dyDescent="0.4">
      <c r="E3820"/>
    </row>
    <row r="3821" spans="5:5" x14ac:dyDescent="0.4">
      <c r="E3821"/>
    </row>
    <row r="3822" spans="5:5" x14ac:dyDescent="0.4">
      <c r="E3822"/>
    </row>
    <row r="3823" spans="5:5" x14ac:dyDescent="0.4">
      <c r="E3823"/>
    </row>
    <row r="3824" spans="5:5" x14ac:dyDescent="0.4">
      <c r="E3824"/>
    </row>
    <row r="3825" spans="5:5" x14ac:dyDescent="0.4">
      <c r="E3825"/>
    </row>
    <row r="3826" spans="5:5" x14ac:dyDescent="0.4">
      <c r="E3826"/>
    </row>
    <row r="3827" spans="5:5" x14ac:dyDescent="0.4">
      <c r="E3827"/>
    </row>
    <row r="3828" spans="5:5" x14ac:dyDescent="0.4">
      <c r="E3828"/>
    </row>
    <row r="3829" spans="5:5" x14ac:dyDescent="0.4">
      <c r="E3829"/>
    </row>
    <row r="3830" spans="5:5" x14ac:dyDescent="0.4">
      <c r="E3830"/>
    </row>
    <row r="3831" spans="5:5" x14ac:dyDescent="0.4">
      <c r="E3831"/>
    </row>
    <row r="3832" spans="5:5" x14ac:dyDescent="0.4">
      <c r="E3832"/>
    </row>
    <row r="3833" spans="5:5" x14ac:dyDescent="0.4">
      <c r="E3833"/>
    </row>
    <row r="3834" spans="5:5" x14ac:dyDescent="0.4">
      <c r="E3834"/>
    </row>
    <row r="3835" spans="5:5" x14ac:dyDescent="0.4">
      <c r="E3835"/>
    </row>
    <row r="3836" spans="5:5" x14ac:dyDescent="0.4">
      <c r="E3836"/>
    </row>
    <row r="3837" spans="5:5" x14ac:dyDescent="0.4">
      <c r="E3837"/>
    </row>
    <row r="3838" spans="5:5" x14ac:dyDescent="0.4">
      <c r="E3838"/>
    </row>
    <row r="3839" spans="5:5" x14ac:dyDescent="0.4">
      <c r="E3839"/>
    </row>
    <row r="3840" spans="5:5" x14ac:dyDescent="0.4">
      <c r="E3840"/>
    </row>
    <row r="3841" spans="5:5" x14ac:dyDescent="0.4">
      <c r="E3841"/>
    </row>
    <row r="3842" spans="5:5" x14ac:dyDescent="0.4">
      <c r="E3842"/>
    </row>
    <row r="3843" spans="5:5" x14ac:dyDescent="0.4">
      <c r="E3843"/>
    </row>
    <row r="3844" spans="5:5" x14ac:dyDescent="0.4">
      <c r="E3844"/>
    </row>
    <row r="3845" spans="5:5" x14ac:dyDescent="0.4">
      <c r="E3845"/>
    </row>
    <row r="3846" spans="5:5" x14ac:dyDescent="0.4">
      <c r="E3846"/>
    </row>
    <row r="3847" spans="5:5" x14ac:dyDescent="0.4">
      <c r="E3847"/>
    </row>
    <row r="3848" spans="5:5" x14ac:dyDescent="0.4">
      <c r="E3848"/>
    </row>
    <row r="3849" spans="5:5" x14ac:dyDescent="0.4">
      <c r="E3849"/>
    </row>
    <row r="3850" spans="5:5" x14ac:dyDescent="0.4">
      <c r="E3850"/>
    </row>
    <row r="3851" spans="5:5" x14ac:dyDescent="0.4">
      <c r="E3851"/>
    </row>
    <row r="3852" spans="5:5" x14ac:dyDescent="0.4">
      <c r="E3852"/>
    </row>
    <row r="3853" spans="5:5" x14ac:dyDescent="0.4">
      <c r="E3853"/>
    </row>
    <row r="3854" spans="5:5" x14ac:dyDescent="0.4">
      <c r="E3854"/>
    </row>
    <row r="3855" spans="5:5" x14ac:dyDescent="0.4">
      <c r="E3855"/>
    </row>
    <row r="3856" spans="5:5" x14ac:dyDescent="0.4">
      <c r="E3856"/>
    </row>
    <row r="3857" spans="5:5" x14ac:dyDescent="0.4">
      <c r="E3857"/>
    </row>
    <row r="3858" spans="5:5" x14ac:dyDescent="0.4">
      <c r="E3858"/>
    </row>
    <row r="3859" spans="5:5" x14ac:dyDescent="0.4">
      <c r="E3859"/>
    </row>
    <row r="3860" spans="5:5" x14ac:dyDescent="0.4">
      <c r="E3860"/>
    </row>
    <row r="3861" spans="5:5" x14ac:dyDescent="0.4">
      <c r="E3861"/>
    </row>
    <row r="3862" spans="5:5" x14ac:dyDescent="0.4">
      <c r="E3862"/>
    </row>
    <row r="3863" spans="5:5" x14ac:dyDescent="0.4">
      <c r="E3863"/>
    </row>
    <row r="3864" spans="5:5" x14ac:dyDescent="0.4">
      <c r="E3864"/>
    </row>
    <row r="3865" spans="5:5" x14ac:dyDescent="0.4">
      <c r="E3865"/>
    </row>
    <row r="3866" spans="5:5" x14ac:dyDescent="0.4">
      <c r="E3866"/>
    </row>
    <row r="3867" spans="5:5" x14ac:dyDescent="0.4">
      <c r="E3867"/>
    </row>
    <row r="3868" spans="5:5" x14ac:dyDescent="0.4">
      <c r="E3868"/>
    </row>
    <row r="3869" spans="5:5" x14ac:dyDescent="0.4">
      <c r="E3869"/>
    </row>
    <row r="3870" spans="5:5" x14ac:dyDescent="0.4">
      <c r="E3870"/>
    </row>
    <row r="3871" spans="5:5" x14ac:dyDescent="0.4">
      <c r="E3871"/>
    </row>
    <row r="3872" spans="5:5" x14ac:dyDescent="0.4">
      <c r="E3872"/>
    </row>
    <row r="3873" spans="5:5" x14ac:dyDescent="0.4">
      <c r="E3873"/>
    </row>
    <row r="3874" spans="5:5" x14ac:dyDescent="0.4">
      <c r="E3874"/>
    </row>
    <row r="3875" spans="5:5" x14ac:dyDescent="0.4">
      <c r="E3875"/>
    </row>
    <row r="3876" spans="5:5" x14ac:dyDescent="0.4">
      <c r="E3876"/>
    </row>
    <row r="3877" spans="5:5" x14ac:dyDescent="0.4">
      <c r="E3877"/>
    </row>
    <row r="3878" spans="5:5" x14ac:dyDescent="0.4">
      <c r="E3878"/>
    </row>
    <row r="3879" spans="5:5" x14ac:dyDescent="0.4">
      <c r="E3879"/>
    </row>
    <row r="3880" spans="5:5" x14ac:dyDescent="0.4">
      <c r="E3880"/>
    </row>
    <row r="3881" spans="5:5" x14ac:dyDescent="0.4">
      <c r="E3881"/>
    </row>
    <row r="3882" spans="5:5" x14ac:dyDescent="0.4">
      <c r="E3882"/>
    </row>
    <row r="3883" spans="5:5" x14ac:dyDescent="0.4">
      <c r="E3883"/>
    </row>
    <row r="3884" spans="5:5" x14ac:dyDescent="0.4">
      <c r="E3884"/>
    </row>
    <row r="3885" spans="5:5" x14ac:dyDescent="0.4">
      <c r="E3885"/>
    </row>
    <row r="3886" spans="5:5" x14ac:dyDescent="0.4">
      <c r="E3886"/>
    </row>
    <row r="3887" spans="5:5" x14ac:dyDescent="0.4">
      <c r="E3887"/>
    </row>
    <row r="3888" spans="5:5" x14ac:dyDescent="0.4">
      <c r="E3888"/>
    </row>
    <row r="3889" spans="5:5" x14ac:dyDescent="0.4">
      <c r="E3889"/>
    </row>
    <row r="3890" spans="5:5" x14ac:dyDescent="0.4">
      <c r="E3890"/>
    </row>
    <row r="3891" spans="5:5" x14ac:dyDescent="0.4">
      <c r="E3891"/>
    </row>
    <row r="3892" spans="5:5" x14ac:dyDescent="0.4">
      <c r="E3892"/>
    </row>
    <row r="3893" spans="5:5" x14ac:dyDescent="0.4">
      <c r="E3893"/>
    </row>
    <row r="3894" spans="5:5" x14ac:dyDescent="0.4">
      <c r="E3894"/>
    </row>
    <row r="3895" spans="5:5" x14ac:dyDescent="0.4">
      <c r="E3895"/>
    </row>
    <row r="3896" spans="5:5" x14ac:dyDescent="0.4">
      <c r="E3896"/>
    </row>
    <row r="3897" spans="5:5" x14ac:dyDescent="0.4">
      <c r="E3897"/>
    </row>
    <row r="3898" spans="5:5" x14ac:dyDescent="0.4">
      <c r="E3898"/>
    </row>
    <row r="3899" spans="5:5" x14ac:dyDescent="0.4">
      <c r="E3899"/>
    </row>
    <row r="3900" spans="5:5" x14ac:dyDescent="0.4">
      <c r="E3900"/>
    </row>
    <row r="3901" spans="5:5" x14ac:dyDescent="0.4">
      <c r="E3901"/>
    </row>
    <row r="3902" spans="5:5" x14ac:dyDescent="0.4">
      <c r="E3902"/>
    </row>
    <row r="3903" spans="5:5" x14ac:dyDescent="0.4">
      <c r="E3903"/>
    </row>
    <row r="3904" spans="5:5" x14ac:dyDescent="0.4">
      <c r="E3904"/>
    </row>
    <row r="3905" spans="5:5" x14ac:dyDescent="0.4">
      <c r="E3905"/>
    </row>
    <row r="3906" spans="5:5" x14ac:dyDescent="0.4">
      <c r="E3906"/>
    </row>
    <row r="3907" spans="5:5" x14ac:dyDescent="0.4">
      <c r="E3907"/>
    </row>
    <row r="3908" spans="5:5" x14ac:dyDescent="0.4">
      <c r="E3908"/>
    </row>
    <row r="3909" spans="5:5" x14ac:dyDescent="0.4">
      <c r="E3909"/>
    </row>
    <row r="3910" spans="5:5" x14ac:dyDescent="0.4">
      <c r="E3910"/>
    </row>
    <row r="3911" spans="5:5" x14ac:dyDescent="0.4">
      <c r="E3911"/>
    </row>
    <row r="3912" spans="5:5" x14ac:dyDescent="0.4">
      <c r="E3912"/>
    </row>
    <row r="3913" spans="5:5" x14ac:dyDescent="0.4">
      <c r="E3913"/>
    </row>
    <row r="3914" spans="5:5" x14ac:dyDescent="0.4">
      <c r="E3914"/>
    </row>
    <row r="3915" spans="5:5" x14ac:dyDescent="0.4">
      <c r="E3915"/>
    </row>
    <row r="3916" spans="5:5" x14ac:dyDescent="0.4">
      <c r="E3916"/>
    </row>
    <row r="3917" spans="5:5" x14ac:dyDescent="0.4">
      <c r="E3917"/>
    </row>
    <row r="3918" spans="5:5" x14ac:dyDescent="0.4">
      <c r="E3918"/>
    </row>
    <row r="3919" spans="5:5" x14ac:dyDescent="0.4">
      <c r="E3919"/>
    </row>
    <row r="3920" spans="5:5" x14ac:dyDescent="0.4">
      <c r="E3920"/>
    </row>
    <row r="3921" spans="5:5" x14ac:dyDescent="0.4">
      <c r="E3921"/>
    </row>
    <row r="3922" spans="5:5" x14ac:dyDescent="0.4">
      <c r="E3922"/>
    </row>
    <row r="3923" spans="5:5" x14ac:dyDescent="0.4">
      <c r="E3923"/>
    </row>
    <row r="3924" spans="5:5" x14ac:dyDescent="0.4">
      <c r="E3924"/>
    </row>
    <row r="3925" spans="5:5" x14ac:dyDescent="0.4">
      <c r="E3925"/>
    </row>
    <row r="3926" spans="5:5" x14ac:dyDescent="0.4">
      <c r="E3926"/>
    </row>
    <row r="3927" spans="5:5" x14ac:dyDescent="0.4">
      <c r="E3927"/>
    </row>
    <row r="3928" spans="5:5" x14ac:dyDescent="0.4">
      <c r="E3928"/>
    </row>
    <row r="3929" spans="5:5" x14ac:dyDescent="0.4">
      <c r="E3929"/>
    </row>
    <row r="3930" spans="5:5" x14ac:dyDescent="0.4">
      <c r="E3930"/>
    </row>
    <row r="3931" spans="5:5" x14ac:dyDescent="0.4">
      <c r="E3931"/>
    </row>
    <row r="3932" spans="5:5" x14ac:dyDescent="0.4">
      <c r="E3932"/>
    </row>
    <row r="3933" spans="5:5" x14ac:dyDescent="0.4">
      <c r="E3933"/>
    </row>
    <row r="3934" spans="5:5" x14ac:dyDescent="0.4">
      <c r="E3934"/>
    </row>
    <row r="3935" spans="5:5" x14ac:dyDescent="0.4">
      <c r="E3935"/>
    </row>
    <row r="3936" spans="5:5" x14ac:dyDescent="0.4">
      <c r="E3936"/>
    </row>
    <row r="3937" spans="5:5" x14ac:dyDescent="0.4">
      <c r="E3937"/>
    </row>
    <row r="3938" spans="5:5" x14ac:dyDescent="0.4">
      <c r="E3938"/>
    </row>
    <row r="3939" spans="5:5" x14ac:dyDescent="0.4">
      <c r="E3939"/>
    </row>
    <row r="3940" spans="5:5" x14ac:dyDescent="0.4">
      <c r="E3940"/>
    </row>
    <row r="3941" spans="5:5" x14ac:dyDescent="0.4">
      <c r="E3941"/>
    </row>
    <row r="3942" spans="5:5" x14ac:dyDescent="0.4">
      <c r="E3942"/>
    </row>
    <row r="3943" spans="5:5" x14ac:dyDescent="0.4">
      <c r="E3943"/>
    </row>
    <row r="3944" spans="5:5" x14ac:dyDescent="0.4">
      <c r="E3944"/>
    </row>
    <row r="3945" spans="5:5" x14ac:dyDescent="0.4">
      <c r="E3945"/>
    </row>
    <row r="3946" spans="5:5" x14ac:dyDescent="0.4">
      <c r="E3946"/>
    </row>
    <row r="3947" spans="5:5" x14ac:dyDescent="0.4">
      <c r="E3947"/>
    </row>
    <row r="3948" spans="5:5" x14ac:dyDescent="0.4">
      <c r="E3948"/>
    </row>
    <row r="3949" spans="5:5" x14ac:dyDescent="0.4">
      <c r="E3949"/>
    </row>
    <row r="3950" spans="5:5" x14ac:dyDescent="0.4">
      <c r="E3950"/>
    </row>
    <row r="3951" spans="5:5" x14ac:dyDescent="0.4">
      <c r="E3951"/>
    </row>
    <row r="3952" spans="5:5" x14ac:dyDescent="0.4">
      <c r="E3952"/>
    </row>
    <row r="3953" spans="5:5" x14ac:dyDescent="0.4">
      <c r="E3953"/>
    </row>
    <row r="3954" spans="5:5" x14ac:dyDescent="0.4">
      <c r="E3954"/>
    </row>
    <row r="3955" spans="5:5" x14ac:dyDescent="0.4">
      <c r="E3955"/>
    </row>
    <row r="3956" spans="5:5" x14ac:dyDescent="0.4">
      <c r="E3956"/>
    </row>
    <row r="3957" spans="5:5" x14ac:dyDescent="0.4">
      <c r="E3957"/>
    </row>
    <row r="3958" spans="5:5" x14ac:dyDescent="0.4">
      <c r="E3958"/>
    </row>
    <row r="3959" spans="5:5" x14ac:dyDescent="0.4">
      <c r="E3959"/>
    </row>
    <row r="3960" spans="5:5" x14ac:dyDescent="0.4">
      <c r="E3960"/>
    </row>
    <row r="3961" spans="5:5" x14ac:dyDescent="0.4">
      <c r="E3961"/>
    </row>
    <row r="3962" spans="5:5" x14ac:dyDescent="0.4">
      <c r="E3962"/>
    </row>
    <row r="3963" spans="5:5" x14ac:dyDescent="0.4">
      <c r="E3963"/>
    </row>
    <row r="3964" spans="5:5" x14ac:dyDescent="0.4">
      <c r="E3964"/>
    </row>
    <row r="3965" spans="5:5" x14ac:dyDescent="0.4">
      <c r="E3965"/>
    </row>
    <row r="3966" spans="5:5" x14ac:dyDescent="0.4">
      <c r="E3966"/>
    </row>
    <row r="3967" spans="5:5" x14ac:dyDescent="0.4">
      <c r="E3967"/>
    </row>
    <row r="3968" spans="5:5" x14ac:dyDescent="0.4">
      <c r="E3968"/>
    </row>
    <row r="3969" spans="5:5" x14ac:dyDescent="0.4">
      <c r="E3969"/>
    </row>
    <row r="3970" spans="5:5" x14ac:dyDescent="0.4">
      <c r="E3970"/>
    </row>
    <row r="3971" spans="5:5" x14ac:dyDescent="0.4">
      <c r="E3971"/>
    </row>
    <row r="3972" spans="5:5" x14ac:dyDescent="0.4">
      <c r="E3972"/>
    </row>
    <row r="3973" spans="5:5" x14ac:dyDescent="0.4">
      <c r="E3973"/>
    </row>
    <row r="3974" spans="5:5" x14ac:dyDescent="0.4">
      <c r="E3974"/>
    </row>
    <row r="3975" spans="5:5" x14ac:dyDescent="0.4">
      <c r="E3975"/>
    </row>
    <row r="3976" spans="5:5" x14ac:dyDescent="0.4">
      <c r="E3976"/>
    </row>
    <row r="3977" spans="5:5" x14ac:dyDescent="0.4">
      <c r="E3977"/>
    </row>
    <row r="3978" spans="5:5" x14ac:dyDescent="0.4">
      <c r="E3978"/>
    </row>
    <row r="3979" spans="5:5" x14ac:dyDescent="0.4">
      <c r="E3979"/>
    </row>
    <row r="3980" spans="5:5" x14ac:dyDescent="0.4">
      <c r="E3980"/>
    </row>
    <row r="3981" spans="5:5" x14ac:dyDescent="0.4">
      <c r="E3981"/>
    </row>
    <row r="3982" spans="5:5" x14ac:dyDescent="0.4">
      <c r="E3982"/>
    </row>
    <row r="3983" spans="5:5" x14ac:dyDescent="0.4">
      <c r="E3983"/>
    </row>
    <row r="3984" spans="5:5" x14ac:dyDescent="0.4">
      <c r="E3984"/>
    </row>
    <row r="3985" spans="5:5" x14ac:dyDescent="0.4">
      <c r="E3985"/>
    </row>
    <row r="3986" spans="5:5" x14ac:dyDescent="0.4">
      <c r="E3986"/>
    </row>
    <row r="3987" spans="5:5" x14ac:dyDescent="0.4">
      <c r="E3987"/>
    </row>
    <row r="3988" spans="5:5" x14ac:dyDescent="0.4">
      <c r="E3988"/>
    </row>
    <row r="3989" spans="5:5" x14ac:dyDescent="0.4">
      <c r="E3989"/>
    </row>
    <row r="3990" spans="5:5" x14ac:dyDescent="0.4">
      <c r="E3990"/>
    </row>
    <row r="3991" spans="5:5" x14ac:dyDescent="0.4">
      <c r="E3991"/>
    </row>
    <row r="3992" spans="5:5" x14ac:dyDescent="0.4">
      <c r="E3992"/>
    </row>
    <row r="3993" spans="5:5" x14ac:dyDescent="0.4">
      <c r="E3993"/>
    </row>
    <row r="3994" spans="5:5" x14ac:dyDescent="0.4">
      <c r="E3994"/>
    </row>
    <row r="3995" spans="5:5" x14ac:dyDescent="0.4">
      <c r="E3995"/>
    </row>
    <row r="3996" spans="5:5" x14ac:dyDescent="0.4">
      <c r="E3996"/>
    </row>
    <row r="3997" spans="5:5" x14ac:dyDescent="0.4">
      <c r="E3997"/>
    </row>
    <row r="3998" spans="5:5" x14ac:dyDescent="0.4">
      <c r="E3998"/>
    </row>
    <row r="3999" spans="5:5" x14ac:dyDescent="0.4">
      <c r="E3999"/>
    </row>
    <row r="4000" spans="5:5" x14ac:dyDescent="0.4">
      <c r="E4000"/>
    </row>
    <row r="4001" spans="5:5" x14ac:dyDescent="0.4">
      <c r="E4001"/>
    </row>
    <row r="4002" spans="5:5" x14ac:dyDescent="0.4">
      <c r="E4002"/>
    </row>
    <row r="4003" spans="5:5" x14ac:dyDescent="0.4">
      <c r="E4003"/>
    </row>
    <row r="4004" spans="5:5" x14ac:dyDescent="0.4">
      <c r="E4004"/>
    </row>
    <row r="4005" spans="5:5" x14ac:dyDescent="0.4">
      <c r="E4005"/>
    </row>
    <row r="4006" spans="5:5" x14ac:dyDescent="0.4">
      <c r="E4006"/>
    </row>
    <row r="4007" spans="5:5" x14ac:dyDescent="0.4">
      <c r="E4007"/>
    </row>
    <row r="4008" spans="5:5" x14ac:dyDescent="0.4">
      <c r="E4008"/>
    </row>
    <row r="4009" spans="5:5" x14ac:dyDescent="0.4">
      <c r="E4009"/>
    </row>
    <row r="4010" spans="5:5" x14ac:dyDescent="0.4">
      <c r="E4010"/>
    </row>
    <row r="4011" spans="5:5" x14ac:dyDescent="0.4">
      <c r="E4011"/>
    </row>
    <row r="4012" spans="5:5" x14ac:dyDescent="0.4">
      <c r="E4012"/>
    </row>
    <row r="4013" spans="5:5" x14ac:dyDescent="0.4">
      <c r="E4013"/>
    </row>
    <row r="4014" spans="5:5" x14ac:dyDescent="0.4">
      <c r="E4014"/>
    </row>
    <row r="4015" spans="5:5" x14ac:dyDescent="0.4">
      <c r="E4015"/>
    </row>
    <row r="4016" spans="5:5" x14ac:dyDescent="0.4">
      <c r="E4016"/>
    </row>
    <row r="4017" spans="5:5" x14ac:dyDescent="0.4">
      <c r="E4017"/>
    </row>
    <row r="4018" spans="5:5" x14ac:dyDescent="0.4">
      <c r="E4018"/>
    </row>
    <row r="4019" spans="5:5" x14ac:dyDescent="0.4">
      <c r="E4019"/>
    </row>
    <row r="4020" spans="5:5" x14ac:dyDescent="0.4">
      <c r="E4020"/>
    </row>
    <row r="4021" spans="5:5" x14ac:dyDescent="0.4">
      <c r="E4021"/>
    </row>
    <row r="4022" spans="5:5" x14ac:dyDescent="0.4">
      <c r="E4022"/>
    </row>
    <row r="4023" spans="5:5" x14ac:dyDescent="0.4">
      <c r="E4023"/>
    </row>
    <row r="4024" spans="5:5" x14ac:dyDescent="0.4">
      <c r="E4024"/>
    </row>
    <row r="4025" spans="5:5" x14ac:dyDescent="0.4">
      <c r="E4025"/>
    </row>
    <row r="4026" spans="5:5" x14ac:dyDescent="0.4">
      <c r="E4026"/>
    </row>
    <row r="4027" spans="5:5" x14ac:dyDescent="0.4">
      <c r="E4027"/>
    </row>
    <row r="4028" spans="5:5" x14ac:dyDescent="0.4">
      <c r="E4028"/>
    </row>
    <row r="4029" spans="5:5" x14ac:dyDescent="0.4">
      <c r="E4029"/>
    </row>
    <row r="4030" spans="5:5" x14ac:dyDescent="0.4">
      <c r="E4030"/>
    </row>
    <row r="4031" spans="5:5" x14ac:dyDescent="0.4">
      <c r="E4031"/>
    </row>
    <row r="4032" spans="5:5" x14ac:dyDescent="0.4">
      <c r="E4032"/>
    </row>
    <row r="4033" spans="5:5" x14ac:dyDescent="0.4">
      <c r="E4033"/>
    </row>
    <row r="4034" spans="5:5" x14ac:dyDescent="0.4">
      <c r="E4034"/>
    </row>
    <row r="4035" spans="5:5" x14ac:dyDescent="0.4">
      <c r="E4035"/>
    </row>
    <row r="4036" spans="5:5" x14ac:dyDescent="0.4">
      <c r="E4036"/>
    </row>
    <row r="4037" spans="5:5" x14ac:dyDescent="0.4">
      <c r="E4037"/>
    </row>
    <row r="4038" spans="5:5" x14ac:dyDescent="0.4">
      <c r="E4038"/>
    </row>
    <row r="4039" spans="5:5" x14ac:dyDescent="0.4">
      <c r="E4039"/>
    </row>
    <row r="4040" spans="5:5" x14ac:dyDescent="0.4">
      <c r="E4040"/>
    </row>
    <row r="4041" spans="5:5" x14ac:dyDescent="0.4">
      <c r="E4041"/>
    </row>
    <row r="4042" spans="5:5" x14ac:dyDescent="0.4">
      <c r="E4042"/>
    </row>
    <row r="4043" spans="5:5" x14ac:dyDescent="0.4">
      <c r="E4043"/>
    </row>
    <row r="4044" spans="5:5" x14ac:dyDescent="0.4">
      <c r="E4044"/>
    </row>
    <row r="4045" spans="5:5" x14ac:dyDescent="0.4">
      <c r="E4045"/>
    </row>
    <row r="4046" spans="5:5" x14ac:dyDescent="0.4">
      <c r="E4046"/>
    </row>
    <row r="4047" spans="5:5" x14ac:dyDescent="0.4">
      <c r="E4047"/>
    </row>
    <row r="4048" spans="5:5" x14ac:dyDescent="0.4">
      <c r="E4048"/>
    </row>
    <row r="4049" spans="5:5" x14ac:dyDescent="0.4">
      <c r="E4049"/>
    </row>
    <row r="4050" spans="5:5" x14ac:dyDescent="0.4">
      <c r="E4050"/>
    </row>
    <row r="4051" spans="5:5" x14ac:dyDescent="0.4">
      <c r="E4051"/>
    </row>
    <row r="4052" spans="5:5" x14ac:dyDescent="0.4">
      <c r="E4052"/>
    </row>
    <row r="4053" spans="5:5" x14ac:dyDescent="0.4">
      <c r="E4053"/>
    </row>
    <row r="4054" spans="5:5" x14ac:dyDescent="0.4">
      <c r="E4054"/>
    </row>
    <row r="4055" spans="5:5" x14ac:dyDescent="0.4">
      <c r="E4055"/>
    </row>
    <row r="4056" spans="5:5" x14ac:dyDescent="0.4">
      <c r="E4056"/>
    </row>
    <row r="4057" spans="5:5" x14ac:dyDescent="0.4">
      <c r="E4057"/>
    </row>
    <row r="4058" spans="5:5" x14ac:dyDescent="0.4">
      <c r="E4058"/>
    </row>
    <row r="4059" spans="5:5" x14ac:dyDescent="0.4">
      <c r="E4059"/>
    </row>
    <row r="4060" spans="5:5" x14ac:dyDescent="0.4">
      <c r="E4060"/>
    </row>
    <row r="4061" spans="5:5" x14ac:dyDescent="0.4">
      <c r="E4061"/>
    </row>
    <row r="4062" spans="5:5" x14ac:dyDescent="0.4">
      <c r="E4062"/>
    </row>
    <row r="4063" spans="5:5" x14ac:dyDescent="0.4">
      <c r="E4063"/>
    </row>
    <row r="4064" spans="5:5" x14ac:dyDescent="0.4">
      <c r="E4064"/>
    </row>
    <row r="4065" spans="5:5" x14ac:dyDescent="0.4">
      <c r="E4065"/>
    </row>
    <row r="4066" spans="5:5" x14ac:dyDescent="0.4">
      <c r="E4066"/>
    </row>
    <row r="4067" spans="5:5" x14ac:dyDescent="0.4">
      <c r="E4067"/>
    </row>
    <row r="4068" spans="5:5" x14ac:dyDescent="0.4">
      <c r="E4068"/>
    </row>
    <row r="4069" spans="5:5" x14ac:dyDescent="0.4">
      <c r="E4069"/>
    </row>
    <row r="4070" spans="5:5" x14ac:dyDescent="0.4">
      <c r="E4070"/>
    </row>
    <row r="4071" spans="5:5" x14ac:dyDescent="0.4">
      <c r="E4071"/>
    </row>
    <row r="4072" spans="5:5" x14ac:dyDescent="0.4">
      <c r="E4072"/>
    </row>
    <row r="4073" spans="5:5" x14ac:dyDescent="0.4">
      <c r="E4073"/>
    </row>
    <row r="4074" spans="5:5" x14ac:dyDescent="0.4">
      <c r="E4074"/>
    </row>
    <row r="4075" spans="5:5" x14ac:dyDescent="0.4">
      <c r="E4075"/>
    </row>
    <row r="4076" spans="5:5" x14ac:dyDescent="0.4">
      <c r="E4076"/>
    </row>
    <row r="4077" spans="5:5" x14ac:dyDescent="0.4">
      <c r="E4077"/>
    </row>
    <row r="4078" spans="5:5" x14ac:dyDescent="0.4">
      <c r="E4078"/>
    </row>
    <row r="4079" spans="5:5" x14ac:dyDescent="0.4">
      <c r="E4079"/>
    </row>
    <row r="4080" spans="5:5" x14ac:dyDescent="0.4">
      <c r="E4080"/>
    </row>
    <row r="4081" spans="5:5" x14ac:dyDescent="0.4">
      <c r="E4081"/>
    </row>
    <row r="4082" spans="5:5" x14ac:dyDescent="0.4">
      <c r="E4082"/>
    </row>
    <row r="4083" spans="5:5" x14ac:dyDescent="0.4">
      <c r="E4083"/>
    </row>
    <row r="4084" spans="5:5" x14ac:dyDescent="0.4">
      <c r="E4084"/>
    </row>
    <row r="4085" spans="5:5" x14ac:dyDescent="0.4">
      <c r="E4085"/>
    </row>
    <row r="4086" spans="5:5" x14ac:dyDescent="0.4">
      <c r="E4086"/>
    </row>
    <row r="4087" spans="5:5" x14ac:dyDescent="0.4">
      <c r="E4087"/>
    </row>
    <row r="4088" spans="5:5" x14ac:dyDescent="0.4">
      <c r="E4088"/>
    </row>
    <row r="4089" spans="5:5" x14ac:dyDescent="0.4">
      <c r="E4089"/>
    </row>
    <row r="4090" spans="5:5" x14ac:dyDescent="0.4">
      <c r="E4090"/>
    </row>
    <row r="4091" spans="5:5" x14ac:dyDescent="0.4">
      <c r="E4091"/>
    </row>
    <row r="4092" spans="5:5" x14ac:dyDescent="0.4">
      <c r="E4092"/>
    </row>
    <row r="4093" spans="5:5" x14ac:dyDescent="0.4">
      <c r="E4093"/>
    </row>
    <row r="4094" spans="5:5" x14ac:dyDescent="0.4">
      <c r="E4094"/>
    </row>
    <row r="4095" spans="5:5" x14ac:dyDescent="0.4">
      <c r="E4095"/>
    </row>
    <row r="4096" spans="5:5" x14ac:dyDescent="0.4">
      <c r="E4096"/>
    </row>
    <row r="4097" spans="5:5" x14ac:dyDescent="0.4">
      <c r="E4097"/>
    </row>
    <row r="4098" spans="5:5" x14ac:dyDescent="0.4">
      <c r="E4098"/>
    </row>
    <row r="4099" spans="5:5" x14ac:dyDescent="0.4">
      <c r="E4099"/>
    </row>
    <row r="4100" spans="5:5" x14ac:dyDescent="0.4">
      <c r="E4100"/>
    </row>
    <row r="4101" spans="5:5" x14ac:dyDescent="0.4">
      <c r="E4101"/>
    </row>
    <row r="4102" spans="5:5" x14ac:dyDescent="0.4">
      <c r="E4102"/>
    </row>
    <row r="4103" spans="5:5" x14ac:dyDescent="0.4">
      <c r="E4103"/>
    </row>
    <row r="4104" spans="5:5" x14ac:dyDescent="0.4">
      <c r="E4104"/>
    </row>
    <row r="4105" spans="5:5" x14ac:dyDescent="0.4">
      <c r="E4105"/>
    </row>
    <row r="4106" spans="5:5" x14ac:dyDescent="0.4">
      <c r="E4106"/>
    </row>
    <row r="4107" spans="5:5" x14ac:dyDescent="0.4">
      <c r="E4107"/>
    </row>
    <row r="4108" spans="5:5" x14ac:dyDescent="0.4">
      <c r="E4108"/>
    </row>
    <row r="4109" spans="5:5" x14ac:dyDescent="0.4">
      <c r="E4109"/>
    </row>
    <row r="4110" spans="5:5" x14ac:dyDescent="0.4">
      <c r="E4110"/>
    </row>
    <row r="4111" spans="5:5" x14ac:dyDescent="0.4">
      <c r="E4111"/>
    </row>
    <row r="4112" spans="5:5" x14ac:dyDescent="0.4">
      <c r="E4112"/>
    </row>
    <row r="4113" spans="5:5" x14ac:dyDescent="0.4">
      <c r="E4113"/>
    </row>
    <row r="4114" spans="5:5" x14ac:dyDescent="0.4">
      <c r="E4114"/>
    </row>
    <row r="4115" spans="5:5" x14ac:dyDescent="0.4">
      <c r="E4115"/>
    </row>
    <row r="4116" spans="5:5" x14ac:dyDescent="0.4">
      <c r="E4116"/>
    </row>
    <row r="4117" spans="5:5" x14ac:dyDescent="0.4">
      <c r="E4117"/>
    </row>
    <row r="4118" spans="5:5" x14ac:dyDescent="0.4">
      <c r="E4118"/>
    </row>
    <row r="4119" spans="5:5" x14ac:dyDescent="0.4">
      <c r="E4119"/>
    </row>
    <row r="4120" spans="5:5" x14ac:dyDescent="0.4">
      <c r="E4120"/>
    </row>
    <row r="4121" spans="5:5" x14ac:dyDescent="0.4">
      <c r="E4121"/>
    </row>
    <row r="4122" spans="5:5" x14ac:dyDescent="0.4">
      <c r="E4122"/>
    </row>
    <row r="4123" spans="5:5" x14ac:dyDescent="0.4">
      <c r="E4123"/>
    </row>
    <row r="4124" spans="5:5" x14ac:dyDescent="0.4">
      <c r="E4124"/>
    </row>
    <row r="4125" spans="5:5" x14ac:dyDescent="0.4">
      <c r="E4125"/>
    </row>
    <row r="4126" spans="5:5" x14ac:dyDescent="0.4">
      <c r="E4126"/>
    </row>
    <row r="4127" spans="5:5" x14ac:dyDescent="0.4">
      <c r="E4127"/>
    </row>
    <row r="4128" spans="5:5" x14ac:dyDescent="0.4">
      <c r="E4128"/>
    </row>
    <row r="4129" spans="5:5" x14ac:dyDescent="0.4">
      <c r="E4129"/>
    </row>
    <row r="4130" spans="5:5" x14ac:dyDescent="0.4">
      <c r="E4130"/>
    </row>
    <row r="4131" spans="5:5" x14ac:dyDescent="0.4">
      <c r="E4131"/>
    </row>
    <row r="4132" spans="5:5" x14ac:dyDescent="0.4">
      <c r="E4132"/>
    </row>
    <row r="4133" spans="5:5" x14ac:dyDescent="0.4">
      <c r="E4133"/>
    </row>
    <row r="4134" spans="5:5" x14ac:dyDescent="0.4">
      <c r="E4134"/>
    </row>
    <row r="4135" spans="5:5" x14ac:dyDescent="0.4">
      <c r="E4135"/>
    </row>
    <row r="4136" spans="5:5" x14ac:dyDescent="0.4">
      <c r="E4136"/>
    </row>
    <row r="4137" spans="5:5" x14ac:dyDescent="0.4">
      <c r="E4137"/>
    </row>
    <row r="4138" spans="5:5" x14ac:dyDescent="0.4">
      <c r="E4138"/>
    </row>
    <row r="4139" spans="5:5" x14ac:dyDescent="0.4">
      <c r="E4139"/>
    </row>
    <row r="4140" spans="5:5" x14ac:dyDescent="0.4">
      <c r="E4140"/>
    </row>
    <row r="4141" spans="5:5" x14ac:dyDescent="0.4">
      <c r="E4141"/>
    </row>
    <row r="4142" spans="5:5" x14ac:dyDescent="0.4">
      <c r="E4142"/>
    </row>
    <row r="4143" spans="5:5" x14ac:dyDescent="0.4">
      <c r="E4143"/>
    </row>
    <row r="4144" spans="5:5" x14ac:dyDescent="0.4">
      <c r="E4144"/>
    </row>
    <row r="4145" spans="5:5" x14ac:dyDescent="0.4">
      <c r="E4145"/>
    </row>
    <row r="4146" spans="5:5" x14ac:dyDescent="0.4">
      <c r="E4146"/>
    </row>
    <row r="4147" spans="5:5" x14ac:dyDescent="0.4">
      <c r="E4147"/>
    </row>
    <row r="4148" spans="5:5" x14ac:dyDescent="0.4">
      <c r="E4148"/>
    </row>
    <row r="4149" spans="5:5" x14ac:dyDescent="0.4">
      <c r="E4149"/>
    </row>
    <row r="4150" spans="5:5" x14ac:dyDescent="0.4">
      <c r="E4150"/>
    </row>
    <row r="4151" spans="5:5" x14ac:dyDescent="0.4">
      <c r="E4151"/>
    </row>
    <row r="4152" spans="5:5" x14ac:dyDescent="0.4">
      <c r="E4152"/>
    </row>
    <row r="4153" spans="5:5" x14ac:dyDescent="0.4">
      <c r="E4153"/>
    </row>
    <row r="4154" spans="5:5" x14ac:dyDescent="0.4">
      <c r="E4154"/>
    </row>
    <row r="4155" spans="5:5" x14ac:dyDescent="0.4">
      <c r="E4155"/>
    </row>
    <row r="4156" spans="5:5" x14ac:dyDescent="0.4">
      <c r="E4156"/>
    </row>
    <row r="4157" spans="5:5" x14ac:dyDescent="0.4">
      <c r="E4157"/>
    </row>
    <row r="4158" spans="5:5" x14ac:dyDescent="0.4">
      <c r="E4158"/>
    </row>
    <row r="4159" spans="5:5" x14ac:dyDescent="0.4">
      <c r="E4159"/>
    </row>
    <row r="4160" spans="5:5" x14ac:dyDescent="0.4">
      <c r="E4160"/>
    </row>
    <row r="4161" spans="5:5" x14ac:dyDescent="0.4">
      <c r="E4161"/>
    </row>
    <row r="4162" spans="5:5" x14ac:dyDescent="0.4">
      <c r="E4162"/>
    </row>
    <row r="4163" spans="5:5" x14ac:dyDescent="0.4">
      <c r="E4163"/>
    </row>
    <row r="4164" spans="5:5" x14ac:dyDescent="0.4">
      <c r="E4164"/>
    </row>
    <row r="4165" spans="5:5" x14ac:dyDescent="0.4">
      <c r="E4165"/>
    </row>
    <row r="4166" spans="5:5" x14ac:dyDescent="0.4">
      <c r="E4166"/>
    </row>
    <row r="4167" spans="5:5" x14ac:dyDescent="0.4">
      <c r="E4167"/>
    </row>
    <row r="4168" spans="5:5" x14ac:dyDescent="0.4">
      <c r="E4168"/>
    </row>
    <row r="4169" spans="5:5" x14ac:dyDescent="0.4">
      <c r="E4169"/>
    </row>
    <row r="4170" spans="5:5" x14ac:dyDescent="0.4">
      <c r="E4170"/>
    </row>
    <row r="4171" spans="5:5" x14ac:dyDescent="0.4">
      <c r="E4171"/>
    </row>
    <row r="4172" spans="5:5" x14ac:dyDescent="0.4">
      <c r="E4172"/>
    </row>
    <row r="4173" spans="5:5" x14ac:dyDescent="0.4">
      <c r="E4173"/>
    </row>
    <row r="4174" spans="5:5" x14ac:dyDescent="0.4">
      <c r="E4174"/>
    </row>
    <row r="4175" spans="5:5" x14ac:dyDescent="0.4">
      <c r="E4175"/>
    </row>
    <row r="4176" spans="5:5" x14ac:dyDescent="0.4">
      <c r="E4176"/>
    </row>
    <row r="4177" spans="5:5" x14ac:dyDescent="0.4">
      <c r="E4177"/>
    </row>
    <row r="4178" spans="5:5" x14ac:dyDescent="0.4">
      <c r="E4178"/>
    </row>
    <row r="4179" spans="5:5" x14ac:dyDescent="0.4">
      <c r="E4179"/>
    </row>
    <row r="4180" spans="5:5" x14ac:dyDescent="0.4">
      <c r="E4180"/>
    </row>
    <row r="4181" spans="5:5" x14ac:dyDescent="0.4">
      <c r="E4181"/>
    </row>
    <row r="4182" spans="5:5" x14ac:dyDescent="0.4">
      <c r="E4182"/>
    </row>
    <row r="4183" spans="5:5" x14ac:dyDescent="0.4">
      <c r="E4183"/>
    </row>
    <row r="4184" spans="5:5" x14ac:dyDescent="0.4">
      <c r="E4184"/>
    </row>
    <row r="4185" spans="5:5" x14ac:dyDescent="0.4">
      <c r="E4185"/>
    </row>
    <row r="4186" spans="5:5" x14ac:dyDescent="0.4">
      <c r="E4186"/>
    </row>
    <row r="4187" spans="5:5" x14ac:dyDescent="0.4">
      <c r="E4187"/>
    </row>
    <row r="4188" spans="5:5" x14ac:dyDescent="0.4">
      <c r="E4188"/>
    </row>
    <row r="4189" spans="5:5" x14ac:dyDescent="0.4">
      <c r="E4189"/>
    </row>
    <row r="4190" spans="5:5" x14ac:dyDescent="0.4">
      <c r="E4190"/>
    </row>
    <row r="4191" spans="5:5" x14ac:dyDescent="0.4">
      <c r="E4191"/>
    </row>
    <row r="4192" spans="5:5" x14ac:dyDescent="0.4">
      <c r="E4192"/>
    </row>
    <row r="4193" spans="5:5" x14ac:dyDescent="0.4">
      <c r="E4193"/>
    </row>
    <row r="4194" spans="5:5" x14ac:dyDescent="0.4">
      <c r="E4194"/>
    </row>
    <row r="4195" spans="5:5" x14ac:dyDescent="0.4">
      <c r="E4195"/>
    </row>
    <row r="4196" spans="5:5" x14ac:dyDescent="0.4">
      <c r="E4196"/>
    </row>
    <row r="4197" spans="5:5" x14ac:dyDescent="0.4">
      <c r="E4197"/>
    </row>
    <row r="4198" spans="5:5" x14ac:dyDescent="0.4">
      <c r="E4198"/>
    </row>
    <row r="4199" spans="5:5" x14ac:dyDescent="0.4">
      <c r="E4199"/>
    </row>
    <row r="4200" spans="5:5" x14ac:dyDescent="0.4">
      <c r="E4200"/>
    </row>
    <row r="4201" spans="5:5" x14ac:dyDescent="0.4">
      <c r="E4201"/>
    </row>
    <row r="4202" spans="5:5" x14ac:dyDescent="0.4">
      <c r="E4202"/>
    </row>
    <row r="4203" spans="5:5" x14ac:dyDescent="0.4">
      <c r="E4203"/>
    </row>
    <row r="4204" spans="5:5" x14ac:dyDescent="0.4">
      <c r="E4204"/>
    </row>
    <row r="4205" spans="5:5" x14ac:dyDescent="0.4">
      <c r="E4205"/>
    </row>
    <row r="4206" spans="5:5" x14ac:dyDescent="0.4">
      <c r="E4206"/>
    </row>
    <row r="4207" spans="5:5" x14ac:dyDescent="0.4">
      <c r="E4207"/>
    </row>
    <row r="4208" spans="5:5" x14ac:dyDescent="0.4">
      <c r="E4208"/>
    </row>
    <row r="4209" spans="5:5" x14ac:dyDescent="0.4">
      <c r="E4209"/>
    </row>
    <row r="4210" spans="5:5" x14ac:dyDescent="0.4">
      <c r="E4210"/>
    </row>
    <row r="4211" spans="5:5" x14ac:dyDescent="0.4">
      <c r="E4211"/>
    </row>
    <row r="4212" spans="5:5" x14ac:dyDescent="0.4">
      <c r="E4212"/>
    </row>
    <row r="4213" spans="5:5" x14ac:dyDescent="0.4">
      <c r="E4213"/>
    </row>
    <row r="4214" spans="5:5" x14ac:dyDescent="0.4">
      <c r="E4214"/>
    </row>
    <row r="4215" spans="5:5" x14ac:dyDescent="0.4">
      <c r="E4215"/>
    </row>
    <row r="4216" spans="5:5" x14ac:dyDescent="0.4">
      <c r="E4216"/>
    </row>
    <row r="4217" spans="5:5" x14ac:dyDescent="0.4">
      <c r="E4217"/>
    </row>
    <row r="4218" spans="5:5" x14ac:dyDescent="0.4">
      <c r="E4218"/>
    </row>
    <row r="4219" spans="5:5" x14ac:dyDescent="0.4">
      <c r="E4219"/>
    </row>
    <row r="4220" spans="5:5" x14ac:dyDescent="0.4">
      <c r="E4220"/>
    </row>
    <row r="4221" spans="5:5" x14ac:dyDescent="0.4">
      <c r="E4221"/>
    </row>
    <row r="4222" spans="5:5" x14ac:dyDescent="0.4">
      <c r="E4222"/>
    </row>
    <row r="4223" spans="5:5" x14ac:dyDescent="0.4">
      <c r="E4223"/>
    </row>
    <row r="4224" spans="5:5" x14ac:dyDescent="0.4">
      <c r="E4224"/>
    </row>
    <row r="4225" spans="5:5" x14ac:dyDescent="0.4">
      <c r="E4225"/>
    </row>
    <row r="4226" spans="5:5" x14ac:dyDescent="0.4">
      <c r="E4226"/>
    </row>
    <row r="4227" spans="5:5" x14ac:dyDescent="0.4">
      <c r="E4227"/>
    </row>
    <row r="4228" spans="5:5" x14ac:dyDescent="0.4">
      <c r="E4228"/>
    </row>
    <row r="4229" spans="5:5" x14ac:dyDescent="0.4">
      <c r="E4229"/>
    </row>
    <row r="4230" spans="5:5" x14ac:dyDescent="0.4">
      <c r="E4230"/>
    </row>
    <row r="4231" spans="5:5" x14ac:dyDescent="0.4">
      <c r="E4231"/>
    </row>
    <row r="4232" spans="5:5" x14ac:dyDescent="0.4">
      <c r="E4232"/>
    </row>
    <row r="4233" spans="5:5" x14ac:dyDescent="0.4">
      <c r="E4233"/>
    </row>
    <row r="4234" spans="5:5" x14ac:dyDescent="0.4">
      <c r="E4234"/>
    </row>
    <row r="4235" spans="5:5" x14ac:dyDescent="0.4">
      <c r="E4235"/>
    </row>
    <row r="4236" spans="5:5" x14ac:dyDescent="0.4">
      <c r="E4236"/>
    </row>
    <row r="4237" spans="5:5" x14ac:dyDescent="0.4">
      <c r="E4237"/>
    </row>
    <row r="4238" spans="5:5" x14ac:dyDescent="0.4">
      <c r="E4238"/>
    </row>
    <row r="4239" spans="5:5" x14ac:dyDescent="0.4">
      <c r="E4239"/>
    </row>
    <row r="4240" spans="5:5" x14ac:dyDescent="0.4">
      <c r="E4240"/>
    </row>
    <row r="4241" spans="5:5" x14ac:dyDescent="0.4">
      <c r="E4241"/>
    </row>
    <row r="4242" spans="5:5" x14ac:dyDescent="0.4">
      <c r="E4242"/>
    </row>
    <row r="4243" spans="5:5" x14ac:dyDescent="0.4">
      <c r="E4243"/>
    </row>
    <row r="4244" spans="5:5" x14ac:dyDescent="0.4">
      <c r="E4244"/>
    </row>
    <row r="4245" spans="5:5" x14ac:dyDescent="0.4">
      <c r="E4245"/>
    </row>
    <row r="4246" spans="5:5" x14ac:dyDescent="0.4">
      <c r="E4246"/>
    </row>
    <row r="4247" spans="5:5" x14ac:dyDescent="0.4">
      <c r="E4247"/>
    </row>
    <row r="4248" spans="5:5" x14ac:dyDescent="0.4">
      <c r="E4248"/>
    </row>
    <row r="4249" spans="5:5" x14ac:dyDescent="0.4">
      <c r="E4249"/>
    </row>
    <row r="4250" spans="5:5" x14ac:dyDescent="0.4">
      <c r="E4250"/>
    </row>
    <row r="4251" spans="5:5" x14ac:dyDescent="0.4">
      <c r="E4251"/>
    </row>
    <row r="4252" spans="5:5" x14ac:dyDescent="0.4">
      <c r="E4252"/>
    </row>
    <row r="4253" spans="5:5" x14ac:dyDescent="0.4">
      <c r="E4253"/>
    </row>
    <row r="4254" spans="5:5" x14ac:dyDescent="0.4">
      <c r="E4254"/>
    </row>
    <row r="4255" spans="5:5" x14ac:dyDescent="0.4">
      <c r="E4255"/>
    </row>
    <row r="4256" spans="5:5" x14ac:dyDescent="0.4">
      <c r="E4256"/>
    </row>
    <row r="4257" spans="5:5" x14ac:dyDescent="0.4">
      <c r="E4257"/>
    </row>
    <row r="4258" spans="5:5" x14ac:dyDescent="0.4">
      <c r="E4258"/>
    </row>
    <row r="4259" spans="5:5" x14ac:dyDescent="0.4">
      <c r="E4259"/>
    </row>
    <row r="4260" spans="5:5" x14ac:dyDescent="0.4">
      <c r="E4260"/>
    </row>
    <row r="4261" spans="5:5" x14ac:dyDescent="0.4">
      <c r="E4261"/>
    </row>
    <row r="4262" spans="5:5" x14ac:dyDescent="0.4">
      <c r="E4262"/>
    </row>
    <row r="4263" spans="5:5" x14ac:dyDescent="0.4">
      <c r="E4263"/>
    </row>
    <row r="4264" spans="5:5" x14ac:dyDescent="0.4">
      <c r="E4264"/>
    </row>
    <row r="4265" spans="5:5" x14ac:dyDescent="0.4">
      <c r="E4265"/>
    </row>
    <row r="4266" spans="5:5" x14ac:dyDescent="0.4">
      <c r="E4266"/>
    </row>
    <row r="4267" spans="5:5" x14ac:dyDescent="0.4">
      <c r="E4267"/>
    </row>
    <row r="4268" spans="5:5" x14ac:dyDescent="0.4">
      <c r="E4268"/>
    </row>
    <row r="4269" spans="5:5" x14ac:dyDescent="0.4">
      <c r="E4269"/>
    </row>
    <row r="4270" spans="5:5" x14ac:dyDescent="0.4">
      <c r="E4270"/>
    </row>
    <row r="4271" spans="5:5" x14ac:dyDescent="0.4">
      <c r="E4271"/>
    </row>
    <row r="4272" spans="5:5" x14ac:dyDescent="0.4">
      <c r="E4272"/>
    </row>
    <row r="4273" spans="5:5" x14ac:dyDescent="0.4">
      <c r="E4273"/>
    </row>
    <row r="4274" spans="5:5" x14ac:dyDescent="0.4">
      <c r="E4274"/>
    </row>
    <row r="4275" spans="5:5" x14ac:dyDescent="0.4">
      <c r="E4275"/>
    </row>
    <row r="4276" spans="5:5" x14ac:dyDescent="0.4">
      <c r="E4276"/>
    </row>
    <row r="4277" spans="5:5" x14ac:dyDescent="0.4">
      <c r="E4277"/>
    </row>
    <row r="4278" spans="5:5" x14ac:dyDescent="0.4">
      <c r="E4278"/>
    </row>
    <row r="4279" spans="5:5" x14ac:dyDescent="0.4">
      <c r="E4279"/>
    </row>
    <row r="4280" spans="5:5" x14ac:dyDescent="0.4">
      <c r="E4280"/>
    </row>
    <row r="4281" spans="5:5" x14ac:dyDescent="0.4">
      <c r="E4281"/>
    </row>
    <row r="4282" spans="5:5" x14ac:dyDescent="0.4">
      <c r="E4282"/>
    </row>
    <row r="4283" spans="5:5" x14ac:dyDescent="0.4">
      <c r="E4283"/>
    </row>
    <row r="4284" spans="5:5" x14ac:dyDescent="0.4">
      <c r="E4284"/>
    </row>
    <row r="4285" spans="5:5" x14ac:dyDescent="0.4">
      <c r="E4285"/>
    </row>
    <row r="4286" spans="5:5" x14ac:dyDescent="0.4">
      <c r="E4286"/>
    </row>
    <row r="4287" spans="5:5" x14ac:dyDescent="0.4">
      <c r="E4287"/>
    </row>
    <row r="4288" spans="5:5" x14ac:dyDescent="0.4">
      <c r="E4288"/>
    </row>
    <row r="4289" spans="5:5" x14ac:dyDescent="0.4">
      <c r="E4289"/>
    </row>
    <row r="4290" spans="5:5" x14ac:dyDescent="0.4">
      <c r="E4290"/>
    </row>
    <row r="4291" spans="5:5" x14ac:dyDescent="0.4">
      <c r="E4291"/>
    </row>
    <row r="4292" spans="5:5" x14ac:dyDescent="0.4">
      <c r="E4292"/>
    </row>
    <row r="4293" spans="5:5" x14ac:dyDescent="0.4">
      <c r="E4293"/>
    </row>
    <row r="4294" spans="5:5" x14ac:dyDescent="0.4">
      <c r="E4294"/>
    </row>
    <row r="4295" spans="5:5" x14ac:dyDescent="0.4">
      <c r="E4295"/>
    </row>
    <row r="4296" spans="5:5" x14ac:dyDescent="0.4">
      <c r="E4296"/>
    </row>
    <row r="4297" spans="5:5" x14ac:dyDescent="0.4">
      <c r="E4297"/>
    </row>
    <row r="4298" spans="5:5" x14ac:dyDescent="0.4">
      <c r="E4298"/>
    </row>
    <row r="4299" spans="5:5" x14ac:dyDescent="0.4">
      <c r="E4299"/>
    </row>
    <row r="4300" spans="5:5" x14ac:dyDescent="0.4">
      <c r="E4300"/>
    </row>
    <row r="4301" spans="5:5" x14ac:dyDescent="0.4">
      <c r="E4301"/>
    </row>
    <row r="4302" spans="5:5" x14ac:dyDescent="0.4">
      <c r="E4302"/>
    </row>
    <row r="4303" spans="5:5" x14ac:dyDescent="0.4">
      <c r="E4303"/>
    </row>
    <row r="4304" spans="5:5" x14ac:dyDescent="0.4">
      <c r="E4304"/>
    </row>
    <row r="4305" spans="5:5" x14ac:dyDescent="0.4">
      <c r="E4305"/>
    </row>
    <row r="4306" spans="5:5" x14ac:dyDescent="0.4">
      <c r="E4306"/>
    </row>
    <row r="4307" spans="5:5" x14ac:dyDescent="0.4">
      <c r="E4307"/>
    </row>
    <row r="4308" spans="5:5" x14ac:dyDescent="0.4">
      <c r="E4308"/>
    </row>
    <row r="4309" spans="5:5" x14ac:dyDescent="0.4">
      <c r="E4309"/>
    </row>
    <row r="4310" spans="5:5" x14ac:dyDescent="0.4">
      <c r="E4310"/>
    </row>
    <row r="4311" spans="5:5" x14ac:dyDescent="0.4">
      <c r="E4311"/>
    </row>
    <row r="4312" spans="5:5" x14ac:dyDescent="0.4">
      <c r="E4312"/>
    </row>
    <row r="4313" spans="5:5" x14ac:dyDescent="0.4">
      <c r="E4313"/>
    </row>
    <row r="4314" spans="5:5" x14ac:dyDescent="0.4">
      <c r="E4314"/>
    </row>
    <row r="4315" spans="5:5" x14ac:dyDescent="0.4">
      <c r="E4315"/>
    </row>
    <row r="4316" spans="5:5" x14ac:dyDescent="0.4">
      <c r="E4316"/>
    </row>
    <row r="4317" spans="5:5" x14ac:dyDescent="0.4">
      <c r="E4317"/>
    </row>
    <row r="4318" spans="5:5" x14ac:dyDescent="0.4">
      <c r="E4318"/>
    </row>
    <row r="4319" spans="5:5" x14ac:dyDescent="0.4">
      <c r="E4319"/>
    </row>
    <row r="4320" spans="5:5" x14ac:dyDescent="0.4">
      <c r="E4320"/>
    </row>
    <row r="4321" spans="5:5" x14ac:dyDescent="0.4">
      <c r="E4321"/>
    </row>
    <row r="4322" spans="5:5" x14ac:dyDescent="0.4">
      <c r="E4322"/>
    </row>
    <row r="4323" spans="5:5" x14ac:dyDescent="0.4">
      <c r="E4323"/>
    </row>
    <row r="4324" spans="5:5" x14ac:dyDescent="0.4">
      <c r="E4324"/>
    </row>
    <row r="4325" spans="5:5" x14ac:dyDescent="0.4">
      <c r="E4325"/>
    </row>
    <row r="4326" spans="5:5" x14ac:dyDescent="0.4">
      <c r="E4326"/>
    </row>
    <row r="4327" spans="5:5" x14ac:dyDescent="0.4">
      <c r="E4327"/>
    </row>
    <row r="4328" spans="5:5" x14ac:dyDescent="0.4">
      <c r="E4328"/>
    </row>
    <row r="4329" spans="5:5" x14ac:dyDescent="0.4">
      <c r="E4329"/>
    </row>
    <row r="4330" spans="5:5" x14ac:dyDescent="0.4">
      <c r="E4330"/>
    </row>
    <row r="4331" spans="5:5" x14ac:dyDescent="0.4">
      <c r="E4331"/>
    </row>
    <row r="4332" spans="5:5" x14ac:dyDescent="0.4">
      <c r="E4332"/>
    </row>
    <row r="4333" spans="5:5" x14ac:dyDescent="0.4">
      <c r="E4333"/>
    </row>
    <row r="4334" spans="5:5" x14ac:dyDescent="0.4">
      <c r="E4334"/>
    </row>
    <row r="4335" spans="5:5" x14ac:dyDescent="0.4">
      <c r="E4335"/>
    </row>
    <row r="4336" spans="5:5" x14ac:dyDescent="0.4">
      <c r="E4336"/>
    </row>
    <row r="4337" spans="5:5" x14ac:dyDescent="0.4">
      <c r="E4337"/>
    </row>
    <row r="4338" spans="5:5" x14ac:dyDescent="0.4">
      <c r="E4338"/>
    </row>
    <row r="4339" spans="5:5" x14ac:dyDescent="0.4">
      <c r="E4339"/>
    </row>
    <row r="4340" spans="5:5" x14ac:dyDescent="0.4">
      <c r="E4340"/>
    </row>
    <row r="4341" spans="5:5" x14ac:dyDescent="0.4">
      <c r="E4341"/>
    </row>
    <row r="4342" spans="5:5" x14ac:dyDescent="0.4">
      <c r="E4342"/>
    </row>
    <row r="4343" spans="5:5" x14ac:dyDescent="0.4">
      <c r="E4343"/>
    </row>
    <row r="4344" spans="5:5" x14ac:dyDescent="0.4">
      <c r="E4344"/>
    </row>
    <row r="4345" spans="5:5" x14ac:dyDescent="0.4">
      <c r="E434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workbookViewId="0">
      <selection sqref="A1:I28"/>
    </sheetView>
  </sheetViews>
  <sheetFormatPr defaultRowHeight="14.6" x14ac:dyDescent="0.4"/>
  <sheetData>
    <row r="1" spans="1:9" x14ac:dyDescent="0.4">
      <c r="A1" s="4"/>
      <c r="B1" s="4"/>
      <c r="C1" s="4"/>
      <c r="D1" s="4"/>
      <c r="E1" s="18"/>
      <c r="F1" s="32" t="s">
        <v>304</v>
      </c>
      <c r="G1" s="32" t="s">
        <v>305</v>
      </c>
      <c r="H1" s="32" t="s">
        <v>306</v>
      </c>
      <c r="I1" s="30" t="s">
        <v>307</v>
      </c>
    </row>
    <row r="2" spans="1:9" x14ac:dyDescent="0.4">
      <c r="A2" s="4"/>
      <c r="B2" s="4"/>
      <c r="C2" s="4"/>
      <c r="D2" s="4"/>
      <c r="E2" s="32">
        <v>2172.9</v>
      </c>
      <c r="F2" s="32">
        <v>2172.9</v>
      </c>
      <c r="G2" s="32">
        <v>0</v>
      </c>
      <c r="H2" s="32">
        <v>115444.7</v>
      </c>
      <c r="I2" s="4"/>
    </row>
    <row r="3" spans="1:9" x14ac:dyDescent="0.4">
      <c r="A3" s="4" t="s">
        <v>308</v>
      </c>
      <c r="B3" s="4" t="s">
        <v>309</v>
      </c>
      <c r="C3" s="4" t="s">
        <v>311</v>
      </c>
      <c r="D3" s="4" t="s">
        <v>843</v>
      </c>
      <c r="E3" s="18" t="s">
        <v>313</v>
      </c>
      <c r="F3" s="18"/>
      <c r="G3" s="18"/>
      <c r="H3" s="18"/>
      <c r="I3" s="4"/>
    </row>
    <row r="4" spans="1:9" x14ac:dyDescent="0.4">
      <c r="A4" s="17" t="s">
        <v>844</v>
      </c>
      <c r="B4" s="4"/>
      <c r="C4" s="4"/>
      <c r="D4" s="4"/>
      <c r="E4" s="18"/>
      <c r="F4" s="18"/>
      <c r="G4" s="18"/>
      <c r="H4" s="18"/>
      <c r="I4" s="4"/>
    </row>
    <row r="5" spans="1:9" x14ac:dyDescent="0.4">
      <c r="A5" s="17" t="s">
        <v>5</v>
      </c>
      <c r="B5" s="4"/>
      <c r="C5" s="4"/>
      <c r="D5" s="4"/>
      <c r="E5" s="18"/>
      <c r="F5" s="18"/>
      <c r="G5" s="18"/>
      <c r="H5" s="18"/>
      <c r="I5" s="4"/>
    </row>
    <row r="6" spans="1:9" x14ac:dyDescent="0.4">
      <c r="A6" s="20" t="s">
        <v>384</v>
      </c>
      <c r="B6" s="17" t="s">
        <v>845</v>
      </c>
      <c r="C6" s="17" t="s">
        <v>773</v>
      </c>
      <c r="D6" s="17" t="s">
        <v>846</v>
      </c>
      <c r="E6" s="18">
        <v>1459.65</v>
      </c>
      <c r="F6" s="18">
        <v>1459.65</v>
      </c>
      <c r="G6" s="18"/>
      <c r="H6" s="18"/>
      <c r="I6" s="26" t="s">
        <v>847</v>
      </c>
    </row>
    <row r="7" spans="1:9" x14ac:dyDescent="0.4">
      <c r="A7" s="20" t="s">
        <v>787</v>
      </c>
      <c r="B7" s="17" t="s">
        <v>848</v>
      </c>
      <c r="C7" s="17" t="s">
        <v>773</v>
      </c>
      <c r="D7" s="17" t="s">
        <v>359</v>
      </c>
      <c r="E7" s="18">
        <v>1013</v>
      </c>
      <c r="F7" s="18"/>
      <c r="G7" s="18"/>
      <c r="H7" s="18">
        <v>1013</v>
      </c>
      <c r="I7" s="21" t="s">
        <v>842</v>
      </c>
    </row>
    <row r="8" spans="1:9" x14ac:dyDescent="0.4">
      <c r="A8" s="20" t="s">
        <v>789</v>
      </c>
      <c r="B8" s="17" t="s">
        <v>849</v>
      </c>
      <c r="C8" s="17" t="s">
        <v>780</v>
      </c>
      <c r="D8" s="17" t="s">
        <v>359</v>
      </c>
      <c r="E8" s="18">
        <v>25507.21</v>
      </c>
      <c r="F8" s="18"/>
      <c r="G8" s="18"/>
      <c r="H8" s="18">
        <v>25507.21</v>
      </c>
      <c r="I8" s="21" t="s">
        <v>850</v>
      </c>
    </row>
    <row r="9" spans="1:9" x14ac:dyDescent="0.4">
      <c r="A9" s="4"/>
      <c r="B9" s="17" t="s">
        <v>851</v>
      </c>
      <c r="C9" s="17" t="s">
        <v>780</v>
      </c>
      <c r="D9" s="17" t="s">
        <v>359</v>
      </c>
      <c r="E9" s="18">
        <v>29945.99</v>
      </c>
      <c r="F9" s="18"/>
      <c r="G9" s="18"/>
      <c r="H9" s="18">
        <v>29945.99</v>
      </c>
      <c r="I9" s="4" t="s">
        <v>852</v>
      </c>
    </row>
    <row r="10" spans="1:9" x14ac:dyDescent="0.4">
      <c r="A10" s="20" t="s">
        <v>798</v>
      </c>
      <c r="B10" s="17" t="s">
        <v>853</v>
      </c>
      <c r="C10" s="17" t="s">
        <v>780</v>
      </c>
      <c r="D10" s="17" t="s">
        <v>359</v>
      </c>
      <c r="E10" s="18">
        <v>6000</v>
      </c>
      <c r="F10" s="18"/>
      <c r="G10" s="18"/>
      <c r="H10" s="18">
        <v>6000</v>
      </c>
      <c r="I10" s="26" t="s">
        <v>854</v>
      </c>
    </row>
    <row r="11" spans="1:9" x14ac:dyDescent="0.4">
      <c r="A11" s="20" t="s">
        <v>804</v>
      </c>
      <c r="B11" s="17" t="s">
        <v>855</v>
      </c>
      <c r="C11" s="17" t="s">
        <v>773</v>
      </c>
      <c r="D11" s="17" t="s">
        <v>846</v>
      </c>
      <c r="E11" s="18">
        <v>713.25</v>
      </c>
      <c r="F11" s="18">
        <v>713.25</v>
      </c>
      <c r="G11" s="18"/>
      <c r="H11" s="18"/>
      <c r="I11" s="21" t="s">
        <v>856</v>
      </c>
    </row>
    <row r="12" spans="1:9" x14ac:dyDescent="0.4">
      <c r="A12" s="20" t="s">
        <v>635</v>
      </c>
      <c r="B12" s="17" t="s">
        <v>857</v>
      </c>
      <c r="C12" s="17" t="s">
        <v>780</v>
      </c>
      <c r="D12" s="17" t="s">
        <v>359</v>
      </c>
      <c r="E12" s="18">
        <v>2411.5</v>
      </c>
      <c r="F12" s="18"/>
      <c r="G12" s="18"/>
      <c r="H12" s="18">
        <v>2411.5</v>
      </c>
      <c r="I12" s="26" t="s">
        <v>841</v>
      </c>
    </row>
    <row r="13" spans="1:9" x14ac:dyDescent="0.4">
      <c r="A13" s="20" t="s">
        <v>814</v>
      </c>
      <c r="B13" s="17" t="s">
        <v>714</v>
      </c>
      <c r="C13" s="17" t="s">
        <v>773</v>
      </c>
      <c r="D13" s="17" t="s">
        <v>359</v>
      </c>
      <c r="E13" s="18">
        <v>567</v>
      </c>
      <c r="F13" s="18"/>
      <c r="G13" s="18"/>
      <c r="H13" s="18">
        <v>567</v>
      </c>
      <c r="I13" s="26" t="s">
        <v>841</v>
      </c>
    </row>
    <row r="14" spans="1:9" x14ac:dyDescent="0.4">
      <c r="A14" s="20" t="s">
        <v>815</v>
      </c>
      <c r="B14" s="17" t="s">
        <v>858</v>
      </c>
      <c r="C14" s="17" t="s">
        <v>773</v>
      </c>
      <c r="D14" s="17" t="s">
        <v>359</v>
      </c>
      <c r="E14" s="18">
        <v>50000</v>
      </c>
      <c r="F14" s="18"/>
      <c r="G14" s="18"/>
      <c r="H14" s="18">
        <v>50000</v>
      </c>
      <c r="I14" s="26" t="s">
        <v>859</v>
      </c>
    </row>
    <row r="15" spans="1:9" x14ac:dyDescent="0.4">
      <c r="A15" s="17" t="s">
        <v>6</v>
      </c>
      <c r="B15" s="4"/>
      <c r="C15" s="4"/>
      <c r="D15" s="4"/>
      <c r="E15" s="18"/>
      <c r="F15" s="18">
        <v>58978.5</v>
      </c>
      <c r="G15" s="18"/>
      <c r="H15" s="18"/>
      <c r="I15" s="4"/>
    </row>
    <row r="16" spans="1:9" x14ac:dyDescent="0.4">
      <c r="A16" s="20" t="s">
        <v>384</v>
      </c>
      <c r="B16" s="17" t="s">
        <v>860</v>
      </c>
      <c r="C16" s="17" t="s">
        <v>773</v>
      </c>
      <c r="D16" s="17" t="s">
        <v>822</v>
      </c>
      <c r="E16" s="18">
        <v>300</v>
      </c>
      <c r="F16" s="18">
        <v>300</v>
      </c>
      <c r="G16" s="18"/>
      <c r="H16" s="18"/>
      <c r="I16" s="4"/>
    </row>
    <row r="17" spans="1:9" x14ac:dyDescent="0.4">
      <c r="A17" s="20" t="s">
        <v>861</v>
      </c>
      <c r="B17" s="17" t="s">
        <v>862</v>
      </c>
      <c r="C17" s="17" t="s">
        <v>773</v>
      </c>
      <c r="D17" s="17" t="s">
        <v>863</v>
      </c>
      <c r="E17" s="18">
        <v>0</v>
      </c>
      <c r="F17" s="18">
        <v>100</v>
      </c>
      <c r="G17" s="18"/>
      <c r="H17" s="18"/>
      <c r="I17" s="26" t="s">
        <v>864</v>
      </c>
    </row>
    <row r="18" spans="1:9" x14ac:dyDescent="0.4">
      <c r="A18" s="20" t="s">
        <v>411</v>
      </c>
      <c r="B18" s="17" t="s">
        <v>412</v>
      </c>
      <c r="C18" s="17" t="s">
        <v>768</v>
      </c>
      <c r="D18" s="17" t="s">
        <v>415</v>
      </c>
      <c r="E18" s="18">
        <v>1879</v>
      </c>
      <c r="F18" s="18"/>
      <c r="G18" s="18">
        <v>1879</v>
      </c>
      <c r="H18" s="18"/>
      <c r="I18" s="4"/>
    </row>
    <row r="19" spans="1:9" x14ac:dyDescent="0.4">
      <c r="A19" s="20" t="s">
        <v>426</v>
      </c>
      <c r="B19" s="17" t="s">
        <v>865</v>
      </c>
      <c r="C19" s="17" t="s">
        <v>776</v>
      </c>
      <c r="D19" s="17" t="s">
        <v>647</v>
      </c>
      <c r="E19" s="18">
        <v>53430</v>
      </c>
      <c r="F19" s="18"/>
      <c r="G19" s="18">
        <v>25000</v>
      </c>
      <c r="H19" s="18"/>
      <c r="I19" s="4" t="s">
        <v>866</v>
      </c>
    </row>
    <row r="20" spans="1:9" x14ac:dyDescent="0.4">
      <c r="A20" s="4"/>
      <c r="B20" s="17" t="s">
        <v>867</v>
      </c>
      <c r="C20" s="17" t="s">
        <v>780</v>
      </c>
      <c r="D20" s="17" t="s">
        <v>415</v>
      </c>
      <c r="E20" s="18">
        <v>2010</v>
      </c>
      <c r="F20" s="18">
        <v>2010</v>
      </c>
      <c r="G20" s="18"/>
      <c r="H20" s="18"/>
      <c r="I20" s="4"/>
    </row>
    <row r="21" spans="1:9" x14ac:dyDescent="0.4">
      <c r="A21" s="4"/>
      <c r="B21" s="17" t="s">
        <v>868</v>
      </c>
      <c r="C21" s="17" t="s">
        <v>780</v>
      </c>
      <c r="D21" s="17" t="s">
        <v>415</v>
      </c>
      <c r="E21" s="18">
        <v>2010</v>
      </c>
      <c r="F21" s="18"/>
      <c r="G21" s="18"/>
      <c r="H21" s="18">
        <v>2010</v>
      </c>
      <c r="I21" s="4"/>
    </row>
    <row r="22" spans="1:9" x14ac:dyDescent="0.4">
      <c r="A22" s="20" t="s">
        <v>438</v>
      </c>
      <c r="B22" s="17" t="s">
        <v>439</v>
      </c>
      <c r="C22" s="17" t="s">
        <v>773</v>
      </c>
      <c r="D22" s="17" t="s">
        <v>415</v>
      </c>
      <c r="E22" s="18">
        <v>2800</v>
      </c>
      <c r="F22" s="18"/>
      <c r="G22" s="18">
        <v>2800</v>
      </c>
      <c r="H22" s="18"/>
      <c r="I22" s="4" t="s">
        <v>869</v>
      </c>
    </row>
    <row r="23" spans="1:9" x14ac:dyDescent="0.4">
      <c r="A23" s="20" t="s">
        <v>251</v>
      </c>
      <c r="B23" s="17" t="s">
        <v>870</v>
      </c>
      <c r="C23" s="17" t="s">
        <v>773</v>
      </c>
      <c r="D23" s="17" t="s">
        <v>415</v>
      </c>
      <c r="E23" s="18">
        <v>0</v>
      </c>
      <c r="F23" s="18"/>
      <c r="G23" s="18"/>
      <c r="H23" s="18"/>
      <c r="I23" s="26" t="s">
        <v>871</v>
      </c>
    </row>
    <row r="24" spans="1:9" x14ac:dyDescent="0.4">
      <c r="A24" s="20" t="s">
        <v>568</v>
      </c>
      <c r="B24" s="17" t="s">
        <v>872</v>
      </c>
      <c r="C24" s="17" t="s">
        <v>776</v>
      </c>
      <c r="D24" s="17" t="s">
        <v>415</v>
      </c>
      <c r="E24" s="18">
        <v>265.79000000000002</v>
      </c>
      <c r="F24" s="18">
        <v>265.79000000000002</v>
      </c>
      <c r="G24" s="18"/>
      <c r="H24" s="18"/>
      <c r="I24" s="4" t="s">
        <v>873</v>
      </c>
    </row>
    <row r="25" spans="1:9" x14ac:dyDescent="0.4">
      <c r="A25" s="20" t="s">
        <v>802</v>
      </c>
      <c r="B25" s="17" t="s">
        <v>874</v>
      </c>
      <c r="C25" s="17" t="s">
        <v>780</v>
      </c>
      <c r="D25" s="17" t="s">
        <v>415</v>
      </c>
      <c r="E25" s="18">
        <v>3564</v>
      </c>
      <c r="F25" s="18"/>
      <c r="G25" s="18">
        <v>3564</v>
      </c>
      <c r="H25" s="18"/>
      <c r="I25" s="4" t="s">
        <v>875</v>
      </c>
    </row>
    <row r="26" spans="1:9" x14ac:dyDescent="0.4">
      <c r="A26" s="20" t="s">
        <v>815</v>
      </c>
      <c r="B26" s="17" t="s">
        <v>876</v>
      </c>
      <c r="C26" s="17" t="s">
        <v>773</v>
      </c>
      <c r="D26" s="17" t="s">
        <v>415</v>
      </c>
      <c r="E26" s="18">
        <v>1000</v>
      </c>
      <c r="F26" s="18">
        <v>1000</v>
      </c>
      <c r="G26" s="18"/>
      <c r="H26" s="18"/>
      <c r="I26" s="4" t="s">
        <v>877</v>
      </c>
    </row>
    <row r="27" spans="1:9" x14ac:dyDescent="0.4">
      <c r="A27" s="10" t="s">
        <v>7</v>
      </c>
      <c r="E27" s="1">
        <v>23958.85</v>
      </c>
      <c r="F27" s="1">
        <v>10000</v>
      </c>
      <c r="G27" s="1"/>
      <c r="H27" s="1"/>
      <c r="I27" t="s">
        <v>878</v>
      </c>
    </row>
    <row r="28" spans="1:9" x14ac:dyDescent="0.4">
      <c r="A28" s="10" t="s">
        <v>8</v>
      </c>
      <c r="E28" s="1">
        <v>539</v>
      </c>
      <c r="F28" s="1">
        <v>72654.290000000008</v>
      </c>
      <c r="G28" s="1"/>
      <c r="H2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1115-47DA-4C45-A6A1-B49E6C470D38}">
  <dimension ref="A1:C10"/>
  <sheetViews>
    <sheetView workbookViewId="0">
      <selection activeCell="B13" sqref="B13"/>
    </sheetView>
  </sheetViews>
  <sheetFormatPr defaultRowHeight="14.6" x14ac:dyDescent="0.4"/>
  <cols>
    <col min="1" max="1" width="20.84375" bestFit="1" customWidth="1"/>
    <col min="2" max="2" width="24.53515625" bestFit="1" customWidth="1"/>
    <col min="3" max="5" width="15.53515625" bestFit="1" customWidth="1"/>
  </cols>
  <sheetData>
    <row r="1" spans="1:3" x14ac:dyDescent="0.4">
      <c r="A1" s="9" t="s">
        <v>879</v>
      </c>
      <c r="B1" t="s">
        <v>880</v>
      </c>
    </row>
    <row r="2" spans="1:3" x14ac:dyDescent="0.4">
      <c r="A2" s="9" t="s">
        <v>309</v>
      </c>
      <c r="B2" t="s">
        <v>881</v>
      </c>
    </row>
    <row r="3" spans="1:3" x14ac:dyDescent="0.4">
      <c r="A3" s="9" t="s">
        <v>311</v>
      </c>
      <c r="B3" t="s">
        <v>880</v>
      </c>
    </row>
    <row r="4" spans="1:3" x14ac:dyDescent="0.4">
      <c r="A4" s="9" t="s">
        <v>843</v>
      </c>
      <c r="B4" t="s">
        <v>880</v>
      </c>
    </row>
    <row r="5" spans="1:3" x14ac:dyDescent="0.4">
      <c r="A5" s="9" t="s">
        <v>310</v>
      </c>
      <c r="B5" t="s">
        <v>316</v>
      </c>
    </row>
    <row r="7" spans="1:3" x14ac:dyDescent="0.4">
      <c r="A7" s="9" t="s">
        <v>308</v>
      </c>
      <c r="B7" s="9" t="s">
        <v>882</v>
      </c>
      <c r="C7" s="1" t="s">
        <v>313</v>
      </c>
    </row>
    <row r="8" spans="1:3" x14ac:dyDescent="0.4">
      <c r="A8" t="s">
        <v>12</v>
      </c>
      <c r="B8" t="s">
        <v>883</v>
      </c>
      <c r="C8" s="1">
        <v>10000</v>
      </c>
    </row>
    <row r="9" spans="1:3" x14ac:dyDescent="0.4">
      <c r="A9" t="s">
        <v>884</v>
      </c>
      <c r="C9" s="1">
        <v>10000</v>
      </c>
    </row>
    <row r="10" spans="1:3" x14ac:dyDescent="0.4">
      <c r="A10" t="s">
        <v>766</v>
      </c>
      <c r="C10" s="1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4823-DB4C-41A1-9735-1DA7AEF67BF8}">
  <dimension ref="A1:AA27"/>
  <sheetViews>
    <sheetView workbookViewId="0">
      <selection activeCell="E17" sqref="E17"/>
    </sheetView>
  </sheetViews>
  <sheetFormatPr defaultRowHeight="14.6" x14ac:dyDescent="0.4"/>
  <cols>
    <col min="1" max="1" width="31.3828125" bestFit="1" customWidth="1"/>
    <col min="2" max="2" width="6.84375" customWidth="1"/>
    <col min="3" max="3" width="11.15234375" bestFit="1" customWidth="1"/>
    <col min="4" max="4" width="4.84375" customWidth="1"/>
    <col min="5" max="5" width="10.15234375" bestFit="1" customWidth="1"/>
    <col min="6" max="6" width="7.15234375" customWidth="1"/>
    <col min="7" max="7" width="5.53515625" bestFit="1" customWidth="1"/>
    <col min="8" max="8" width="6" customWidth="1"/>
    <col min="9" max="9" width="5.53515625" bestFit="1" customWidth="1"/>
    <col min="10" max="10" width="5.53515625" customWidth="1"/>
    <col min="11" max="11" width="9.15234375" bestFit="1" customWidth="1"/>
    <col min="12" max="12" width="5.69140625" customWidth="1"/>
    <col min="13" max="13" width="5.53515625" bestFit="1" customWidth="1"/>
    <col min="14" max="14" width="5.3828125" customWidth="1"/>
    <col min="15" max="15" width="7.53515625" bestFit="1" customWidth="1"/>
    <col min="16" max="16" width="5.69140625" customWidth="1"/>
    <col min="17" max="17" width="5.53515625" bestFit="1" customWidth="1"/>
    <col min="18" max="18" width="6.3828125" customWidth="1"/>
    <col min="19" max="19" width="5.53515625" bestFit="1" customWidth="1"/>
    <col min="20" max="20" width="5.53515625" customWidth="1"/>
    <col min="21" max="21" width="5.53515625" bestFit="1" customWidth="1"/>
    <col min="22" max="22" width="6" customWidth="1"/>
    <col min="23" max="23" width="5.53515625" bestFit="1" customWidth="1"/>
    <col min="24" max="24" width="6.69140625" customWidth="1"/>
    <col min="25" max="25" width="5.53515625" bestFit="1" customWidth="1"/>
    <col min="26" max="26" width="6.53515625" customWidth="1"/>
    <col min="27" max="27" width="11.15234375" bestFit="1" customWidth="1"/>
  </cols>
  <sheetData>
    <row r="1" spans="1:27" x14ac:dyDescent="0.4">
      <c r="A1" s="43" t="s">
        <v>885</v>
      </c>
      <c r="B1" s="685" t="s">
        <v>886</v>
      </c>
      <c r="C1" s="686"/>
      <c r="D1" s="685" t="s">
        <v>887</v>
      </c>
      <c r="E1" s="686"/>
      <c r="F1" s="685" t="s">
        <v>888</v>
      </c>
      <c r="G1" s="686"/>
      <c r="H1" s="685" t="s">
        <v>889</v>
      </c>
      <c r="I1" s="686"/>
      <c r="J1" s="685" t="s">
        <v>119</v>
      </c>
      <c r="K1" s="686"/>
      <c r="L1" s="685" t="s">
        <v>5</v>
      </c>
      <c r="M1" s="686"/>
      <c r="N1" s="685" t="s">
        <v>337</v>
      </c>
      <c r="O1" s="686"/>
      <c r="P1" s="685" t="s">
        <v>890</v>
      </c>
      <c r="Q1" s="686"/>
      <c r="R1" s="685" t="s">
        <v>891</v>
      </c>
      <c r="S1" s="686"/>
      <c r="T1" s="685" t="s">
        <v>892</v>
      </c>
      <c r="U1" s="686"/>
      <c r="V1" s="685" t="s">
        <v>893</v>
      </c>
      <c r="W1" s="686"/>
      <c r="X1" s="685" t="s">
        <v>894</v>
      </c>
      <c r="Y1" s="686"/>
      <c r="Z1" s="685" t="s">
        <v>895</v>
      </c>
      <c r="AA1" s="687"/>
    </row>
    <row r="2" spans="1:27" x14ac:dyDescent="0.4">
      <c r="A2" s="60" t="s">
        <v>896</v>
      </c>
      <c r="B2" s="65" t="e">
        <f>COUNTIFS(#REF!,'Sales Campaign Overview'!$A2,#REF!,"open")</f>
        <v>#REF!</v>
      </c>
      <c r="C2" s="66" t="e">
        <f>SUMIFS(#REF!,#REF!,'Sales Campaign Overview'!$A2,#REF!,"open")</f>
        <v>#REF!</v>
      </c>
      <c r="D2" s="67" t="e">
        <f>COUNTIFS(#REF!,'Sales Campaign Overview'!$A2,#REF!,"open",#REF!,"1")</f>
        <v>#REF!</v>
      </c>
      <c r="E2" s="66" t="e">
        <f>SUMIFS(#REF!,#REF!,'Sales Campaign Overview'!$A2,#REF!,"open",#REF!,"1")</f>
        <v>#REF!</v>
      </c>
      <c r="F2" s="67" t="e">
        <f>COUNTIFS(#REF!,'Sales Campaign Overview'!$A2,#REF!,"open",#REF!,"2")</f>
        <v>#REF!</v>
      </c>
      <c r="G2" s="66" t="e">
        <f>SUMIFS(#REF!,#REF!,'Sales Campaign Overview'!$A2,#REF!,"open",#REF!,"2")</f>
        <v>#REF!</v>
      </c>
      <c r="H2" s="67" t="e">
        <f>COUNTIFS(#REF!,'Sales Campaign Overview'!$A2,#REF!,"open",#REF!,"3")</f>
        <v>#REF!</v>
      </c>
      <c r="I2" s="66" t="e">
        <f>SUMIFS(#REF!,#REF!,'Sales Campaign Overview'!$A2,#REF!,"open",#REF!,"3")</f>
        <v>#REF!</v>
      </c>
      <c r="J2" s="67" t="e">
        <f>COUNTIFS(#REF!,'Sales Campaign Overview'!$A2,#REF!,"open",#REF!,"4")</f>
        <v>#REF!</v>
      </c>
      <c r="K2" s="66" t="e">
        <f>SUMIFS(#REF!,#REF!,'Sales Campaign Overview'!$A2,#REF!,"open",#REF!,"4")</f>
        <v>#REF!</v>
      </c>
      <c r="L2" s="67" t="e">
        <f>COUNTIFS(#REF!,'Sales Campaign Overview'!$A2,#REF!,"open",#REF!,"5")</f>
        <v>#REF!</v>
      </c>
      <c r="M2" s="66" t="e">
        <f>SUMIFS(#REF!,#REF!,'Sales Campaign Overview'!$A2,#REF!,"open",#REF!,"5")</f>
        <v>#REF!</v>
      </c>
      <c r="N2" s="67" t="e">
        <f>COUNTIFS(#REF!,'Sales Campaign Overview'!$A2,#REF!,"open",#REF!,"6")</f>
        <v>#REF!</v>
      </c>
      <c r="O2" s="66" t="e">
        <f>SUMIFS(#REF!,#REF!,'Sales Campaign Overview'!$A2,#REF!,"open",#REF!,"6")</f>
        <v>#REF!</v>
      </c>
      <c r="P2" s="67" t="e">
        <f>COUNTIFS(#REF!,'Sales Campaign Overview'!$A2,#REF!,"open",#REF!,"7")</f>
        <v>#REF!</v>
      </c>
      <c r="Q2" s="66" t="e">
        <f>SUMIFS(#REF!,#REF!,'Sales Campaign Overview'!$A2,#REF!,"open",#REF!,"7")</f>
        <v>#REF!</v>
      </c>
      <c r="R2" s="67" t="e">
        <f>COUNTIFS(#REF!,'Sales Campaign Overview'!$A2,#REF!,"open",#REF!,"8")</f>
        <v>#REF!</v>
      </c>
      <c r="S2" s="66" t="e">
        <f>SUMIFS(#REF!,#REF!,'Sales Campaign Overview'!$A2,#REF!,"open",#REF!,"8")</f>
        <v>#REF!</v>
      </c>
      <c r="T2" s="67" t="e">
        <f>COUNTIFS(#REF!,'Sales Campaign Overview'!$A2,#REF!,"open",#REF!,"9")</f>
        <v>#REF!</v>
      </c>
      <c r="U2" s="66" t="e">
        <f>SUMIFS(#REF!,#REF!,'Sales Campaign Overview'!$A2,#REF!,"open",#REF!,"9")</f>
        <v>#REF!</v>
      </c>
      <c r="V2" s="67" t="e">
        <f>COUNTIFS(#REF!,'Sales Campaign Overview'!$A2,#REF!,"open",#REF!,"10")</f>
        <v>#REF!</v>
      </c>
      <c r="W2" s="66" t="e">
        <f>SUMIFS(#REF!,#REF!,'Sales Campaign Overview'!$A2,#REF!,"open",#REF!,"10")</f>
        <v>#REF!</v>
      </c>
      <c r="X2" s="67" t="e">
        <f>COUNTIFS(#REF!,'Sales Campaign Overview'!$A2,#REF!,"open",#REF!,"11")</f>
        <v>#REF!</v>
      </c>
      <c r="Y2" s="66" t="e">
        <f>SUMIFS(#REF!,#REF!,'Sales Campaign Overview'!$A2,#REF!,"open",#REF!,"11")</f>
        <v>#REF!</v>
      </c>
      <c r="Z2" s="67" t="e">
        <f>COUNTIFS(#REF!,'Sales Campaign Overview'!$A2,#REF!,"open",#REF!,"12")</f>
        <v>#REF!</v>
      </c>
      <c r="AA2" s="66" t="e">
        <f>SUMIFS(#REF!,#REF!,'Sales Campaign Overview'!$A2,#REF!,"open",#REF!,"12")</f>
        <v>#REF!</v>
      </c>
    </row>
    <row r="3" spans="1:27" x14ac:dyDescent="0.4">
      <c r="A3" s="60" t="s">
        <v>897</v>
      </c>
      <c r="B3" s="68" t="e">
        <f>COUNTIFS(#REF!,'Sales Campaign Overview'!$A3,#REF!,"open")</f>
        <v>#REF!</v>
      </c>
      <c r="C3" s="66" t="e">
        <f>SUMIFS(#REF!,#REF!,'Sales Campaign Overview'!$A3,#REF!,"open")</f>
        <v>#REF!</v>
      </c>
      <c r="D3" s="67" t="e">
        <f>COUNTIFS(#REF!,'Sales Campaign Overview'!$A3,#REF!,"open",#REF!,"1")</f>
        <v>#REF!</v>
      </c>
      <c r="E3" s="66" t="e">
        <f>SUMIFS(#REF!,#REF!,'Sales Campaign Overview'!$A3,#REF!,"open",#REF!,"1")</f>
        <v>#REF!</v>
      </c>
      <c r="F3" s="67" t="e">
        <f>COUNTIFS(#REF!,'Sales Campaign Overview'!$A3,#REF!,"open",#REF!,"2")</f>
        <v>#REF!</v>
      </c>
      <c r="G3" s="66" t="e">
        <f>SUMIFS(#REF!,#REF!,'Sales Campaign Overview'!$A3,#REF!,"open",#REF!,"2")</f>
        <v>#REF!</v>
      </c>
      <c r="H3" s="67" t="e">
        <f>COUNTIFS(#REF!,'Sales Campaign Overview'!$A3,#REF!,"open",#REF!,"3")</f>
        <v>#REF!</v>
      </c>
      <c r="I3" s="66" t="e">
        <f>SUMIFS(#REF!,#REF!,'Sales Campaign Overview'!$A3,#REF!,"open",#REF!,"3")</f>
        <v>#REF!</v>
      </c>
      <c r="J3" s="67" t="e">
        <f>COUNTIFS(#REF!,'Sales Campaign Overview'!$A3,#REF!,"open",#REF!,"4")</f>
        <v>#REF!</v>
      </c>
      <c r="K3" s="66" t="e">
        <f>SUMIFS(#REF!,#REF!,'Sales Campaign Overview'!$A3,#REF!,"open",#REF!,"4")</f>
        <v>#REF!</v>
      </c>
      <c r="L3" s="67" t="e">
        <f>COUNTIFS(#REF!,'Sales Campaign Overview'!$A3,#REF!,"open",#REF!,"5")</f>
        <v>#REF!</v>
      </c>
      <c r="M3" s="66" t="e">
        <f>SUMIFS(#REF!,#REF!,'Sales Campaign Overview'!$A3,#REF!,"open",#REF!,"5")</f>
        <v>#REF!</v>
      </c>
      <c r="N3" s="67" t="e">
        <f>COUNTIFS(#REF!,'Sales Campaign Overview'!$A3,#REF!,"open",#REF!,"6")</f>
        <v>#REF!</v>
      </c>
      <c r="O3" s="66" t="e">
        <f>SUMIFS(#REF!,#REF!,'Sales Campaign Overview'!$A3,#REF!,"open",#REF!,"6")</f>
        <v>#REF!</v>
      </c>
      <c r="P3" s="67" t="e">
        <f>COUNTIFS(#REF!,'Sales Campaign Overview'!$A3,#REF!,"open",#REF!,"7")</f>
        <v>#REF!</v>
      </c>
      <c r="Q3" s="66" t="e">
        <f>SUMIFS(#REF!,#REF!,'Sales Campaign Overview'!$A3,#REF!,"open",#REF!,"7")</f>
        <v>#REF!</v>
      </c>
      <c r="R3" s="67" t="e">
        <f>COUNTIFS(#REF!,'Sales Campaign Overview'!$A3,#REF!,"open",#REF!,"8")</f>
        <v>#REF!</v>
      </c>
      <c r="S3" s="66" t="e">
        <f>SUMIFS(#REF!,#REF!,'Sales Campaign Overview'!$A3,#REF!,"open",#REF!,"8")</f>
        <v>#REF!</v>
      </c>
      <c r="T3" s="67" t="e">
        <f>COUNTIFS(#REF!,'Sales Campaign Overview'!$A3,#REF!,"open",#REF!,"9")</f>
        <v>#REF!</v>
      </c>
      <c r="U3" s="66" t="e">
        <f>SUMIFS(#REF!,#REF!,'Sales Campaign Overview'!$A3,#REF!,"open",#REF!,"9")</f>
        <v>#REF!</v>
      </c>
      <c r="V3" s="67" t="e">
        <f>COUNTIFS(#REF!,'Sales Campaign Overview'!$A3,#REF!,"open",#REF!,"10")</f>
        <v>#REF!</v>
      </c>
      <c r="W3" s="66" t="e">
        <f>SUMIFS(#REF!,#REF!,'Sales Campaign Overview'!$A3,#REF!,"open",#REF!,"10")</f>
        <v>#REF!</v>
      </c>
      <c r="X3" s="67" t="e">
        <f>COUNTIFS(#REF!,'Sales Campaign Overview'!$A3,#REF!,"open",#REF!,"11")</f>
        <v>#REF!</v>
      </c>
      <c r="Y3" s="66" t="e">
        <f>SUMIFS(#REF!,#REF!,'Sales Campaign Overview'!$A3,#REF!,"open",#REF!,"11")</f>
        <v>#REF!</v>
      </c>
      <c r="Z3" s="67" t="e">
        <f>COUNTIFS(#REF!,'Sales Campaign Overview'!$A3,#REF!,"open",#REF!,"12")</f>
        <v>#REF!</v>
      </c>
      <c r="AA3" s="66" t="e">
        <f>SUMIFS(#REF!,#REF!,'Sales Campaign Overview'!$A3,#REF!,"open",#REF!,"12")</f>
        <v>#REF!</v>
      </c>
    </row>
    <row r="4" spans="1:27" x14ac:dyDescent="0.4">
      <c r="A4" s="60" t="s">
        <v>898</v>
      </c>
      <c r="B4" s="68" t="e">
        <f>COUNTIFS(#REF!,'Sales Campaign Overview'!$A4,#REF!,"open")</f>
        <v>#REF!</v>
      </c>
      <c r="C4" s="66" t="e">
        <f>SUMIFS(#REF!,#REF!,'Sales Campaign Overview'!$A4,#REF!,"open")</f>
        <v>#REF!</v>
      </c>
      <c r="D4" s="67" t="e">
        <f>COUNTIFS(#REF!,'Sales Campaign Overview'!$A4,#REF!,"open",#REF!,"1")</f>
        <v>#REF!</v>
      </c>
      <c r="E4" s="66" t="e">
        <f>SUMIFS(#REF!,#REF!,'Sales Campaign Overview'!$A4,#REF!,"open",#REF!,"1")</f>
        <v>#REF!</v>
      </c>
      <c r="F4" s="67" t="e">
        <f>COUNTIFS(#REF!,'Sales Campaign Overview'!$A4,#REF!,"open",#REF!,"2")</f>
        <v>#REF!</v>
      </c>
      <c r="G4" s="66" t="e">
        <f>SUMIFS(#REF!,#REF!,'Sales Campaign Overview'!$A4,#REF!,"open",#REF!,"2")</f>
        <v>#REF!</v>
      </c>
      <c r="H4" s="67" t="e">
        <f>COUNTIFS(#REF!,'Sales Campaign Overview'!$A4,#REF!,"open",#REF!,"3")</f>
        <v>#REF!</v>
      </c>
      <c r="I4" s="66" t="e">
        <f>SUMIFS(#REF!,#REF!,'Sales Campaign Overview'!$A4,#REF!,"open",#REF!,"3")</f>
        <v>#REF!</v>
      </c>
      <c r="J4" s="67" t="e">
        <f>COUNTIFS(#REF!,'Sales Campaign Overview'!$A4,#REF!,"open",#REF!,"4")</f>
        <v>#REF!</v>
      </c>
      <c r="K4" s="66" t="e">
        <f>SUMIFS(#REF!,#REF!,'Sales Campaign Overview'!$A4,#REF!,"open",#REF!,"4")</f>
        <v>#REF!</v>
      </c>
      <c r="L4" s="67" t="e">
        <f>COUNTIFS(#REF!,'Sales Campaign Overview'!$A4,#REF!,"open",#REF!,"5")</f>
        <v>#REF!</v>
      </c>
      <c r="M4" s="66" t="e">
        <f>SUMIFS(#REF!,#REF!,'Sales Campaign Overview'!$A4,#REF!,"open",#REF!,"5")</f>
        <v>#REF!</v>
      </c>
      <c r="N4" s="67" t="e">
        <f>COUNTIFS(#REF!,'Sales Campaign Overview'!$A4,#REF!,"open",#REF!,"6")</f>
        <v>#REF!</v>
      </c>
      <c r="O4" s="66" t="e">
        <f>SUMIFS(#REF!,#REF!,'Sales Campaign Overview'!$A4,#REF!,"open",#REF!,"6")</f>
        <v>#REF!</v>
      </c>
      <c r="P4" s="67" t="e">
        <f>COUNTIFS(#REF!,'Sales Campaign Overview'!$A4,#REF!,"open",#REF!,"7")</f>
        <v>#REF!</v>
      </c>
      <c r="Q4" s="66" t="e">
        <f>SUMIFS(#REF!,#REF!,'Sales Campaign Overview'!$A4,#REF!,"open",#REF!,"7")</f>
        <v>#REF!</v>
      </c>
      <c r="R4" s="67" t="e">
        <f>COUNTIFS(#REF!,'Sales Campaign Overview'!$A4,#REF!,"open",#REF!,"8")</f>
        <v>#REF!</v>
      </c>
      <c r="S4" s="66" t="e">
        <f>SUMIFS(#REF!,#REF!,'Sales Campaign Overview'!$A4,#REF!,"open",#REF!,"8")</f>
        <v>#REF!</v>
      </c>
      <c r="T4" s="67" t="e">
        <f>COUNTIFS(#REF!,'Sales Campaign Overview'!$A4,#REF!,"open",#REF!,"9")</f>
        <v>#REF!</v>
      </c>
      <c r="U4" s="66" t="e">
        <f>SUMIFS(#REF!,#REF!,'Sales Campaign Overview'!$A4,#REF!,"open",#REF!,"9")</f>
        <v>#REF!</v>
      </c>
      <c r="V4" s="67" t="e">
        <f>COUNTIFS(#REF!,'Sales Campaign Overview'!$A4,#REF!,"open",#REF!,"10")</f>
        <v>#REF!</v>
      </c>
      <c r="W4" s="66" t="e">
        <f>SUMIFS(#REF!,#REF!,'Sales Campaign Overview'!$A4,#REF!,"open",#REF!,"10")</f>
        <v>#REF!</v>
      </c>
      <c r="X4" s="67" t="e">
        <f>COUNTIFS(#REF!,'Sales Campaign Overview'!$A4,#REF!,"open",#REF!,"11")</f>
        <v>#REF!</v>
      </c>
      <c r="Y4" s="66" t="e">
        <f>SUMIFS(#REF!,#REF!,'Sales Campaign Overview'!$A4,#REF!,"open",#REF!,"11")</f>
        <v>#REF!</v>
      </c>
      <c r="Z4" s="67" t="e">
        <f>COUNTIFS(#REF!,'Sales Campaign Overview'!$A4,#REF!,"open",#REF!,"12")</f>
        <v>#REF!</v>
      </c>
      <c r="AA4" s="66" t="e">
        <f>SUMIFS(#REF!,#REF!,'Sales Campaign Overview'!$A4,#REF!,"open",#REF!,"12")</f>
        <v>#REF!</v>
      </c>
    </row>
    <row r="5" spans="1:27" x14ac:dyDescent="0.4">
      <c r="A5" s="60" t="s">
        <v>899</v>
      </c>
      <c r="B5" s="68" t="e">
        <f>COUNTIFS(#REF!,'Sales Campaign Overview'!$A5,#REF!,"open")</f>
        <v>#REF!</v>
      </c>
      <c r="C5" s="66" t="e">
        <f>SUMIFS(#REF!,#REF!,'Sales Campaign Overview'!$A5,#REF!,"open")</f>
        <v>#REF!</v>
      </c>
      <c r="D5" s="67" t="e">
        <f>COUNTIFS(#REF!,'Sales Campaign Overview'!$A5,#REF!,"open",#REF!,"1")</f>
        <v>#REF!</v>
      </c>
      <c r="E5" s="66" t="e">
        <f>SUMIFS(#REF!,#REF!,'Sales Campaign Overview'!$A5,#REF!,"open",#REF!,"1")</f>
        <v>#REF!</v>
      </c>
      <c r="F5" s="67" t="e">
        <f>COUNTIFS(#REF!,'Sales Campaign Overview'!$A5,#REF!,"open",#REF!,"2")</f>
        <v>#REF!</v>
      </c>
      <c r="G5" s="66" t="e">
        <f>SUMIFS(#REF!,#REF!,'Sales Campaign Overview'!$A5,#REF!,"open",#REF!,"2")</f>
        <v>#REF!</v>
      </c>
      <c r="H5" s="67" t="e">
        <f>COUNTIFS(#REF!,'Sales Campaign Overview'!$A5,#REF!,"open",#REF!,"3")</f>
        <v>#REF!</v>
      </c>
      <c r="I5" s="66" t="e">
        <f>SUMIFS(#REF!,#REF!,'Sales Campaign Overview'!$A5,#REF!,"open",#REF!,"3")</f>
        <v>#REF!</v>
      </c>
      <c r="J5" s="67" t="e">
        <f>COUNTIFS(#REF!,'Sales Campaign Overview'!$A5,#REF!,"open",#REF!,"4")</f>
        <v>#REF!</v>
      </c>
      <c r="K5" s="66" t="e">
        <f>SUMIFS(#REF!,#REF!,'Sales Campaign Overview'!$A5,#REF!,"open",#REF!,"4")</f>
        <v>#REF!</v>
      </c>
      <c r="L5" s="67" t="e">
        <f>COUNTIFS(#REF!,'Sales Campaign Overview'!$A5,#REF!,"open",#REF!,"5")</f>
        <v>#REF!</v>
      </c>
      <c r="M5" s="66" t="e">
        <f>SUMIFS(#REF!,#REF!,'Sales Campaign Overview'!$A5,#REF!,"open",#REF!,"5")</f>
        <v>#REF!</v>
      </c>
      <c r="N5" s="67" t="e">
        <f>COUNTIFS(#REF!,'Sales Campaign Overview'!$A5,#REF!,"open",#REF!,"6")</f>
        <v>#REF!</v>
      </c>
      <c r="O5" s="66" t="e">
        <f>SUMIFS(#REF!,#REF!,'Sales Campaign Overview'!$A5,#REF!,"open",#REF!,"6")</f>
        <v>#REF!</v>
      </c>
      <c r="P5" s="67" t="e">
        <f>COUNTIFS(#REF!,'Sales Campaign Overview'!$A5,#REF!,"open",#REF!,"7")</f>
        <v>#REF!</v>
      </c>
      <c r="Q5" s="66" t="e">
        <f>SUMIFS(#REF!,#REF!,'Sales Campaign Overview'!$A5,#REF!,"open",#REF!,"7")</f>
        <v>#REF!</v>
      </c>
      <c r="R5" s="67" t="e">
        <f>COUNTIFS(#REF!,'Sales Campaign Overview'!$A5,#REF!,"open",#REF!,"8")</f>
        <v>#REF!</v>
      </c>
      <c r="S5" s="66" t="e">
        <f>SUMIFS(#REF!,#REF!,'Sales Campaign Overview'!$A5,#REF!,"open",#REF!,"8")</f>
        <v>#REF!</v>
      </c>
      <c r="T5" s="67" t="e">
        <f>COUNTIFS(#REF!,'Sales Campaign Overview'!$A5,#REF!,"open",#REF!,"9")</f>
        <v>#REF!</v>
      </c>
      <c r="U5" s="66" t="e">
        <f>SUMIFS(#REF!,#REF!,'Sales Campaign Overview'!$A5,#REF!,"open",#REF!,"9")</f>
        <v>#REF!</v>
      </c>
      <c r="V5" s="67" t="e">
        <f>COUNTIFS(#REF!,'Sales Campaign Overview'!$A5,#REF!,"open",#REF!,"10")</f>
        <v>#REF!</v>
      </c>
      <c r="W5" s="66" t="e">
        <f>SUMIFS(#REF!,#REF!,'Sales Campaign Overview'!$A5,#REF!,"open",#REF!,"10")</f>
        <v>#REF!</v>
      </c>
      <c r="X5" s="67" t="e">
        <f>COUNTIFS(#REF!,'Sales Campaign Overview'!$A5,#REF!,"open",#REF!,"11")</f>
        <v>#REF!</v>
      </c>
      <c r="Y5" s="66" t="e">
        <f>SUMIFS(#REF!,#REF!,'Sales Campaign Overview'!$A5,#REF!,"open",#REF!,"11")</f>
        <v>#REF!</v>
      </c>
      <c r="Z5" s="67" t="e">
        <f>COUNTIFS(#REF!,'Sales Campaign Overview'!$A5,#REF!,"open",#REF!,"12")</f>
        <v>#REF!</v>
      </c>
      <c r="AA5" s="66" t="e">
        <f>SUMIFS(#REF!,#REF!,'Sales Campaign Overview'!$A5,#REF!,"open",#REF!,"12")</f>
        <v>#REF!</v>
      </c>
    </row>
    <row r="6" spans="1:27" x14ac:dyDescent="0.4">
      <c r="A6" s="60" t="s">
        <v>900</v>
      </c>
      <c r="B6" s="68" t="e">
        <f>COUNTIFS(#REF!,'Sales Campaign Overview'!$A6,#REF!,"open")</f>
        <v>#REF!</v>
      </c>
      <c r="C6" s="66" t="e">
        <f>SUMIFS(#REF!,#REF!,'Sales Campaign Overview'!$A6,#REF!,"open")</f>
        <v>#REF!</v>
      </c>
      <c r="D6" s="67" t="e">
        <f>COUNTIFS(#REF!,'Sales Campaign Overview'!$A6,#REF!,"open",#REF!,"1")</f>
        <v>#REF!</v>
      </c>
      <c r="E6" s="66" t="e">
        <f>SUMIFS(#REF!,#REF!,'Sales Campaign Overview'!$A6,#REF!,"open",#REF!,"1")</f>
        <v>#REF!</v>
      </c>
      <c r="F6" s="67" t="e">
        <f>COUNTIFS(#REF!,'Sales Campaign Overview'!$A6,#REF!,"open",#REF!,"2")</f>
        <v>#REF!</v>
      </c>
      <c r="G6" s="66" t="e">
        <f>SUMIFS(#REF!,#REF!,'Sales Campaign Overview'!$A6,#REF!,"open",#REF!,"2")</f>
        <v>#REF!</v>
      </c>
      <c r="H6" s="67" t="e">
        <f>COUNTIFS(#REF!,'Sales Campaign Overview'!$A6,#REF!,"open",#REF!,"3")</f>
        <v>#REF!</v>
      </c>
      <c r="I6" s="66" t="e">
        <f>SUMIFS(#REF!,#REF!,'Sales Campaign Overview'!$A6,#REF!,"open",#REF!,"3")</f>
        <v>#REF!</v>
      </c>
      <c r="J6" s="67" t="e">
        <f>COUNTIFS(#REF!,'Sales Campaign Overview'!$A6,#REF!,"open",#REF!,"4")</f>
        <v>#REF!</v>
      </c>
      <c r="K6" s="66" t="e">
        <f>SUMIFS(#REF!,#REF!,'Sales Campaign Overview'!$A6,#REF!,"open",#REF!,"4")</f>
        <v>#REF!</v>
      </c>
      <c r="L6" s="67" t="e">
        <f>COUNTIFS(#REF!,'Sales Campaign Overview'!$A6,#REF!,"open",#REF!,"5")</f>
        <v>#REF!</v>
      </c>
      <c r="M6" s="66" t="e">
        <f>SUMIFS(#REF!,#REF!,'Sales Campaign Overview'!$A6,#REF!,"open",#REF!,"5")</f>
        <v>#REF!</v>
      </c>
      <c r="N6" s="67" t="e">
        <f>COUNTIFS(#REF!,'Sales Campaign Overview'!$A6,#REF!,"open",#REF!,"6")</f>
        <v>#REF!</v>
      </c>
      <c r="O6" s="66" t="e">
        <f>SUMIFS(#REF!,#REF!,'Sales Campaign Overview'!$A6,#REF!,"open",#REF!,"6")</f>
        <v>#REF!</v>
      </c>
      <c r="P6" s="67" t="e">
        <f>COUNTIFS(#REF!,'Sales Campaign Overview'!$A6,#REF!,"open",#REF!,"7")</f>
        <v>#REF!</v>
      </c>
      <c r="Q6" s="66" t="e">
        <f>SUMIFS(#REF!,#REF!,'Sales Campaign Overview'!$A6,#REF!,"open",#REF!,"7")</f>
        <v>#REF!</v>
      </c>
      <c r="R6" s="67" t="e">
        <f>COUNTIFS(#REF!,'Sales Campaign Overview'!$A6,#REF!,"open",#REF!,"8")</f>
        <v>#REF!</v>
      </c>
      <c r="S6" s="66" t="e">
        <f>SUMIFS(#REF!,#REF!,'Sales Campaign Overview'!$A6,#REF!,"open",#REF!,"8")</f>
        <v>#REF!</v>
      </c>
      <c r="T6" s="67" t="e">
        <f>COUNTIFS(#REF!,'Sales Campaign Overview'!$A6,#REF!,"open",#REF!,"9")</f>
        <v>#REF!</v>
      </c>
      <c r="U6" s="66" t="e">
        <f>SUMIFS(#REF!,#REF!,'Sales Campaign Overview'!$A6,#REF!,"open",#REF!,"9")</f>
        <v>#REF!</v>
      </c>
      <c r="V6" s="67" t="e">
        <f>COUNTIFS(#REF!,'Sales Campaign Overview'!$A6,#REF!,"open",#REF!,"10")</f>
        <v>#REF!</v>
      </c>
      <c r="W6" s="66" t="e">
        <f>SUMIFS(#REF!,#REF!,'Sales Campaign Overview'!$A6,#REF!,"open",#REF!,"10")</f>
        <v>#REF!</v>
      </c>
      <c r="X6" s="67" t="e">
        <f>COUNTIFS(#REF!,'Sales Campaign Overview'!$A6,#REF!,"open",#REF!,"11")</f>
        <v>#REF!</v>
      </c>
      <c r="Y6" s="66" t="e">
        <f>SUMIFS(#REF!,#REF!,'Sales Campaign Overview'!$A6,#REF!,"open",#REF!,"11")</f>
        <v>#REF!</v>
      </c>
      <c r="Z6" s="67" t="e">
        <f>COUNTIFS(#REF!,'Sales Campaign Overview'!$A6,#REF!,"open",#REF!,"12")</f>
        <v>#REF!</v>
      </c>
      <c r="AA6" s="66" t="e">
        <f>SUMIFS(#REF!,#REF!,'Sales Campaign Overview'!$A6,#REF!,"open",#REF!,"12")</f>
        <v>#REF!</v>
      </c>
    </row>
    <row r="7" spans="1:27" x14ac:dyDescent="0.4">
      <c r="A7" s="60" t="s">
        <v>901</v>
      </c>
      <c r="B7" s="68" t="e">
        <f>COUNTIFS(#REF!,'Sales Campaign Overview'!$A7,#REF!,"open")</f>
        <v>#REF!</v>
      </c>
      <c r="C7" s="66" t="e">
        <f>SUMIFS(#REF!,#REF!,'Sales Campaign Overview'!$A7,#REF!,"open")</f>
        <v>#REF!</v>
      </c>
      <c r="D7" s="67" t="e">
        <f>COUNTIFS(#REF!,'Sales Campaign Overview'!$A7,#REF!,"open",#REF!,"1")</f>
        <v>#REF!</v>
      </c>
      <c r="E7" s="66" t="e">
        <f>SUMIFS(#REF!,#REF!,'Sales Campaign Overview'!$A7,#REF!,"open",#REF!,"1")</f>
        <v>#REF!</v>
      </c>
      <c r="F7" s="67" t="e">
        <f>COUNTIFS(#REF!,'Sales Campaign Overview'!#REF!,#REF!,"open",#REF!,"2")</f>
        <v>#REF!</v>
      </c>
      <c r="G7" s="66" t="e">
        <f>SUMIFS(#REF!,#REF!,'Sales Campaign Overview'!$A7,#REF!,"open",#REF!,"2")</f>
        <v>#REF!</v>
      </c>
      <c r="H7" s="67" t="e">
        <f>COUNTIFS(#REF!,'Sales Campaign Overview'!$A7,#REF!,"open",#REF!,"3")</f>
        <v>#REF!</v>
      </c>
      <c r="I7" s="66" t="e">
        <f>SUMIFS(#REF!,#REF!,'Sales Campaign Overview'!$A7,#REF!,"open",#REF!,"3")</f>
        <v>#REF!</v>
      </c>
      <c r="J7" s="67" t="e">
        <f>COUNTIFS(#REF!,'Sales Campaign Overview'!$A7,#REF!,"open",#REF!,"4")</f>
        <v>#REF!</v>
      </c>
      <c r="K7" s="66" t="e">
        <f>SUMIFS(#REF!,#REF!,'Sales Campaign Overview'!$A7,#REF!,"open",#REF!,"4")</f>
        <v>#REF!</v>
      </c>
      <c r="L7" s="67" t="e">
        <f>COUNTIFS(#REF!,'Sales Campaign Overview'!$A7,#REF!,"open",#REF!,"5")</f>
        <v>#REF!</v>
      </c>
      <c r="M7" s="66" t="e">
        <f>SUMIFS(#REF!,#REF!,'Sales Campaign Overview'!$A7,#REF!,"open",#REF!,"5")</f>
        <v>#REF!</v>
      </c>
      <c r="N7" s="67" t="e">
        <f>COUNTIFS(#REF!,'Sales Campaign Overview'!$A7,#REF!,"open",#REF!,"6")</f>
        <v>#REF!</v>
      </c>
      <c r="O7" s="66" t="e">
        <f>SUMIFS(#REF!,#REF!,'Sales Campaign Overview'!$A7,#REF!,"open",#REF!,"6")</f>
        <v>#REF!</v>
      </c>
      <c r="P7" s="67" t="e">
        <f>COUNTIFS(#REF!,'Sales Campaign Overview'!$A7,#REF!,"open",#REF!,"7")</f>
        <v>#REF!</v>
      </c>
      <c r="Q7" s="66" t="e">
        <f>SUMIFS(#REF!,#REF!,'Sales Campaign Overview'!$A7,#REF!,"open",#REF!,"7")</f>
        <v>#REF!</v>
      </c>
      <c r="R7" s="67" t="e">
        <f>COUNTIFS(#REF!,'Sales Campaign Overview'!$A7,#REF!,"open",#REF!,"8")</f>
        <v>#REF!</v>
      </c>
      <c r="S7" s="66" t="e">
        <f>SUMIFS(#REF!,#REF!,'Sales Campaign Overview'!$A7,#REF!,"open",#REF!,"8")</f>
        <v>#REF!</v>
      </c>
      <c r="T7" s="67" t="e">
        <f>COUNTIFS(#REF!,'Sales Campaign Overview'!$A7,#REF!,"open",#REF!,"9")</f>
        <v>#REF!</v>
      </c>
      <c r="U7" s="66" t="e">
        <f>SUMIFS(#REF!,#REF!,'Sales Campaign Overview'!$A7,#REF!,"open",#REF!,"9")</f>
        <v>#REF!</v>
      </c>
      <c r="V7" s="67" t="e">
        <f>COUNTIFS(#REF!,'Sales Campaign Overview'!$A7,#REF!,"open",#REF!,"10")</f>
        <v>#REF!</v>
      </c>
      <c r="W7" s="66" t="e">
        <f>SUMIFS(#REF!,#REF!,'Sales Campaign Overview'!$A7,#REF!,"open",#REF!,"10")</f>
        <v>#REF!</v>
      </c>
      <c r="X7" s="67" t="e">
        <f>COUNTIFS(#REF!,'Sales Campaign Overview'!$A7,#REF!,"open",#REF!,"11")</f>
        <v>#REF!</v>
      </c>
      <c r="Y7" s="66" t="e">
        <f>SUMIFS(#REF!,#REF!,'Sales Campaign Overview'!$A7,#REF!,"open",#REF!,"11")</f>
        <v>#REF!</v>
      </c>
      <c r="Z7" s="67" t="e">
        <f>COUNTIFS(#REF!,'Sales Campaign Overview'!$A7,#REF!,"open",#REF!,"12")</f>
        <v>#REF!</v>
      </c>
      <c r="AA7" s="66" t="e">
        <f>SUMIFS(#REF!,#REF!,'Sales Campaign Overview'!$A7,#REF!,"open",#REF!,"12")</f>
        <v>#REF!</v>
      </c>
    </row>
    <row r="8" spans="1:27" x14ac:dyDescent="0.4">
      <c r="A8" s="60" t="s">
        <v>902</v>
      </c>
      <c r="B8" s="68" t="e">
        <f>COUNTIFS(#REF!,'Sales Campaign Overview'!$A8,#REF!,"open")</f>
        <v>#REF!</v>
      </c>
      <c r="C8" s="66" t="e">
        <f>SUMIFS(#REF!,#REF!,'Sales Campaign Overview'!$A8,#REF!,"open")</f>
        <v>#REF!</v>
      </c>
      <c r="D8" s="67" t="e">
        <f>COUNTIFS(#REF!,'Sales Campaign Overview'!$A8,#REF!,"open",#REF!,"1")</f>
        <v>#REF!</v>
      </c>
      <c r="E8" s="66" t="e">
        <f>SUMIFS(#REF!,#REF!,'Sales Campaign Overview'!$A8,#REF!,"open",#REF!,"1")</f>
        <v>#REF!</v>
      </c>
      <c r="F8" s="67" t="e">
        <f>COUNTIFS(#REF!,'Sales Campaign Overview'!$A8,#REF!,"open",#REF!,"2")</f>
        <v>#REF!</v>
      </c>
      <c r="G8" s="66" t="e">
        <f>SUMIFS(#REF!,#REF!,'Sales Campaign Overview'!$A8,#REF!,"open",#REF!,"2")</f>
        <v>#REF!</v>
      </c>
      <c r="H8" s="67" t="e">
        <f>COUNTIFS(#REF!,'Sales Campaign Overview'!$A8,#REF!,"open",#REF!,"3")</f>
        <v>#REF!</v>
      </c>
      <c r="I8" s="66" t="e">
        <f>SUMIFS(#REF!,#REF!,'Sales Campaign Overview'!$A8,#REF!,"open",#REF!,"3")</f>
        <v>#REF!</v>
      </c>
      <c r="J8" s="67" t="e">
        <f>COUNTIFS(#REF!,'Sales Campaign Overview'!$A8,#REF!,"open",#REF!,"4")</f>
        <v>#REF!</v>
      </c>
      <c r="K8" s="66" t="e">
        <f>SUMIFS(#REF!,#REF!,'Sales Campaign Overview'!$A8,#REF!,"open",#REF!,"4")</f>
        <v>#REF!</v>
      </c>
      <c r="L8" s="67" t="e">
        <f>COUNTIFS(#REF!,'Sales Campaign Overview'!$A8,#REF!,"open",#REF!,"5")</f>
        <v>#REF!</v>
      </c>
      <c r="M8" s="66" t="e">
        <f>SUMIFS(#REF!,#REF!,'Sales Campaign Overview'!$A8,#REF!,"open",#REF!,"5")</f>
        <v>#REF!</v>
      </c>
      <c r="N8" s="67" t="e">
        <f>COUNTIFS(#REF!,'Sales Campaign Overview'!$A8,#REF!,"open",#REF!,"6")</f>
        <v>#REF!</v>
      </c>
      <c r="O8" s="66" t="e">
        <f>SUMIFS(#REF!,#REF!,'Sales Campaign Overview'!$A8,#REF!,"open",#REF!,"6")</f>
        <v>#REF!</v>
      </c>
      <c r="P8" s="67" t="e">
        <f>COUNTIFS(#REF!,'Sales Campaign Overview'!$A8,#REF!,"open",#REF!,"7")</f>
        <v>#REF!</v>
      </c>
      <c r="Q8" s="66" t="e">
        <f>SUMIFS(#REF!,#REF!,'Sales Campaign Overview'!$A8,#REF!,"open",#REF!,"7")</f>
        <v>#REF!</v>
      </c>
      <c r="R8" s="67" t="e">
        <f>COUNTIFS(#REF!,'Sales Campaign Overview'!$A8,#REF!,"open",#REF!,"8")</f>
        <v>#REF!</v>
      </c>
      <c r="S8" s="66" t="e">
        <f>SUMIFS(#REF!,#REF!,'Sales Campaign Overview'!$A8,#REF!,"open",#REF!,"8")</f>
        <v>#REF!</v>
      </c>
      <c r="T8" s="67" t="e">
        <f>COUNTIFS(#REF!,'Sales Campaign Overview'!$A8,#REF!,"open",#REF!,"9")</f>
        <v>#REF!</v>
      </c>
      <c r="U8" s="66" t="e">
        <f>SUMIFS(#REF!,#REF!,'Sales Campaign Overview'!$A8,#REF!,"open",#REF!,"9")</f>
        <v>#REF!</v>
      </c>
      <c r="V8" s="67" t="e">
        <f>COUNTIFS(#REF!,'Sales Campaign Overview'!$A8,#REF!,"open",#REF!,"10")</f>
        <v>#REF!</v>
      </c>
      <c r="W8" s="66" t="e">
        <f>SUMIFS(#REF!,#REF!,'Sales Campaign Overview'!$A8,#REF!,"open",#REF!,"10")</f>
        <v>#REF!</v>
      </c>
      <c r="X8" s="67" t="e">
        <f>COUNTIFS(#REF!,'Sales Campaign Overview'!$A8,#REF!,"open",#REF!,"11")</f>
        <v>#REF!</v>
      </c>
      <c r="Y8" s="66" t="e">
        <f>SUMIFS(#REF!,#REF!,'Sales Campaign Overview'!$A8,#REF!,"open",#REF!,"11")</f>
        <v>#REF!</v>
      </c>
      <c r="Z8" s="67" t="e">
        <f>COUNTIFS(#REF!,'Sales Campaign Overview'!$A8,#REF!,"open",#REF!,"12")</f>
        <v>#REF!</v>
      </c>
      <c r="AA8" s="66" t="e">
        <f>SUMIFS(#REF!,#REF!,'Sales Campaign Overview'!$A8,#REF!,"open",#REF!,"12")</f>
        <v>#REF!</v>
      </c>
    </row>
    <row r="9" spans="1:27" x14ac:dyDescent="0.4">
      <c r="A9" s="60" t="s">
        <v>903</v>
      </c>
      <c r="B9" s="68" t="e">
        <f>COUNTIFS(#REF!,'Sales Campaign Overview'!$A9,#REF!,"open")</f>
        <v>#REF!</v>
      </c>
      <c r="C9" s="66" t="e">
        <f>SUMIFS(#REF!,#REF!,'Sales Campaign Overview'!$A9,#REF!,"open")</f>
        <v>#REF!</v>
      </c>
      <c r="D9" s="67" t="e">
        <f>COUNTIFS(#REF!,'Sales Campaign Overview'!$A9,#REF!,"open",#REF!,"1")</f>
        <v>#REF!</v>
      </c>
      <c r="E9" s="66" t="e">
        <f>SUMIFS(#REF!,#REF!,'Sales Campaign Overview'!$A9,#REF!,"open",#REF!,"1")</f>
        <v>#REF!</v>
      </c>
      <c r="F9" s="67" t="e">
        <f>COUNTIFS(#REF!,'Sales Campaign Overview'!$A9,#REF!,"open",#REF!,"2")</f>
        <v>#REF!</v>
      </c>
      <c r="G9" s="66" t="e">
        <f>SUMIFS(#REF!,#REF!,'Sales Campaign Overview'!$A9,#REF!,"open",#REF!,"2")</f>
        <v>#REF!</v>
      </c>
      <c r="H9" s="67" t="e">
        <f>COUNTIFS(#REF!,'Sales Campaign Overview'!$A9,#REF!,"open",#REF!,"3")</f>
        <v>#REF!</v>
      </c>
      <c r="I9" s="66" t="e">
        <f>SUMIFS(#REF!,#REF!,'Sales Campaign Overview'!$A9,#REF!,"open",#REF!,"3")</f>
        <v>#REF!</v>
      </c>
      <c r="J9" s="67" t="e">
        <f>COUNTIFS(#REF!,'Sales Campaign Overview'!$A9,#REF!,"open",#REF!,"4")</f>
        <v>#REF!</v>
      </c>
      <c r="K9" s="66" t="e">
        <f>SUMIFS(#REF!,#REF!,'Sales Campaign Overview'!$A9,#REF!,"open",#REF!,"4")</f>
        <v>#REF!</v>
      </c>
      <c r="L9" s="67" t="e">
        <f>COUNTIFS(#REF!,'Sales Campaign Overview'!$A9,#REF!,"open",#REF!,"5")</f>
        <v>#REF!</v>
      </c>
      <c r="M9" s="66" t="e">
        <f>SUMIFS(#REF!,#REF!,'Sales Campaign Overview'!$A9,#REF!,"open",#REF!,"5")</f>
        <v>#REF!</v>
      </c>
      <c r="N9" s="67" t="e">
        <f>COUNTIFS(#REF!,'Sales Campaign Overview'!$A9,#REF!,"open",#REF!,"6")</f>
        <v>#REF!</v>
      </c>
      <c r="O9" s="66" t="e">
        <f>SUMIFS(#REF!,#REF!,'Sales Campaign Overview'!$A9,#REF!,"open",#REF!,"6")</f>
        <v>#REF!</v>
      </c>
      <c r="P9" s="67" t="e">
        <f>COUNTIFS(#REF!,'Sales Campaign Overview'!$A9,#REF!,"open",#REF!,"7")</f>
        <v>#REF!</v>
      </c>
      <c r="Q9" s="66" t="e">
        <f>SUMIFS(#REF!,#REF!,'Sales Campaign Overview'!$A9,#REF!,"open",#REF!,"7")</f>
        <v>#REF!</v>
      </c>
      <c r="R9" s="67" t="e">
        <f>COUNTIFS(#REF!,'Sales Campaign Overview'!$A9,#REF!,"open",#REF!,"8")</f>
        <v>#REF!</v>
      </c>
      <c r="S9" s="66" t="e">
        <f>SUMIFS(#REF!,#REF!,'Sales Campaign Overview'!$A9,#REF!,"open",#REF!,"8")</f>
        <v>#REF!</v>
      </c>
      <c r="T9" s="67" t="e">
        <f>COUNTIFS(#REF!,'Sales Campaign Overview'!$A9,#REF!,"open",#REF!,"9")</f>
        <v>#REF!</v>
      </c>
      <c r="U9" s="66" t="e">
        <f>SUMIFS(#REF!,#REF!,'Sales Campaign Overview'!$A9,#REF!,"open",#REF!,"9")</f>
        <v>#REF!</v>
      </c>
      <c r="V9" s="67" t="e">
        <f>COUNTIFS(#REF!,'Sales Campaign Overview'!$A9,#REF!,"open",#REF!,"10")</f>
        <v>#REF!</v>
      </c>
      <c r="W9" s="66" t="e">
        <f>SUMIFS(#REF!,#REF!,'Sales Campaign Overview'!$A9,#REF!,"open",#REF!,"10")</f>
        <v>#REF!</v>
      </c>
      <c r="X9" s="67" t="e">
        <f>COUNTIFS(#REF!,'Sales Campaign Overview'!$A9,#REF!,"open",#REF!,"11")</f>
        <v>#REF!</v>
      </c>
      <c r="Y9" s="66" t="e">
        <f>SUMIFS(#REF!,#REF!,'Sales Campaign Overview'!$A9,#REF!,"open",#REF!,"11")</f>
        <v>#REF!</v>
      </c>
      <c r="Z9" s="67" t="e">
        <f>COUNTIFS(#REF!,'Sales Campaign Overview'!$A9,#REF!,"open",#REF!,"12")</f>
        <v>#REF!</v>
      </c>
      <c r="AA9" s="66" t="e">
        <f>SUMIFS(#REF!,#REF!,'Sales Campaign Overview'!$A9,#REF!,"open",#REF!,"12")</f>
        <v>#REF!</v>
      </c>
    </row>
    <row r="10" spans="1:27" x14ac:dyDescent="0.4">
      <c r="A10" s="60" t="s">
        <v>883</v>
      </c>
      <c r="B10" s="68" t="e">
        <f>COUNTIFS(#REF!,'Sales Campaign Overview'!$A10,#REF!,"open")</f>
        <v>#REF!</v>
      </c>
      <c r="C10" s="66" t="e">
        <f>SUMIFS(#REF!,#REF!,'Sales Campaign Overview'!$A10,#REF!,"open")</f>
        <v>#REF!</v>
      </c>
      <c r="D10" s="67" t="e">
        <f>COUNTIFS(#REF!,'Sales Campaign Overview'!$A10,#REF!,"open",#REF!,"1")</f>
        <v>#REF!</v>
      </c>
      <c r="E10" s="66" t="e">
        <f>SUMIFS(#REF!,#REF!,'Sales Campaign Overview'!$A10,#REF!,"open",#REF!,"1")</f>
        <v>#REF!</v>
      </c>
      <c r="F10" s="67" t="e">
        <f>COUNTIFS(#REF!,'Sales Campaign Overview'!$A10,#REF!,"open",#REF!,"2")</f>
        <v>#REF!</v>
      </c>
      <c r="G10" s="66" t="e">
        <f>SUMIFS(#REF!,#REF!,'Sales Campaign Overview'!$A10,#REF!,"open",#REF!,"2")</f>
        <v>#REF!</v>
      </c>
      <c r="H10" s="67" t="e">
        <f>COUNTIFS(#REF!,'Sales Campaign Overview'!$A10,#REF!,"open",#REF!,"3")</f>
        <v>#REF!</v>
      </c>
      <c r="I10" s="66" t="e">
        <f>SUMIFS(#REF!,#REF!,'Sales Campaign Overview'!$A10,#REF!,"open",#REF!,"3")</f>
        <v>#REF!</v>
      </c>
      <c r="J10" s="67" t="e">
        <f>COUNTIFS(#REF!,'Sales Campaign Overview'!$A10,#REF!,"open",#REF!,"4")</f>
        <v>#REF!</v>
      </c>
      <c r="K10" s="66" t="e">
        <f>SUMIFS(#REF!,#REF!,'Sales Campaign Overview'!$A10,#REF!,"open",#REF!,"4")</f>
        <v>#REF!</v>
      </c>
      <c r="L10" s="67" t="e">
        <f>COUNTIFS(#REF!,'Sales Campaign Overview'!$A10,#REF!,"open",#REF!,"5")</f>
        <v>#REF!</v>
      </c>
      <c r="M10" s="66" t="e">
        <f>SUMIFS(#REF!,#REF!,'Sales Campaign Overview'!$A10,#REF!,"open",#REF!,"5")</f>
        <v>#REF!</v>
      </c>
      <c r="N10" s="67" t="e">
        <f>COUNTIFS(#REF!,'Sales Campaign Overview'!$A10,#REF!,"open",#REF!,"6")</f>
        <v>#REF!</v>
      </c>
      <c r="O10" s="66" t="e">
        <f>SUMIFS(#REF!,#REF!,'Sales Campaign Overview'!$A10,#REF!,"open",#REF!,"6")</f>
        <v>#REF!</v>
      </c>
      <c r="P10" s="67" t="e">
        <f>COUNTIFS(#REF!,'Sales Campaign Overview'!$A10,#REF!,"open",#REF!,"7")</f>
        <v>#REF!</v>
      </c>
      <c r="Q10" s="66" t="e">
        <f>SUMIFS(#REF!,#REF!,'Sales Campaign Overview'!$A10,#REF!,"open",#REF!,"7")</f>
        <v>#REF!</v>
      </c>
      <c r="R10" s="67" t="e">
        <f>COUNTIFS(#REF!,'Sales Campaign Overview'!$A10,#REF!,"open",#REF!,"8")</f>
        <v>#REF!</v>
      </c>
      <c r="S10" s="66" t="e">
        <f>SUMIFS(#REF!,#REF!,'Sales Campaign Overview'!$A10,#REF!,"open",#REF!,"8")</f>
        <v>#REF!</v>
      </c>
      <c r="T10" s="67" t="e">
        <f>COUNTIFS(#REF!,'Sales Campaign Overview'!$A10,#REF!,"open",#REF!,"9")</f>
        <v>#REF!</v>
      </c>
      <c r="U10" s="66" t="e">
        <f>SUMIFS(#REF!,#REF!,'Sales Campaign Overview'!$A10,#REF!,"open",#REF!,"9")</f>
        <v>#REF!</v>
      </c>
      <c r="V10" s="67" t="e">
        <f>COUNTIFS(#REF!,'Sales Campaign Overview'!$A10,#REF!,"open",#REF!,"10")</f>
        <v>#REF!</v>
      </c>
      <c r="W10" s="66" t="e">
        <f>SUMIFS(#REF!,#REF!,'Sales Campaign Overview'!$A10,#REF!,"open",#REF!,"10")</f>
        <v>#REF!</v>
      </c>
      <c r="X10" s="67" t="e">
        <f>COUNTIFS(#REF!,'Sales Campaign Overview'!$A10,#REF!,"open",#REF!,"11")</f>
        <v>#REF!</v>
      </c>
      <c r="Y10" s="66" t="e">
        <f>SUMIFS(#REF!,#REF!,'Sales Campaign Overview'!$A10,#REF!,"open",#REF!,"11")</f>
        <v>#REF!</v>
      </c>
      <c r="Z10" s="67" t="e">
        <f>COUNTIFS(#REF!,'Sales Campaign Overview'!$A10,#REF!,"open",#REF!,"12")</f>
        <v>#REF!</v>
      </c>
      <c r="AA10" s="66" t="e">
        <f>SUMIFS(#REF!,#REF!,'Sales Campaign Overview'!$A10,#REF!,"open",#REF!,"12")</f>
        <v>#REF!</v>
      </c>
    </row>
    <row r="11" spans="1:27" ht="15" thickBot="1" x14ac:dyDescent="0.45">
      <c r="A11" s="41" t="s">
        <v>904</v>
      </c>
      <c r="B11" t="e">
        <f>COUNTIFS(#REF!,'Sales Campaign Overview'!$A11,#REF!,"open")</f>
        <v>#REF!</v>
      </c>
      <c r="C11" s="42" t="e">
        <f>SUMIFS(#REF!,#REF!,'Sales Campaign Overview'!$A11,#REF!,"open")</f>
        <v>#REF!</v>
      </c>
      <c r="D11" s="59" t="e">
        <f>COUNTIFS(#REF!,'Sales Campaign Overview'!$A11,#REF!,"open",#REF!,"1")</f>
        <v>#REF!</v>
      </c>
      <c r="E11" s="42" t="e">
        <f>SUMIFS(#REF!,#REF!,'Sales Campaign Overview'!$A11,#REF!,"open",#REF!,"1")</f>
        <v>#REF!</v>
      </c>
      <c r="F11" s="59" t="e">
        <f>COUNTIFS(#REF!,'Sales Campaign Overview'!$A11,#REF!,"open",#REF!,"2")</f>
        <v>#REF!</v>
      </c>
      <c r="G11" s="42" t="e">
        <f>SUMIFS(#REF!,#REF!,'Sales Campaign Overview'!$A11,#REF!,"open",#REF!,"2")</f>
        <v>#REF!</v>
      </c>
      <c r="H11" s="59" t="e">
        <f>COUNTIFS(#REF!,'Sales Campaign Overview'!$A11,#REF!,"open",#REF!,"3")</f>
        <v>#REF!</v>
      </c>
      <c r="I11" s="42" t="e">
        <f>SUMIFS(#REF!,#REF!,'Sales Campaign Overview'!$A11,#REF!,"open",#REF!,"3")</f>
        <v>#REF!</v>
      </c>
      <c r="J11" s="59" t="e">
        <f>COUNTIFS(#REF!,'Sales Campaign Overview'!$A11,#REF!,"open",#REF!,"4")</f>
        <v>#REF!</v>
      </c>
      <c r="K11" s="42" t="e">
        <f>SUMIFS(#REF!,#REF!,'Sales Campaign Overview'!$A11,#REF!,"open",#REF!,"4")</f>
        <v>#REF!</v>
      </c>
      <c r="L11" s="59" t="e">
        <f>COUNTIFS(#REF!,'Sales Campaign Overview'!$A11,#REF!,"open",#REF!,"5")</f>
        <v>#REF!</v>
      </c>
      <c r="M11" s="42" t="e">
        <f>SUMIFS(#REF!,#REF!,'Sales Campaign Overview'!$A11,#REF!,"open",#REF!,"5")</f>
        <v>#REF!</v>
      </c>
      <c r="N11" s="59" t="e">
        <f>COUNTIFS(#REF!,'Sales Campaign Overview'!$A11,#REF!,"open",#REF!,"6")</f>
        <v>#REF!</v>
      </c>
      <c r="O11" s="42" t="e">
        <f>SUMIFS(#REF!,#REF!,'Sales Campaign Overview'!$A11,#REF!,"open",#REF!,"6")</f>
        <v>#REF!</v>
      </c>
      <c r="P11" s="59" t="e">
        <f>COUNTIFS(#REF!,'Sales Campaign Overview'!$A11,#REF!,"open",#REF!,"7")</f>
        <v>#REF!</v>
      </c>
      <c r="Q11" s="42" t="e">
        <f>SUMIFS(#REF!,#REF!,'Sales Campaign Overview'!$A11,#REF!,"open",#REF!,"7")</f>
        <v>#REF!</v>
      </c>
      <c r="R11" s="59" t="e">
        <f>COUNTIFS(#REF!,'Sales Campaign Overview'!$A11,#REF!,"open",#REF!,"8")</f>
        <v>#REF!</v>
      </c>
      <c r="S11" s="42" t="e">
        <f>SUMIFS(#REF!,#REF!,'Sales Campaign Overview'!$A11,#REF!,"open",#REF!,"8")</f>
        <v>#REF!</v>
      </c>
      <c r="T11" s="59" t="e">
        <f>COUNTIFS(#REF!,'Sales Campaign Overview'!$A11,#REF!,"open",#REF!,"9")</f>
        <v>#REF!</v>
      </c>
      <c r="U11" s="42" t="e">
        <f>SUMIFS(#REF!,#REF!,'Sales Campaign Overview'!$A11,#REF!,"open",#REF!,"9")</f>
        <v>#REF!</v>
      </c>
      <c r="V11" s="59" t="e">
        <f>COUNTIFS(#REF!,'Sales Campaign Overview'!$A11,#REF!,"open",#REF!,"10")</f>
        <v>#REF!</v>
      </c>
      <c r="W11" s="42" t="e">
        <f>SUMIFS(#REF!,#REF!,'Sales Campaign Overview'!$A11,#REF!,"open",#REF!,"10")</f>
        <v>#REF!</v>
      </c>
      <c r="X11" s="59" t="e">
        <f>COUNTIFS(#REF!,'Sales Campaign Overview'!$A11,#REF!,"open",#REF!,"11")</f>
        <v>#REF!</v>
      </c>
      <c r="Y11" s="42" t="e">
        <f>SUMIFS(#REF!,#REF!,'Sales Campaign Overview'!$A11,#REF!,"open",#REF!,"11")</f>
        <v>#REF!</v>
      </c>
      <c r="Z11" s="59" t="e">
        <f>COUNTIFS(#REF!,'Sales Campaign Overview'!$A11,#REF!,"open",#REF!,"12")</f>
        <v>#REF!</v>
      </c>
      <c r="AA11" s="42" t="e">
        <f>SUMIFS(#REF!,#REF!,'Sales Campaign Overview'!$A11,#REF!,"open",#REF!,"12")</f>
        <v>#REF!</v>
      </c>
    </row>
    <row r="12" spans="1:27" ht="15" thickBot="1" x14ac:dyDescent="0.45">
      <c r="A12" s="61" t="s">
        <v>35</v>
      </c>
      <c r="B12" s="62" t="e">
        <f>SUM(B2+B3+B4+B5+B6+B7+B8+B9+B10+B11)</f>
        <v>#REF!</v>
      </c>
      <c r="C12" s="63" t="e">
        <f>SUM(C2+C3+C4+C5+C6+C7+C8+C9+C10+C11)</f>
        <v>#REF!</v>
      </c>
      <c r="D12" s="62" t="e">
        <f>SUM(D2+D3+D4+D5+D6+D7+D8+D9+D10+D11)</f>
        <v>#REF!</v>
      </c>
      <c r="E12" s="63" t="e">
        <f>SUM(E2+E3+E4+E5+E6+E7+E8+E9+E10+E11)</f>
        <v>#REF!</v>
      </c>
      <c r="F12" s="62" t="e">
        <f>SUM(F2:F11)</f>
        <v>#REF!</v>
      </c>
      <c r="G12" s="63" t="e">
        <f t="shared" ref="G12:AA12" si="0">SUM(G2+G3+G4+G5+G6+G7+G8+G9+G10+G11)</f>
        <v>#REF!</v>
      </c>
      <c r="H12" s="62" t="e">
        <f t="shared" si="0"/>
        <v>#REF!</v>
      </c>
      <c r="I12" s="63" t="e">
        <f t="shared" si="0"/>
        <v>#REF!</v>
      </c>
      <c r="J12" s="62" t="e">
        <f t="shared" si="0"/>
        <v>#REF!</v>
      </c>
      <c r="K12" s="63" t="e">
        <f t="shared" si="0"/>
        <v>#REF!</v>
      </c>
      <c r="L12" s="62" t="e">
        <f t="shared" si="0"/>
        <v>#REF!</v>
      </c>
      <c r="M12" s="63" t="e">
        <f t="shared" si="0"/>
        <v>#REF!</v>
      </c>
      <c r="N12" s="62" t="e">
        <f t="shared" si="0"/>
        <v>#REF!</v>
      </c>
      <c r="O12" s="63" t="e">
        <f t="shared" si="0"/>
        <v>#REF!</v>
      </c>
      <c r="P12" s="62" t="e">
        <f t="shared" si="0"/>
        <v>#REF!</v>
      </c>
      <c r="Q12" s="63" t="e">
        <f t="shared" si="0"/>
        <v>#REF!</v>
      </c>
      <c r="R12" s="62" t="e">
        <f t="shared" si="0"/>
        <v>#REF!</v>
      </c>
      <c r="S12" s="63" t="e">
        <f t="shared" si="0"/>
        <v>#REF!</v>
      </c>
      <c r="T12" s="62" t="e">
        <f t="shared" si="0"/>
        <v>#REF!</v>
      </c>
      <c r="U12" s="63" t="e">
        <f t="shared" si="0"/>
        <v>#REF!</v>
      </c>
      <c r="V12" s="62" t="e">
        <f t="shared" si="0"/>
        <v>#REF!</v>
      </c>
      <c r="W12" s="63" t="e">
        <f t="shared" si="0"/>
        <v>#REF!</v>
      </c>
      <c r="X12" s="62" t="e">
        <f t="shared" si="0"/>
        <v>#REF!</v>
      </c>
      <c r="Y12" s="63" t="e">
        <f t="shared" si="0"/>
        <v>#REF!</v>
      </c>
      <c r="Z12" s="62" t="e">
        <f t="shared" si="0"/>
        <v>#REF!</v>
      </c>
      <c r="AA12" s="64" t="e">
        <f t="shared" si="0"/>
        <v>#REF!</v>
      </c>
    </row>
    <row r="15" spans="1:27" ht="15" thickBot="1" x14ac:dyDescent="0.45"/>
    <row r="16" spans="1:27" x14ac:dyDescent="0.4">
      <c r="A16" s="43" t="s">
        <v>885</v>
      </c>
      <c r="B16" s="685" t="s">
        <v>886</v>
      </c>
      <c r="C16" s="686"/>
      <c r="D16" s="685" t="s">
        <v>887</v>
      </c>
      <c r="E16" s="686"/>
      <c r="F16" s="685" t="s">
        <v>888</v>
      </c>
      <c r="G16" s="686"/>
      <c r="H16" s="685" t="s">
        <v>889</v>
      </c>
      <c r="I16" s="686"/>
      <c r="J16" s="685" t="s">
        <v>119</v>
      </c>
      <c r="K16" s="686"/>
      <c r="L16" s="685" t="s">
        <v>5</v>
      </c>
      <c r="M16" s="686"/>
      <c r="N16" s="685" t="s">
        <v>337</v>
      </c>
      <c r="O16" s="686"/>
      <c r="P16" s="685" t="s">
        <v>890</v>
      </c>
      <c r="Q16" s="686"/>
      <c r="R16" s="685" t="s">
        <v>891</v>
      </c>
      <c r="S16" s="686"/>
      <c r="T16" s="685" t="s">
        <v>892</v>
      </c>
      <c r="U16" s="686"/>
      <c r="V16" s="685" t="s">
        <v>893</v>
      </c>
      <c r="W16" s="686"/>
      <c r="X16" s="685" t="s">
        <v>894</v>
      </c>
      <c r="Y16" s="686"/>
      <c r="Z16" s="685" t="s">
        <v>895</v>
      </c>
      <c r="AA16" s="687"/>
    </row>
    <row r="17" spans="1:27" x14ac:dyDescent="0.4">
      <c r="A17" s="60" t="s">
        <v>896</v>
      </c>
      <c r="B17" s="65" t="e">
        <f>COUNTIFS(#REF!,'Sales Campaign Overview'!$A17,#REF!,"won")</f>
        <v>#REF!</v>
      </c>
      <c r="C17" s="66" t="e">
        <f>SUMIFS(#REF!,#REF!,'Sales Campaign Overview'!$A17,#REF!,"won")</f>
        <v>#REF!</v>
      </c>
      <c r="D17" s="67" t="e">
        <f>COUNTIFS(#REF!,'Sales Campaign Overview'!$A17,#REF!,"won",#REF!,"1")</f>
        <v>#REF!</v>
      </c>
      <c r="E17" s="66" t="e">
        <f>SUMIFS(#REF!,#REF!,'Sales Campaign Overview'!$A17,#REF!,"won",#REF!,"1")</f>
        <v>#REF!</v>
      </c>
      <c r="F17" s="67" t="e">
        <f>COUNTIFS(#REF!,'Sales Campaign Overview'!$A17,#REF!,"won",#REF!,"2")</f>
        <v>#REF!</v>
      </c>
      <c r="G17" s="66" t="e">
        <f>SUMIFS(#REF!,#REF!,'Sales Campaign Overview'!$A17,#REF!,"won",#REF!,"2")</f>
        <v>#REF!</v>
      </c>
      <c r="H17" s="67" t="e">
        <f>COUNTIFS(#REF!,'Sales Campaign Overview'!$A17,#REF!,"won",#REF!,"3")</f>
        <v>#REF!</v>
      </c>
      <c r="I17" s="66" t="e">
        <f>SUMIFS(#REF!,#REF!,'Sales Campaign Overview'!$A17,#REF!,"won",#REF!,"3")</f>
        <v>#REF!</v>
      </c>
      <c r="J17" s="67" t="e">
        <f>COUNTIFS(#REF!,'Sales Campaign Overview'!$A17,#REF!,"won",#REF!,"4")</f>
        <v>#REF!</v>
      </c>
      <c r="K17" s="66" t="e">
        <f>SUMIFS(#REF!,#REF!,'Sales Campaign Overview'!$A17,#REF!,"won",#REF!,"4")</f>
        <v>#REF!</v>
      </c>
      <c r="L17" s="67" t="e">
        <f>COUNTIFS(#REF!,'Sales Campaign Overview'!$A17,#REF!,"won",#REF!,"5")</f>
        <v>#REF!</v>
      </c>
      <c r="M17" s="66" t="e">
        <f>SUMIFS(#REF!,#REF!,'Sales Campaign Overview'!$A17,#REF!,"won",#REF!,"5")</f>
        <v>#REF!</v>
      </c>
      <c r="N17" s="67" t="e">
        <f>COUNTIFS(#REF!,'Sales Campaign Overview'!$A17,#REF!,"won",#REF!,"6")</f>
        <v>#REF!</v>
      </c>
      <c r="O17" s="66" t="e">
        <f>SUMIFS(#REF!,#REF!,'Sales Campaign Overview'!$A17,#REF!,"won",#REF!,"6")</f>
        <v>#REF!</v>
      </c>
      <c r="P17" s="67" t="e">
        <f>COUNTIFS(#REF!,'Sales Campaign Overview'!$A17,#REF!,"won",#REF!,"7")</f>
        <v>#REF!</v>
      </c>
      <c r="Q17" s="66" t="e">
        <f>SUMIFS(#REF!,#REF!,'Sales Campaign Overview'!$A17,#REF!,"won",#REF!,"7")</f>
        <v>#REF!</v>
      </c>
      <c r="R17" s="67" t="e">
        <f>COUNTIFS(#REF!,'Sales Campaign Overview'!$A17,#REF!,"won",#REF!,"8")</f>
        <v>#REF!</v>
      </c>
      <c r="S17" s="66" t="e">
        <f>SUMIFS(#REF!,#REF!,'Sales Campaign Overview'!$A17,#REF!,"won",#REF!,"8")</f>
        <v>#REF!</v>
      </c>
      <c r="T17" s="67" t="e">
        <f>COUNTIFS(#REF!,'Sales Campaign Overview'!$A17,#REF!,"won",#REF!,"9")</f>
        <v>#REF!</v>
      </c>
      <c r="U17" s="66" t="e">
        <f>SUMIFS(#REF!,#REF!,'Sales Campaign Overview'!$A17,#REF!,"won",#REF!,"9")</f>
        <v>#REF!</v>
      </c>
      <c r="V17" s="67" t="e">
        <f>COUNTIFS(#REF!,'Sales Campaign Overview'!$A17,#REF!,"won",#REF!,"10")</f>
        <v>#REF!</v>
      </c>
      <c r="W17" s="66" t="e">
        <f>SUMIFS(#REF!,#REF!,'Sales Campaign Overview'!$A17,#REF!,"won",#REF!,"10")</f>
        <v>#REF!</v>
      </c>
      <c r="X17" s="67" t="e">
        <f>COUNTIFS(#REF!,'Sales Campaign Overview'!$A17,#REF!,"won",#REF!,"11")</f>
        <v>#REF!</v>
      </c>
      <c r="Y17" s="66" t="e">
        <f>SUMIFS(#REF!,#REF!,'Sales Campaign Overview'!$A17,#REF!,"won",#REF!,"11")</f>
        <v>#REF!</v>
      </c>
      <c r="Z17" s="67" t="e">
        <f>COUNTIFS(#REF!,'Sales Campaign Overview'!$A17,#REF!,"won",#REF!,"12")</f>
        <v>#REF!</v>
      </c>
      <c r="AA17" s="66" t="e">
        <f>SUMIFS(#REF!,#REF!,'Sales Campaign Overview'!$A17,#REF!,"won",#REF!,"12")</f>
        <v>#REF!</v>
      </c>
    </row>
    <row r="18" spans="1:27" x14ac:dyDescent="0.4">
      <c r="A18" s="60" t="s">
        <v>897</v>
      </c>
      <c r="B18" s="68" t="e">
        <f>COUNTIFS(#REF!,'Sales Campaign Overview'!$A18,#REF!,"won")</f>
        <v>#REF!</v>
      </c>
      <c r="C18" s="66" t="e">
        <f>SUMIFS(#REF!,#REF!,'Sales Campaign Overview'!$A18,#REF!,"won")</f>
        <v>#REF!</v>
      </c>
      <c r="D18" s="67" t="e">
        <f>COUNTIFS(#REF!,'Sales Campaign Overview'!$A18,#REF!,"won",#REF!,"1")</f>
        <v>#REF!</v>
      </c>
      <c r="E18" s="66" t="e">
        <f>SUMIFS(#REF!,#REF!,'Sales Campaign Overview'!$A18,#REF!,"won",#REF!,"1")</f>
        <v>#REF!</v>
      </c>
      <c r="F18" s="67" t="e">
        <f>COUNTIFS(#REF!,'Sales Campaign Overview'!$A18,#REF!,"won",#REF!,"2")</f>
        <v>#REF!</v>
      </c>
      <c r="G18" s="66" t="e">
        <f>SUMIFS(#REF!,#REF!,'Sales Campaign Overview'!$A18,#REF!,"won",#REF!,"2")</f>
        <v>#REF!</v>
      </c>
      <c r="H18" s="67" t="e">
        <f>COUNTIFS(#REF!,'Sales Campaign Overview'!$A18,#REF!,"won",#REF!,"3")</f>
        <v>#REF!</v>
      </c>
      <c r="I18" s="66" t="e">
        <f>SUMIFS(#REF!,#REF!,'Sales Campaign Overview'!$A18,#REF!,"won",#REF!,"3")</f>
        <v>#REF!</v>
      </c>
      <c r="J18" s="67" t="e">
        <f>COUNTIFS(#REF!,'Sales Campaign Overview'!$A18,#REF!,"won",#REF!,"4")</f>
        <v>#REF!</v>
      </c>
      <c r="K18" s="66" t="e">
        <f>SUMIFS(#REF!,#REF!,'Sales Campaign Overview'!$A18,#REF!,"won",#REF!,"4")</f>
        <v>#REF!</v>
      </c>
      <c r="L18" s="67" t="e">
        <f>COUNTIFS(#REF!,'Sales Campaign Overview'!$A18,#REF!,"won",#REF!,"5")</f>
        <v>#REF!</v>
      </c>
      <c r="M18" s="66" t="e">
        <f>SUMIFS(#REF!,#REF!,'Sales Campaign Overview'!$A18,#REF!,"won",#REF!,"5")</f>
        <v>#REF!</v>
      </c>
      <c r="N18" s="67" t="e">
        <f>COUNTIFS(#REF!,'Sales Campaign Overview'!$A18,#REF!,"won",#REF!,"6")</f>
        <v>#REF!</v>
      </c>
      <c r="O18" s="66" t="e">
        <f>SUMIFS(#REF!,#REF!,'Sales Campaign Overview'!$A18,#REF!,"won",#REF!,"6")</f>
        <v>#REF!</v>
      </c>
      <c r="P18" s="67" t="e">
        <f>COUNTIFS(#REF!,'Sales Campaign Overview'!$A18,#REF!,"won",#REF!,"7")</f>
        <v>#REF!</v>
      </c>
      <c r="Q18" s="66" t="e">
        <f>SUMIFS(#REF!,#REF!,'Sales Campaign Overview'!$A18,#REF!,"won",#REF!,"7")</f>
        <v>#REF!</v>
      </c>
      <c r="R18" s="67" t="e">
        <f>COUNTIFS(#REF!,'Sales Campaign Overview'!$A18,#REF!,"won",#REF!,"8")</f>
        <v>#REF!</v>
      </c>
      <c r="S18" s="66" t="e">
        <f>SUMIFS(#REF!,#REF!,'Sales Campaign Overview'!$A18,#REF!,"won",#REF!,"8")</f>
        <v>#REF!</v>
      </c>
      <c r="T18" s="67" t="e">
        <f>COUNTIFS(#REF!,'Sales Campaign Overview'!$A18,#REF!,"won",#REF!,"9")</f>
        <v>#REF!</v>
      </c>
      <c r="U18" s="66" t="e">
        <f>SUMIFS(#REF!,#REF!,'Sales Campaign Overview'!$A18,#REF!,"won",#REF!,"9")</f>
        <v>#REF!</v>
      </c>
      <c r="V18" s="67" t="e">
        <f>COUNTIFS(#REF!,'Sales Campaign Overview'!$A18,#REF!,"won",#REF!,"10")</f>
        <v>#REF!</v>
      </c>
      <c r="W18" s="66" t="e">
        <f>SUMIFS(#REF!,#REF!,'Sales Campaign Overview'!$A18,#REF!,"won",#REF!,"10")</f>
        <v>#REF!</v>
      </c>
      <c r="X18" s="67" t="e">
        <f>COUNTIFS(#REF!,'Sales Campaign Overview'!$A18,#REF!,"won",#REF!,"11")</f>
        <v>#REF!</v>
      </c>
      <c r="Y18" s="66" t="e">
        <f>SUMIFS(#REF!,#REF!,'Sales Campaign Overview'!$A18,#REF!,"won",#REF!,"11")</f>
        <v>#REF!</v>
      </c>
      <c r="Z18" s="67" t="e">
        <f>COUNTIFS(#REF!,'Sales Campaign Overview'!$A18,#REF!,"won",#REF!,"12")</f>
        <v>#REF!</v>
      </c>
      <c r="AA18" s="66" t="e">
        <f>SUMIFS(#REF!,#REF!,'Sales Campaign Overview'!$A18,#REF!,"won",#REF!,"12")</f>
        <v>#REF!</v>
      </c>
    </row>
    <row r="19" spans="1:27" x14ac:dyDescent="0.4">
      <c r="A19" s="60" t="s">
        <v>898</v>
      </c>
      <c r="B19" s="68" t="e">
        <f>COUNTIFS(#REF!,'Sales Campaign Overview'!$A19,#REF!,"won")</f>
        <v>#REF!</v>
      </c>
      <c r="C19" s="66" t="e">
        <f>SUMIFS(#REF!,#REF!,'Sales Campaign Overview'!$A19,#REF!,"won")</f>
        <v>#REF!</v>
      </c>
      <c r="D19" s="67" t="e">
        <f>COUNTIFS(#REF!,'Sales Campaign Overview'!$A19,#REF!,"won",#REF!,"1")</f>
        <v>#REF!</v>
      </c>
      <c r="E19" s="66" t="e">
        <f>SUMIFS(#REF!,#REF!,'Sales Campaign Overview'!$A19,#REF!,"won",#REF!,"1")</f>
        <v>#REF!</v>
      </c>
      <c r="F19" s="67" t="e">
        <f>COUNTIFS(#REF!,'Sales Campaign Overview'!$A19,#REF!,"won",#REF!,"2")</f>
        <v>#REF!</v>
      </c>
      <c r="G19" s="66" t="e">
        <f>SUMIFS(#REF!,#REF!,'Sales Campaign Overview'!$A19,#REF!,"won",#REF!,"2")</f>
        <v>#REF!</v>
      </c>
      <c r="H19" s="67" t="e">
        <f>COUNTIFS(#REF!,'Sales Campaign Overview'!$A19,#REF!,"won",#REF!,"3")</f>
        <v>#REF!</v>
      </c>
      <c r="I19" s="66" t="e">
        <f>SUMIFS(#REF!,#REF!,'Sales Campaign Overview'!$A19,#REF!,"won",#REF!,"3")</f>
        <v>#REF!</v>
      </c>
      <c r="J19" s="67" t="e">
        <f>COUNTIFS(#REF!,'Sales Campaign Overview'!$A19,#REF!,"won",#REF!,"4")</f>
        <v>#REF!</v>
      </c>
      <c r="K19" s="66" t="e">
        <f>SUMIFS(#REF!,#REF!,'Sales Campaign Overview'!$A19,#REF!,"won",#REF!,"4")</f>
        <v>#REF!</v>
      </c>
      <c r="L19" s="67" t="e">
        <f>COUNTIFS(#REF!,'Sales Campaign Overview'!$A19,#REF!,"won",#REF!,"5")</f>
        <v>#REF!</v>
      </c>
      <c r="M19" s="66" t="e">
        <f>SUMIFS(#REF!,#REF!,'Sales Campaign Overview'!$A19,#REF!,"won",#REF!,"5")</f>
        <v>#REF!</v>
      </c>
      <c r="N19" s="67" t="e">
        <f>COUNTIFS(#REF!,'Sales Campaign Overview'!$A19,#REF!,"won",#REF!,"6")</f>
        <v>#REF!</v>
      </c>
      <c r="O19" s="66" t="e">
        <f>SUMIFS(#REF!,#REF!,'Sales Campaign Overview'!$A19,#REF!,"won",#REF!,"6")</f>
        <v>#REF!</v>
      </c>
      <c r="P19" s="67" t="e">
        <f>COUNTIFS(#REF!,'Sales Campaign Overview'!$A19,#REF!,"won",#REF!,"7")</f>
        <v>#REF!</v>
      </c>
      <c r="Q19" s="66" t="e">
        <f>SUMIFS(#REF!,#REF!,'Sales Campaign Overview'!$A19,#REF!,"won",#REF!,"7")</f>
        <v>#REF!</v>
      </c>
      <c r="R19" s="67" t="e">
        <f>COUNTIFS(#REF!,'Sales Campaign Overview'!$A19,#REF!,"won",#REF!,"8")</f>
        <v>#REF!</v>
      </c>
      <c r="S19" s="66" t="e">
        <f>SUMIFS(#REF!,#REF!,'Sales Campaign Overview'!$A19,#REF!,"won",#REF!,"8")</f>
        <v>#REF!</v>
      </c>
      <c r="T19" s="67" t="e">
        <f>COUNTIFS(#REF!,'Sales Campaign Overview'!$A19,#REF!,"won",#REF!,"9")</f>
        <v>#REF!</v>
      </c>
      <c r="U19" s="66" t="e">
        <f>SUMIFS(#REF!,#REF!,'Sales Campaign Overview'!$A19,#REF!,"won",#REF!,"9")</f>
        <v>#REF!</v>
      </c>
      <c r="V19" s="67" t="e">
        <f>COUNTIFS(#REF!,'Sales Campaign Overview'!$A19,#REF!,"won",#REF!,"10")</f>
        <v>#REF!</v>
      </c>
      <c r="W19" s="66" t="e">
        <f>SUMIFS(#REF!,#REF!,'Sales Campaign Overview'!$A19,#REF!,"won",#REF!,"10")</f>
        <v>#REF!</v>
      </c>
      <c r="X19" s="67" t="e">
        <f>COUNTIFS(#REF!,'Sales Campaign Overview'!$A19,#REF!,"won",#REF!,"11")</f>
        <v>#REF!</v>
      </c>
      <c r="Y19" s="66" t="e">
        <f>SUMIFS(#REF!,#REF!,'Sales Campaign Overview'!$A19,#REF!,"won",#REF!,"11")</f>
        <v>#REF!</v>
      </c>
      <c r="Z19" s="67" t="e">
        <f>COUNTIFS(#REF!,'Sales Campaign Overview'!$A19,#REF!,"won",#REF!,"12")</f>
        <v>#REF!</v>
      </c>
      <c r="AA19" s="66" t="e">
        <f>SUMIFS(#REF!,#REF!,'Sales Campaign Overview'!$A19,#REF!,"won",#REF!,"12")</f>
        <v>#REF!</v>
      </c>
    </row>
    <row r="20" spans="1:27" x14ac:dyDescent="0.4">
      <c r="A20" s="60" t="s">
        <v>899</v>
      </c>
      <c r="B20" s="68" t="e">
        <f>COUNTIFS(#REF!,'Sales Campaign Overview'!$A20,#REF!,"won")</f>
        <v>#REF!</v>
      </c>
      <c r="C20" s="66" t="e">
        <f>SUMIFS(#REF!,#REF!,'Sales Campaign Overview'!$A20,#REF!,"won")</f>
        <v>#REF!</v>
      </c>
      <c r="D20" s="67" t="e">
        <f>COUNTIFS(#REF!,'Sales Campaign Overview'!$A20,#REF!,"won",#REF!,"1")</f>
        <v>#REF!</v>
      </c>
      <c r="E20" s="66" t="e">
        <f>SUMIFS(#REF!,#REF!,'Sales Campaign Overview'!$A20,#REF!,"won",#REF!,"1")</f>
        <v>#REF!</v>
      </c>
      <c r="F20" s="67" t="e">
        <f>COUNTIFS(#REF!,'Sales Campaign Overview'!$A20,#REF!,"won",#REF!,"2")</f>
        <v>#REF!</v>
      </c>
      <c r="G20" s="66" t="e">
        <f>SUMIFS(#REF!,#REF!,'Sales Campaign Overview'!$A20,#REF!,"won",#REF!,"2")</f>
        <v>#REF!</v>
      </c>
      <c r="H20" s="67" t="e">
        <f>COUNTIFS(#REF!,'Sales Campaign Overview'!$A20,#REF!,"won",#REF!,"3")</f>
        <v>#REF!</v>
      </c>
      <c r="I20" s="66" t="e">
        <f>SUMIFS(#REF!,#REF!,'Sales Campaign Overview'!$A20,#REF!,"won",#REF!,"3")</f>
        <v>#REF!</v>
      </c>
      <c r="J20" s="67" t="e">
        <f>COUNTIFS(#REF!,'Sales Campaign Overview'!$A20,#REF!,"won",#REF!,"4")</f>
        <v>#REF!</v>
      </c>
      <c r="K20" s="66" t="e">
        <f>SUMIFS(#REF!,#REF!,'Sales Campaign Overview'!$A20,#REF!,"won",#REF!,"4")</f>
        <v>#REF!</v>
      </c>
      <c r="L20" s="67" t="e">
        <f>COUNTIFS(#REF!,'Sales Campaign Overview'!$A20,#REF!,"won",#REF!,"5")</f>
        <v>#REF!</v>
      </c>
      <c r="M20" s="66" t="e">
        <f>SUMIFS(#REF!,#REF!,'Sales Campaign Overview'!$A20,#REF!,"won",#REF!,"5")</f>
        <v>#REF!</v>
      </c>
      <c r="N20" s="67" t="e">
        <f>COUNTIFS(#REF!,'Sales Campaign Overview'!$A20,#REF!,"won",#REF!,"6")</f>
        <v>#REF!</v>
      </c>
      <c r="O20" s="66" t="e">
        <f>SUMIFS(#REF!,#REF!,'Sales Campaign Overview'!$A20,#REF!,"won",#REF!,"6")</f>
        <v>#REF!</v>
      </c>
      <c r="P20" s="67" t="e">
        <f>COUNTIFS(#REF!,'Sales Campaign Overview'!$A20,#REF!,"won",#REF!,"7")</f>
        <v>#REF!</v>
      </c>
      <c r="Q20" s="66" t="e">
        <f>SUMIFS(#REF!,#REF!,'Sales Campaign Overview'!$A20,#REF!,"won",#REF!,"7")</f>
        <v>#REF!</v>
      </c>
      <c r="R20" s="67" t="e">
        <f>COUNTIFS(#REF!,'Sales Campaign Overview'!$A20,#REF!,"won",#REF!,"8")</f>
        <v>#REF!</v>
      </c>
      <c r="S20" s="66" t="e">
        <f>SUMIFS(#REF!,#REF!,'Sales Campaign Overview'!$A20,#REF!,"won",#REF!,"8")</f>
        <v>#REF!</v>
      </c>
      <c r="T20" s="67" t="e">
        <f>COUNTIFS(#REF!,'Sales Campaign Overview'!$A20,#REF!,"won",#REF!,"9")</f>
        <v>#REF!</v>
      </c>
      <c r="U20" s="66" t="e">
        <f>SUMIFS(#REF!,#REF!,'Sales Campaign Overview'!$A20,#REF!,"won",#REF!,"9")</f>
        <v>#REF!</v>
      </c>
      <c r="V20" s="67" t="e">
        <f>COUNTIFS(#REF!,'Sales Campaign Overview'!$A20,#REF!,"won",#REF!,"10")</f>
        <v>#REF!</v>
      </c>
      <c r="W20" s="66" t="e">
        <f>SUMIFS(#REF!,#REF!,'Sales Campaign Overview'!$A20,#REF!,"won",#REF!,"10")</f>
        <v>#REF!</v>
      </c>
      <c r="X20" s="67" t="e">
        <f>COUNTIFS(#REF!,'Sales Campaign Overview'!$A20,#REF!,"won",#REF!,"11")</f>
        <v>#REF!</v>
      </c>
      <c r="Y20" s="66" t="e">
        <f>SUMIFS(#REF!,#REF!,'Sales Campaign Overview'!$A20,#REF!,"won",#REF!,"11")</f>
        <v>#REF!</v>
      </c>
      <c r="Z20" s="67" t="e">
        <f>COUNTIFS(#REF!,'Sales Campaign Overview'!$A20,#REF!,"won",#REF!,"12")</f>
        <v>#REF!</v>
      </c>
      <c r="AA20" s="66" t="e">
        <f>SUMIFS(#REF!,#REF!,'Sales Campaign Overview'!$A20,#REF!,"won",#REF!,"12")</f>
        <v>#REF!</v>
      </c>
    </row>
    <row r="21" spans="1:27" x14ac:dyDescent="0.4">
      <c r="A21" s="60" t="s">
        <v>900</v>
      </c>
      <c r="B21" s="68" t="e">
        <f>COUNTIFS(#REF!,'Sales Campaign Overview'!$A21,#REF!,"won")</f>
        <v>#REF!</v>
      </c>
      <c r="C21" s="66" t="e">
        <f>SUMIFS(#REF!,#REF!,'Sales Campaign Overview'!$A21,#REF!,"won")</f>
        <v>#REF!</v>
      </c>
      <c r="D21" s="67" t="e">
        <f>COUNTIFS(#REF!,'Sales Campaign Overview'!$A21,#REF!,"won",#REF!,"1")</f>
        <v>#REF!</v>
      </c>
      <c r="E21" s="66" t="e">
        <f>SUMIFS(#REF!,#REF!,'Sales Campaign Overview'!$A21,#REF!,"won",#REF!,"1")</f>
        <v>#REF!</v>
      </c>
      <c r="F21" s="67" t="e">
        <f>COUNTIFS(#REF!,'Sales Campaign Overview'!$A21,#REF!,"won",#REF!,"2")</f>
        <v>#REF!</v>
      </c>
      <c r="G21" s="66" t="e">
        <f>SUMIFS(#REF!,#REF!,'Sales Campaign Overview'!$A21,#REF!,"won",#REF!,"2")</f>
        <v>#REF!</v>
      </c>
      <c r="H21" s="67" t="e">
        <f>COUNTIFS(#REF!,'Sales Campaign Overview'!$A21,#REF!,"won",#REF!,"3")</f>
        <v>#REF!</v>
      </c>
      <c r="I21" s="66" t="e">
        <f>SUMIFS(#REF!,#REF!,'Sales Campaign Overview'!$A21,#REF!,"won",#REF!,"3")</f>
        <v>#REF!</v>
      </c>
      <c r="J21" s="67" t="e">
        <f>COUNTIFS(#REF!,'Sales Campaign Overview'!$A21,#REF!,"won",#REF!,"4")</f>
        <v>#REF!</v>
      </c>
      <c r="K21" s="66" t="e">
        <f>SUMIFS(#REF!,#REF!,'Sales Campaign Overview'!$A21,#REF!,"won",#REF!,"4")</f>
        <v>#REF!</v>
      </c>
      <c r="L21" s="67" t="e">
        <f>COUNTIFS(#REF!,'Sales Campaign Overview'!$A21,#REF!,"won",#REF!,"5")</f>
        <v>#REF!</v>
      </c>
      <c r="M21" s="66" t="e">
        <f>SUMIFS(#REF!,#REF!,'Sales Campaign Overview'!$A21,#REF!,"won",#REF!,"5")</f>
        <v>#REF!</v>
      </c>
      <c r="N21" s="67" t="e">
        <f>COUNTIFS(#REF!,'Sales Campaign Overview'!$A21,#REF!,"won",#REF!,"6")</f>
        <v>#REF!</v>
      </c>
      <c r="O21" s="66" t="e">
        <f>SUMIFS(#REF!,#REF!,'Sales Campaign Overview'!$A21,#REF!,"won",#REF!,"6")</f>
        <v>#REF!</v>
      </c>
      <c r="P21" s="67" t="e">
        <f>COUNTIFS(#REF!,'Sales Campaign Overview'!$A21,#REF!,"won",#REF!,"7")</f>
        <v>#REF!</v>
      </c>
      <c r="Q21" s="66" t="e">
        <f>SUMIFS(#REF!,#REF!,'Sales Campaign Overview'!$A21,#REF!,"won",#REF!,"7")</f>
        <v>#REF!</v>
      </c>
      <c r="R21" s="67" t="e">
        <f>COUNTIFS(#REF!,'Sales Campaign Overview'!$A21,#REF!,"won",#REF!,"8")</f>
        <v>#REF!</v>
      </c>
      <c r="S21" s="66" t="e">
        <f>SUMIFS(#REF!,#REF!,'Sales Campaign Overview'!$A21,#REF!,"won",#REF!,"8")</f>
        <v>#REF!</v>
      </c>
      <c r="T21" s="67" t="e">
        <f>COUNTIFS(#REF!,'Sales Campaign Overview'!$A21,#REF!,"won",#REF!,"9")</f>
        <v>#REF!</v>
      </c>
      <c r="U21" s="66" t="e">
        <f>SUMIFS(#REF!,#REF!,'Sales Campaign Overview'!$A21,#REF!,"won",#REF!,"9")</f>
        <v>#REF!</v>
      </c>
      <c r="V21" s="67" t="e">
        <f>COUNTIFS(#REF!,'Sales Campaign Overview'!$A21,#REF!,"won",#REF!,"10")</f>
        <v>#REF!</v>
      </c>
      <c r="W21" s="66" t="e">
        <f>SUMIFS(#REF!,#REF!,'Sales Campaign Overview'!$A21,#REF!,"won",#REF!,"10")</f>
        <v>#REF!</v>
      </c>
      <c r="X21" s="67" t="e">
        <f>COUNTIFS(#REF!,'Sales Campaign Overview'!$A21,#REF!,"won",#REF!,"11")</f>
        <v>#REF!</v>
      </c>
      <c r="Y21" s="66" t="e">
        <f>SUMIFS(#REF!,#REF!,'Sales Campaign Overview'!$A21,#REF!,"won",#REF!,"11")</f>
        <v>#REF!</v>
      </c>
      <c r="Z21" s="67" t="e">
        <f>COUNTIFS(#REF!,'Sales Campaign Overview'!$A21,#REF!,"won",#REF!,"12")</f>
        <v>#REF!</v>
      </c>
      <c r="AA21" s="66" t="e">
        <f>SUMIFS(#REF!,#REF!,'Sales Campaign Overview'!$A21,#REF!,"won",#REF!,"12")</f>
        <v>#REF!</v>
      </c>
    </row>
    <row r="22" spans="1:27" x14ac:dyDescent="0.4">
      <c r="A22" s="60" t="s">
        <v>901</v>
      </c>
      <c r="B22" s="68" t="e">
        <f>COUNTIFS(#REF!,'Sales Campaign Overview'!$A22,#REF!,"won")</f>
        <v>#REF!</v>
      </c>
      <c r="C22" s="66" t="e">
        <f>SUMIFS(#REF!,#REF!,'Sales Campaign Overview'!$A22,#REF!,"won")</f>
        <v>#REF!</v>
      </c>
      <c r="D22" s="67" t="e">
        <f>COUNTIFS(#REF!,'Sales Campaign Overview'!$A22,#REF!,"won",#REF!,"1")</f>
        <v>#REF!</v>
      </c>
      <c r="E22" s="66" t="e">
        <f>SUMIFS(#REF!,#REF!,'Sales Campaign Overview'!$A22,#REF!,"won",#REF!,"1")</f>
        <v>#REF!</v>
      </c>
      <c r="F22" s="67" t="e">
        <f>COUNTIFS(#REF!,'Sales Campaign Overview'!#REF!,#REF!,"won",#REF!,"2")</f>
        <v>#REF!</v>
      </c>
      <c r="G22" s="66" t="e">
        <f>SUMIFS(#REF!,#REF!,'Sales Campaign Overview'!$A22,#REF!,"won",#REF!,"2")</f>
        <v>#REF!</v>
      </c>
      <c r="H22" s="67" t="e">
        <f>COUNTIFS(#REF!,'Sales Campaign Overview'!$A22,#REF!,"won",#REF!,"3")</f>
        <v>#REF!</v>
      </c>
      <c r="I22" s="66" t="e">
        <f>SUMIFS(#REF!,#REF!,'Sales Campaign Overview'!$A22,#REF!,"won",#REF!,"3")</f>
        <v>#REF!</v>
      </c>
      <c r="J22" s="67" t="e">
        <f>COUNTIFS(#REF!,'Sales Campaign Overview'!$A22,#REF!,"won",#REF!,"4")</f>
        <v>#REF!</v>
      </c>
      <c r="K22" s="66" t="e">
        <f>SUMIFS(#REF!,#REF!,'Sales Campaign Overview'!$A22,#REF!,"won",#REF!,"4")</f>
        <v>#REF!</v>
      </c>
      <c r="L22" s="67" t="e">
        <f>COUNTIFS(#REF!,'Sales Campaign Overview'!$A22,#REF!,"won",#REF!,"5")</f>
        <v>#REF!</v>
      </c>
      <c r="M22" s="66" t="e">
        <f>SUMIFS(#REF!,#REF!,'Sales Campaign Overview'!$A22,#REF!,"won",#REF!,"5")</f>
        <v>#REF!</v>
      </c>
      <c r="N22" s="67" t="e">
        <f>COUNTIFS(#REF!,'Sales Campaign Overview'!$A22,#REF!,"won",#REF!,"6")</f>
        <v>#REF!</v>
      </c>
      <c r="O22" s="66" t="e">
        <f>SUMIFS(#REF!,#REF!,'Sales Campaign Overview'!$A22,#REF!,"won",#REF!,"6")</f>
        <v>#REF!</v>
      </c>
      <c r="P22" s="67" t="e">
        <f>COUNTIFS(#REF!,'Sales Campaign Overview'!$A22,#REF!,"won",#REF!,"7")</f>
        <v>#REF!</v>
      </c>
      <c r="Q22" s="66" t="e">
        <f>SUMIFS(#REF!,#REF!,'Sales Campaign Overview'!$A22,#REF!,"won",#REF!,"7")</f>
        <v>#REF!</v>
      </c>
      <c r="R22" s="67" t="e">
        <f>COUNTIFS(#REF!,'Sales Campaign Overview'!$A22,#REF!,"won",#REF!,"8")</f>
        <v>#REF!</v>
      </c>
      <c r="S22" s="66" t="e">
        <f>SUMIFS(#REF!,#REF!,'Sales Campaign Overview'!$A22,#REF!,"won",#REF!,"8")</f>
        <v>#REF!</v>
      </c>
      <c r="T22" s="67" t="e">
        <f>COUNTIFS(#REF!,'Sales Campaign Overview'!$A22,#REF!,"won",#REF!,"9")</f>
        <v>#REF!</v>
      </c>
      <c r="U22" s="66" t="e">
        <f>SUMIFS(#REF!,#REF!,'Sales Campaign Overview'!$A22,#REF!,"won",#REF!,"9")</f>
        <v>#REF!</v>
      </c>
      <c r="V22" s="67" t="e">
        <f>COUNTIFS(#REF!,'Sales Campaign Overview'!$A22,#REF!,"won",#REF!,"10")</f>
        <v>#REF!</v>
      </c>
      <c r="W22" s="66" t="e">
        <f>SUMIFS(#REF!,#REF!,'Sales Campaign Overview'!$A22,#REF!,"won",#REF!,"10")</f>
        <v>#REF!</v>
      </c>
      <c r="X22" s="67" t="e">
        <f>COUNTIFS(#REF!,'Sales Campaign Overview'!$A22,#REF!,"won",#REF!,"11")</f>
        <v>#REF!</v>
      </c>
      <c r="Y22" s="66" t="e">
        <f>SUMIFS(#REF!,#REF!,'Sales Campaign Overview'!$A22,#REF!,"won",#REF!,"11")</f>
        <v>#REF!</v>
      </c>
      <c r="Z22" s="67" t="e">
        <f>COUNTIFS(#REF!,'Sales Campaign Overview'!$A22,#REF!,"won",#REF!,"12")</f>
        <v>#REF!</v>
      </c>
      <c r="AA22" s="66" t="e">
        <f>SUMIFS(#REF!,#REF!,'Sales Campaign Overview'!$A22,#REF!,"won",#REF!,"12")</f>
        <v>#REF!</v>
      </c>
    </row>
    <row r="23" spans="1:27" x14ac:dyDescent="0.4">
      <c r="A23" s="60" t="s">
        <v>902</v>
      </c>
      <c r="B23" s="68" t="e">
        <f>COUNTIFS(#REF!,'Sales Campaign Overview'!$A23,#REF!,"won")</f>
        <v>#REF!</v>
      </c>
      <c r="C23" s="66" t="e">
        <f>SUMIFS(#REF!,#REF!,'Sales Campaign Overview'!$A23,#REF!,"won")</f>
        <v>#REF!</v>
      </c>
      <c r="D23" s="67" t="e">
        <f>COUNTIFS(#REF!,'Sales Campaign Overview'!$A23,#REF!,"won",#REF!,"1")</f>
        <v>#REF!</v>
      </c>
      <c r="E23" s="66" t="e">
        <f>SUMIFS(#REF!,#REF!,'Sales Campaign Overview'!$A23,#REF!,"won",#REF!,"1")</f>
        <v>#REF!</v>
      </c>
      <c r="F23" s="67" t="e">
        <f>COUNTIFS(#REF!,'Sales Campaign Overview'!$A23,#REF!,"won",#REF!,"2")</f>
        <v>#REF!</v>
      </c>
      <c r="G23" s="66" t="e">
        <f>SUMIFS(#REF!,#REF!,'Sales Campaign Overview'!$A23,#REF!,"won",#REF!,"2")</f>
        <v>#REF!</v>
      </c>
      <c r="H23" s="67" t="e">
        <f>COUNTIFS(#REF!,'Sales Campaign Overview'!$A23,#REF!,"won",#REF!,"3")</f>
        <v>#REF!</v>
      </c>
      <c r="I23" s="66" t="e">
        <f>SUMIFS(#REF!,#REF!,'Sales Campaign Overview'!$A23,#REF!,"won",#REF!,"3")</f>
        <v>#REF!</v>
      </c>
      <c r="J23" s="67" t="e">
        <f>COUNTIFS(#REF!,'Sales Campaign Overview'!$A23,#REF!,"won",#REF!,"4")</f>
        <v>#REF!</v>
      </c>
      <c r="K23" s="66" t="e">
        <f>SUMIFS(#REF!,#REF!,'Sales Campaign Overview'!$A23,#REF!,"won",#REF!,"4")</f>
        <v>#REF!</v>
      </c>
      <c r="L23" s="67" t="e">
        <f>COUNTIFS(#REF!,'Sales Campaign Overview'!$A23,#REF!,"won",#REF!,"5")</f>
        <v>#REF!</v>
      </c>
      <c r="M23" s="66" t="e">
        <f>SUMIFS(#REF!,#REF!,'Sales Campaign Overview'!$A23,#REF!,"won",#REF!,"5")</f>
        <v>#REF!</v>
      </c>
      <c r="N23" s="67" t="e">
        <f>COUNTIFS(#REF!,'Sales Campaign Overview'!$A23,#REF!,"won",#REF!,"6")</f>
        <v>#REF!</v>
      </c>
      <c r="O23" s="66" t="e">
        <f>SUMIFS(#REF!,#REF!,'Sales Campaign Overview'!$A23,#REF!,"won",#REF!,"6")</f>
        <v>#REF!</v>
      </c>
      <c r="P23" s="67" t="e">
        <f>COUNTIFS(#REF!,'Sales Campaign Overview'!$A23,#REF!,"won",#REF!,"7")</f>
        <v>#REF!</v>
      </c>
      <c r="Q23" s="66" t="e">
        <f>SUMIFS(#REF!,#REF!,'Sales Campaign Overview'!$A23,#REF!,"won",#REF!,"7")</f>
        <v>#REF!</v>
      </c>
      <c r="R23" s="67" t="e">
        <f>COUNTIFS(#REF!,'Sales Campaign Overview'!$A23,#REF!,"won",#REF!,"8")</f>
        <v>#REF!</v>
      </c>
      <c r="S23" s="66" t="e">
        <f>SUMIFS(#REF!,#REF!,'Sales Campaign Overview'!$A23,#REF!,"won",#REF!,"8")</f>
        <v>#REF!</v>
      </c>
      <c r="T23" s="67" t="e">
        <f>COUNTIFS(#REF!,'Sales Campaign Overview'!$A23,#REF!,"won",#REF!,"9")</f>
        <v>#REF!</v>
      </c>
      <c r="U23" s="66" t="e">
        <f>SUMIFS(#REF!,#REF!,'Sales Campaign Overview'!$A23,#REF!,"won",#REF!,"9")</f>
        <v>#REF!</v>
      </c>
      <c r="V23" s="67" t="e">
        <f>COUNTIFS(#REF!,'Sales Campaign Overview'!$A23,#REF!,"won",#REF!,"10")</f>
        <v>#REF!</v>
      </c>
      <c r="W23" s="66" t="e">
        <f>SUMIFS(#REF!,#REF!,'Sales Campaign Overview'!$A23,#REF!,"won",#REF!,"10")</f>
        <v>#REF!</v>
      </c>
      <c r="X23" s="67" t="e">
        <f>COUNTIFS(#REF!,'Sales Campaign Overview'!$A23,#REF!,"won",#REF!,"11")</f>
        <v>#REF!</v>
      </c>
      <c r="Y23" s="66" t="e">
        <f>SUMIFS(#REF!,#REF!,'Sales Campaign Overview'!$A23,#REF!,"won",#REF!,"11")</f>
        <v>#REF!</v>
      </c>
      <c r="Z23" s="67" t="e">
        <f>COUNTIFS(#REF!,'Sales Campaign Overview'!$A23,#REF!,"won",#REF!,"12")</f>
        <v>#REF!</v>
      </c>
      <c r="AA23" s="66" t="e">
        <f>SUMIFS(#REF!,#REF!,'Sales Campaign Overview'!$A23,#REF!,"won",#REF!,"12")</f>
        <v>#REF!</v>
      </c>
    </row>
    <row r="24" spans="1:27" x14ac:dyDescent="0.4">
      <c r="A24" s="60" t="s">
        <v>903</v>
      </c>
      <c r="B24" s="68" t="e">
        <f>COUNTIFS(#REF!,'Sales Campaign Overview'!$A24,#REF!,"won")</f>
        <v>#REF!</v>
      </c>
      <c r="C24" s="66" t="e">
        <f>SUMIFS(#REF!,#REF!,'Sales Campaign Overview'!$A24,#REF!,"won")</f>
        <v>#REF!</v>
      </c>
      <c r="D24" s="67" t="e">
        <f>COUNTIFS(#REF!,'Sales Campaign Overview'!$A24,#REF!,"won",#REF!,"1")</f>
        <v>#REF!</v>
      </c>
      <c r="E24" s="66" t="e">
        <f>SUMIFS(#REF!,#REF!,'Sales Campaign Overview'!$A24,#REF!,"won",#REF!,"1")</f>
        <v>#REF!</v>
      </c>
      <c r="F24" s="67" t="e">
        <f>COUNTIFS(#REF!,'Sales Campaign Overview'!$A24,#REF!,"won",#REF!,"2")</f>
        <v>#REF!</v>
      </c>
      <c r="G24" s="66" t="e">
        <f>SUMIFS(#REF!,#REF!,'Sales Campaign Overview'!$A24,#REF!,"won",#REF!,"2")</f>
        <v>#REF!</v>
      </c>
      <c r="H24" s="67" t="e">
        <f>COUNTIFS(#REF!,'Sales Campaign Overview'!$A24,#REF!,"won",#REF!,"3")</f>
        <v>#REF!</v>
      </c>
      <c r="I24" s="66" t="e">
        <f>SUMIFS(#REF!,#REF!,'Sales Campaign Overview'!$A24,#REF!,"won",#REF!,"3")</f>
        <v>#REF!</v>
      </c>
      <c r="J24" s="67" t="e">
        <f>COUNTIFS(#REF!,'Sales Campaign Overview'!$A24,#REF!,"won",#REF!,"4")</f>
        <v>#REF!</v>
      </c>
      <c r="K24" s="66" t="e">
        <f>SUMIFS(#REF!,#REF!,'Sales Campaign Overview'!$A24,#REF!,"won",#REF!,"4")</f>
        <v>#REF!</v>
      </c>
      <c r="L24" s="67" t="e">
        <f>COUNTIFS(#REF!,'Sales Campaign Overview'!$A24,#REF!,"won",#REF!,"5")</f>
        <v>#REF!</v>
      </c>
      <c r="M24" s="66" t="e">
        <f>SUMIFS(#REF!,#REF!,'Sales Campaign Overview'!$A24,#REF!,"won",#REF!,"5")</f>
        <v>#REF!</v>
      </c>
      <c r="N24" s="67" t="e">
        <f>COUNTIFS(#REF!,'Sales Campaign Overview'!$A24,#REF!,"won",#REF!,"6")</f>
        <v>#REF!</v>
      </c>
      <c r="O24" s="66" t="e">
        <f>SUMIFS(#REF!,#REF!,'Sales Campaign Overview'!$A24,#REF!,"won",#REF!,"6")</f>
        <v>#REF!</v>
      </c>
      <c r="P24" s="67" t="e">
        <f>COUNTIFS(#REF!,'Sales Campaign Overview'!$A24,#REF!,"won",#REF!,"7")</f>
        <v>#REF!</v>
      </c>
      <c r="Q24" s="66" t="e">
        <f>SUMIFS(#REF!,#REF!,'Sales Campaign Overview'!$A24,#REF!,"won",#REF!,"7")</f>
        <v>#REF!</v>
      </c>
      <c r="R24" s="67" t="e">
        <f>COUNTIFS(#REF!,'Sales Campaign Overview'!$A24,#REF!,"won",#REF!,"8")</f>
        <v>#REF!</v>
      </c>
      <c r="S24" s="66" t="e">
        <f>SUMIFS(#REF!,#REF!,'Sales Campaign Overview'!$A24,#REF!,"won",#REF!,"8")</f>
        <v>#REF!</v>
      </c>
      <c r="T24" s="67" t="e">
        <f>COUNTIFS(#REF!,'Sales Campaign Overview'!$A24,#REF!,"won",#REF!,"9")</f>
        <v>#REF!</v>
      </c>
      <c r="U24" s="66" t="e">
        <f>SUMIFS(#REF!,#REF!,'Sales Campaign Overview'!$A24,#REF!,"won",#REF!,"9")</f>
        <v>#REF!</v>
      </c>
      <c r="V24" s="67" t="e">
        <f>COUNTIFS(#REF!,'Sales Campaign Overview'!$A24,#REF!,"won",#REF!,"10")</f>
        <v>#REF!</v>
      </c>
      <c r="W24" s="66" t="e">
        <f>SUMIFS(#REF!,#REF!,'Sales Campaign Overview'!$A24,#REF!,"won",#REF!,"10")</f>
        <v>#REF!</v>
      </c>
      <c r="X24" s="67" t="e">
        <f>COUNTIFS(#REF!,'Sales Campaign Overview'!$A24,#REF!,"won",#REF!,"11")</f>
        <v>#REF!</v>
      </c>
      <c r="Y24" s="66" t="e">
        <f>SUMIFS(#REF!,#REF!,'Sales Campaign Overview'!$A24,#REF!,"won",#REF!,"11")</f>
        <v>#REF!</v>
      </c>
      <c r="Z24" s="67" t="e">
        <f>COUNTIFS(#REF!,'Sales Campaign Overview'!$A24,#REF!,"won",#REF!,"12")</f>
        <v>#REF!</v>
      </c>
      <c r="AA24" s="66" t="e">
        <f>SUMIFS(#REF!,#REF!,'Sales Campaign Overview'!$A24,#REF!,"won",#REF!,"12")</f>
        <v>#REF!</v>
      </c>
    </row>
    <row r="25" spans="1:27" x14ac:dyDescent="0.4">
      <c r="A25" s="60" t="s">
        <v>883</v>
      </c>
      <c r="B25" s="68" t="e">
        <f>COUNTIFS(#REF!,'Sales Campaign Overview'!$A25,#REF!,"won")</f>
        <v>#REF!</v>
      </c>
      <c r="C25" s="66" t="e">
        <f>SUMIFS(#REF!,#REF!,'Sales Campaign Overview'!$A25,#REF!,"won")</f>
        <v>#REF!</v>
      </c>
      <c r="D25" s="67" t="e">
        <f>COUNTIFS(#REF!,'Sales Campaign Overview'!$A25,#REF!,"won",#REF!,"1")</f>
        <v>#REF!</v>
      </c>
      <c r="E25" s="66" t="e">
        <f>SUMIFS(#REF!,#REF!,'Sales Campaign Overview'!$A25,#REF!,"won",#REF!,"1")</f>
        <v>#REF!</v>
      </c>
      <c r="F25" s="67" t="e">
        <f>COUNTIFS(#REF!,'Sales Campaign Overview'!$A25,#REF!,"won",#REF!,"2")</f>
        <v>#REF!</v>
      </c>
      <c r="G25" s="66" t="e">
        <f>SUMIFS(#REF!,#REF!,'Sales Campaign Overview'!$A25,#REF!,"won",#REF!,"2")</f>
        <v>#REF!</v>
      </c>
      <c r="H25" s="67" t="e">
        <f>COUNTIFS(#REF!,'Sales Campaign Overview'!$A25,#REF!,"won",#REF!,"3")</f>
        <v>#REF!</v>
      </c>
      <c r="I25" s="66" t="e">
        <f>SUMIFS(#REF!,#REF!,'Sales Campaign Overview'!$A25,#REF!,"won",#REF!,"3")</f>
        <v>#REF!</v>
      </c>
      <c r="J25" s="67" t="e">
        <f>COUNTIFS(#REF!,'Sales Campaign Overview'!$A25,#REF!,"won",#REF!,"4")</f>
        <v>#REF!</v>
      </c>
      <c r="K25" s="66" t="e">
        <f>SUMIFS(#REF!,#REF!,'Sales Campaign Overview'!$A25,#REF!,"won",#REF!,"4")</f>
        <v>#REF!</v>
      </c>
      <c r="L25" s="67" t="e">
        <f>COUNTIFS(#REF!,'Sales Campaign Overview'!$A25,#REF!,"won",#REF!,"5")</f>
        <v>#REF!</v>
      </c>
      <c r="M25" s="66" t="e">
        <f>SUMIFS(#REF!,#REF!,'Sales Campaign Overview'!$A25,#REF!,"won",#REF!,"5")</f>
        <v>#REF!</v>
      </c>
      <c r="N25" s="67" t="e">
        <f>COUNTIFS(#REF!,'Sales Campaign Overview'!$A25,#REF!,"won",#REF!,"6")</f>
        <v>#REF!</v>
      </c>
      <c r="O25" s="66" t="e">
        <f>SUMIFS(#REF!,#REF!,'Sales Campaign Overview'!$A25,#REF!,"won",#REF!,"6")</f>
        <v>#REF!</v>
      </c>
      <c r="P25" s="67" t="e">
        <f>COUNTIFS(#REF!,'Sales Campaign Overview'!$A25,#REF!,"won",#REF!,"7")</f>
        <v>#REF!</v>
      </c>
      <c r="Q25" s="66" t="e">
        <f>SUMIFS(#REF!,#REF!,'Sales Campaign Overview'!$A25,#REF!,"won",#REF!,"7")</f>
        <v>#REF!</v>
      </c>
      <c r="R25" s="67" t="e">
        <f>COUNTIFS(#REF!,'Sales Campaign Overview'!$A25,#REF!,"won",#REF!,"8")</f>
        <v>#REF!</v>
      </c>
      <c r="S25" s="66" t="e">
        <f>SUMIFS(#REF!,#REF!,'Sales Campaign Overview'!$A25,#REF!,"won",#REF!,"8")</f>
        <v>#REF!</v>
      </c>
      <c r="T25" s="67" t="e">
        <f>COUNTIFS(#REF!,'Sales Campaign Overview'!$A25,#REF!,"won",#REF!,"9")</f>
        <v>#REF!</v>
      </c>
      <c r="U25" s="66" t="e">
        <f>SUMIFS(#REF!,#REF!,'Sales Campaign Overview'!$A25,#REF!,"won",#REF!,"9")</f>
        <v>#REF!</v>
      </c>
      <c r="V25" s="67" t="e">
        <f>COUNTIFS(#REF!,'Sales Campaign Overview'!$A25,#REF!,"won",#REF!,"10")</f>
        <v>#REF!</v>
      </c>
      <c r="W25" s="66" t="e">
        <f>SUMIFS(#REF!,#REF!,'Sales Campaign Overview'!$A25,#REF!,"won",#REF!,"10")</f>
        <v>#REF!</v>
      </c>
      <c r="X25" s="67" t="e">
        <f>COUNTIFS(#REF!,'Sales Campaign Overview'!$A25,#REF!,"won",#REF!,"11")</f>
        <v>#REF!</v>
      </c>
      <c r="Y25" s="66" t="e">
        <f>SUMIFS(#REF!,#REF!,'Sales Campaign Overview'!$A25,#REF!,"won",#REF!,"11")</f>
        <v>#REF!</v>
      </c>
      <c r="Z25" s="67" t="e">
        <f>COUNTIFS(#REF!,'Sales Campaign Overview'!$A25,#REF!,"won",#REF!,"12")</f>
        <v>#REF!</v>
      </c>
      <c r="AA25" s="66" t="e">
        <f>SUMIFS(#REF!,#REF!,'Sales Campaign Overview'!$A25,#REF!,"won",#REF!,"12")</f>
        <v>#REF!</v>
      </c>
    </row>
    <row r="26" spans="1:27" ht="15" thickBot="1" x14ac:dyDescent="0.45">
      <c r="A26" s="41" t="s">
        <v>904</v>
      </c>
      <c r="B26" t="e">
        <f>COUNTIFS(#REF!,'Sales Campaign Overview'!$A26,#REF!,"won")</f>
        <v>#REF!</v>
      </c>
      <c r="C26" s="42" t="e">
        <f>SUMIFS(#REF!,#REF!,'Sales Campaign Overview'!$A26,#REF!,"won")</f>
        <v>#REF!</v>
      </c>
      <c r="D26" s="59" t="e">
        <f>COUNTIFS(#REF!,'Sales Campaign Overview'!$A26,#REF!,"won",#REF!,"1")</f>
        <v>#REF!</v>
      </c>
      <c r="E26" s="42" t="e">
        <f>SUMIFS(#REF!,#REF!,'Sales Campaign Overview'!$A26,#REF!,"won",#REF!,"1")</f>
        <v>#REF!</v>
      </c>
      <c r="F26" s="59" t="e">
        <f>COUNTIFS(#REF!,'Sales Campaign Overview'!$A26,#REF!,"won",#REF!,"2")</f>
        <v>#REF!</v>
      </c>
      <c r="G26" s="42" t="e">
        <f>SUMIFS(#REF!,#REF!,'Sales Campaign Overview'!$A26,#REF!,"won",#REF!,"2")</f>
        <v>#REF!</v>
      </c>
      <c r="H26" s="59" t="e">
        <f>COUNTIFS(#REF!,'Sales Campaign Overview'!$A26,#REF!,"won",#REF!,"3")</f>
        <v>#REF!</v>
      </c>
      <c r="I26" s="42" t="e">
        <f>SUMIFS(#REF!,#REF!,'Sales Campaign Overview'!$A26,#REF!,"won",#REF!,"3")</f>
        <v>#REF!</v>
      </c>
      <c r="J26" s="59" t="e">
        <f>COUNTIFS(#REF!,'Sales Campaign Overview'!$A26,#REF!,"won",#REF!,"4")</f>
        <v>#REF!</v>
      </c>
      <c r="K26" s="42" t="e">
        <f>SUMIFS(#REF!,#REF!,'Sales Campaign Overview'!$A26,#REF!,"won",#REF!,"4")</f>
        <v>#REF!</v>
      </c>
      <c r="L26" s="59" t="e">
        <f>COUNTIFS(#REF!,'Sales Campaign Overview'!$A26,#REF!,"won",#REF!,"5")</f>
        <v>#REF!</v>
      </c>
      <c r="M26" s="42" t="e">
        <f>SUMIFS(#REF!,#REF!,'Sales Campaign Overview'!$A26,#REF!,"won",#REF!,"5")</f>
        <v>#REF!</v>
      </c>
      <c r="N26" s="59" t="e">
        <f>COUNTIFS(#REF!,'Sales Campaign Overview'!$A26,#REF!,"won",#REF!,"6")</f>
        <v>#REF!</v>
      </c>
      <c r="O26" s="42" t="e">
        <f>SUMIFS(#REF!,#REF!,'Sales Campaign Overview'!$A26,#REF!,"won",#REF!,"6")</f>
        <v>#REF!</v>
      </c>
      <c r="P26" s="59" t="e">
        <f>COUNTIFS(#REF!,'Sales Campaign Overview'!$A26,#REF!,"won",#REF!,"7")</f>
        <v>#REF!</v>
      </c>
      <c r="Q26" s="42" t="e">
        <f>SUMIFS(#REF!,#REF!,'Sales Campaign Overview'!$A26,#REF!,"won",#REF!,"7")</f>
        <v>#REF!</v>
      </c>
      <c r="R26" s="59" t="e">
        <f>COUNTIFS(#REF!,'Sales Campaign Overview'!$A26,#REF!,"won",#REF!,"8")</f>
        <v>#REF!</v>
      </c>
      <c r="S26" s="42" t="e">
        <f>SUMIFS(#REF!,#REF!,'Sales Campaign Overview'!$A26,#REF!,"won",#REF!,"8")</f>
        <v>#REF!</v>
      </c>
      <c r="T26" s="59" t="e">
        <f>COUNTIFS(#REF!,'Sales Campaign Overview'!$A26,#REF!,"won",#REF!,"9")</f>
        <v>#REF!</v>
      </c>
      <c r="U26" s="42" t="e">
        <f>SUMIFS(#REF!,#REF!,'Sales Campaign Overview'!$A26,#REF!,"won",#REF!,"9")</f>
        <v>#REF!</v>
      </c>
      <c r="V26" s="59" t="e">
        <f>COUNTIFS(#REF!,'Sales Campaign Overview'!$A26,#REF!,"won",#REF!,"10")</f>
        <v>#REF!</v>
      </c>
      <c r="W26" s="42" t="e">
        <f>SUMIFS(#REF!,#REF!,'Sales Campaign Overview'!$A26,#REF!,"won",#REF!,"10")</f>
        <v>#REF!</v>
      </c>
      <c r="X26" s="59" t="e">
        <f>COUNTIFS(#REF!,'Sales Campaign Overview'!$A26,#REF!,"won",#REF!,"11")</f>
        <v>#REF!</v>
      </c>
      <c r="Y26" s="42" t="e">
        <f>SUMIFS(#REF!,#REF!,'Sales Campaign Overview'!$A26,#REF!,"won",#REF!,"11")</f>
        <v>#REF!</v>
      </c>
      <c r="Z26" s="59" t="e">
        <f>COUNTIFS(#REF!,'Sales Campaign Overview'!$A26,#REF!,"won",#REF!,"12")</f>
        <v>#REF!</v>
      </c>
      <c r="AA26" s="42" t="e">
        <f>SUMIFS(#REF!,#REF!,'Sales Campaign Overview'!$A26,#REF!,"won",#REF!,"12")</f>
        <v>#REF!</v>
      </c>
    </row>
    <row r="27" spans="1:27" ht="15" thickBot="1" x14ac:dyDescent="0.45">
      <c r="A27" s="61" t="s">
        <v>35</v>
      </c>
      <c r="B27" s="62" t="e">
        <f>SUM(B17+B18+B19+B20+B21+B22+B23+B24+B25+B26)</f>
        <v>#REF!</v>
      </c>
      <c r="C27" s="63" t="e">
        <f>SUM(C17+C18+C19+C20+C21+C22+C23+C24+C25+C26)</f>
        <v>#REF!</v>
      </c>
      <c r="D27" s="62" t="e">
        <f>SUM(D17+D18+D19+D20+D21+D22+D23+D24+D25+D26)</f>
        <v>#REF!</v>
      </c>
      <c r="E27" s="63" t="e">
        <f>SUM(E17+E18+E19+E20+E21+E22+E23+E24+E25+E26)</f>
        <v>#REF!</v>
      </c>
      <c r="F27" s="62" t="e">
        <f>SUM(F17:F26)</f>
        <v>#REF!</v>
      </c>
      <c r="G27" s="63" t="e">
        <f t="shared" ref="G27:AA27" si="1">SUM(G17+G18+G19+G20+G21+G22+G23+G24+G25+G26)</f>
        <v>#REF!</v>
      </c>
      <c r="H27" s="62" t="e">
        <f t="shared" si="1"/>
        <v>#REF!</v>
      </c>
      <c r="I27" s="63" t="e">
        <f t="shared" si="1"/>
        <v>#REF!</v>
      </c>
      <c r="J27" s="62" t="e">
        <f t="shared" si="1"/>
        <v>#REF!</v>
      </c>
      <c r="K27" s="63" t="e">
        <f t="shared" si="1"/>
        <v>#REF!</v>
      </c>
      <c r="L27" s="62" t="e">
        <f t="shared" si="1"/>
        <v>#REF!</v>
      </c>
      <c r="M27" s="63" t="e">
        <f t="shared" si="1"/>
        <v>#REF!</v>
      </c>
      <c r="N27" s="62" t="e">
        <f t="shared" si="1"/>
        <v>#REF!</v>
      </c>
      <c r="O27" s="63" t="e">
        <f t="shared" si="1"/>
        <v>#REF!</v>
      </c>
      <c r="P27" s="62" t="e">
        <f t="shared" si="1"/>
        <v>#REF!</v>
      </c>
      <c r="Q27" s="63" t="e">
        <f t="shared" si="1"/>
        <v>#REF!</v>
      </c>
      <c r="R27" s="62" t="e">
        <f t="shared" si="1"/>
        <v>#REF!</v>
      </c>
      <c r="S27" s="63" t="e">
        <f t="shared" si="1"/>
        <v>#REF!</v>
      </c>
      <c r="T27" s="62" t="e">
        <f t="shared" si="1"/>
        <v>#REF!</v>
      </c>
      <c r="U27" s="63" t="e">
        <f t="shared" si="1"/>
        <v>#REF!</v>
      </c>
      <c r="V27" s="62" t="e">
        <f t="shared" si="1"/>
        <v>#REF!</v>
      </c>
      <c r="W27" s="63" t="e">
        <f t="shared" si="1"/>
        <v>#REF!</v>
      </c>
      <c r="X27" s="62" t="e">
        <f t="shared" si="1"/>
        <v>#REF!</v>
      </c>
      <c r="Y27" s="63" t="e">
        <f t="shared" si="1"/>
        <v>#REF!</v>
      </c>
      <c r="Z27" s="62" t="e">
        <f t="shared" si="1"/>
        <v>#REF!</v>
      </c>
      <c r="AA27" s="64" t="e">
        <f t="shared" si="1"/>
        <v>#REF!</v>
      </c>
    </row>
  </sheetData>
  <mergeCells count="26">
    <mergeCell ref="V16:W16"/>
    <mergeCell ref="X16:Y16"/>
    <mergeCell ref="Z16:AA16"/>
    <mergeCell ref="L16:M16"/>
    <mergeCell ref="N16:O16"/>
    <mergeCell ref="P16:Q16"/>
    <mergeCell ref="R16:S16"/>
    <mergeCell ref="T16:U16"/>
    <mergeCell ref="B16:C16"/>
    <mergeCell ref="D16:E16"/>
    <mergeCell ref="F16:G16"/>
    <mergeCell ref="H16:I16"/>
    <mergeCell ref="J16:K16"/>
    <mergeCell ref="Z1:AA1"/>
    <mergeCell ref="N1:O1"/>
    <mergeCell ref="P1:Q1"/>
    <mergeCell ref="R1:S1"/>
    <mergeCell ref="T1:U1"/>
    <mergeCell ref="V1:W1"/>
    <mergeCell ref="X1:Y1"/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EDC2-7CE4-4F83-AF80-3658E0A46E1B}">
  <dimension ref="A1:N33"/>
  <sheetViews>
    <sheetView zoomScaleNormal="100" workbookViewId="0">
      <selection activeCell="E12" sqref="E12"/>
    </sheetView>
  </sheetViews>
  <sheetFormatPr defaultRowHeight="14.6" x14ac:dyDescent="0.4"/>
  <cols>
    <col min="1" max="1" width="31.3828125" bestFit="1" customWidth="1"/>
    <col min="2" max="2" width="17.84375" bestFit="1" customWidth="1"/>
    <col min="3" max="5" width="10.15234375" bestFit="1" customWidth="1"/>
    <col min="6" max="6" width="11.15234375" bestFit="1" customWidth="1"/>
    <col min="7" max="10" width="10.15234375" bestFit="1" customWidth="1"/>
    <col min="11" max="11" width="9.15234375" bestFit="1" customWidth="1"/>
    <col min="12" max="12" width="5.53515625" bestFit="1" customWidth="1"/>
    <col min="13" max="13" width="10.15234375" bestFit="1" customWidth="1"/>
    <col min="14" max="14" width="11.3046875" bestFit="1" customWidth="1"/>
    <col min="15" max="26" width="17.84375" bestFit="1" customWidth="1"/>
    <col min="27" max="27" width="11.3046875" bestFit="1" customWidth="1"/>
  </cols>
  <sheetData>
    <row r="1" spans="1:14" x14ac:dyDescent="0.4">
      <c r="A1" s="9" t="s">
        <v>905</v>
      </c>
      <c r="B1" s="10">
        <v>2019</v>
      </c>
    </row>
    <row r="2" spans="1:14" x14ac:dyDescent="0.4">
      <c r="A2" s="9" t="s">
        <v>906</v>
      </c>
      <c r="B2" t="s">
        <v>880</v>
      </c>
    </row>
    <row r="3" spans="1:14" x14ac:dyDescent="0.4">
      <c r="A3" s="9" t="s">
        <v>843</v>
      </c>
      <c r="B3" t="s">
        <v>881</v>
      </c>
    </row>
    <row r="4" spans="1:14" x14ac:dyDescent="0.4">
      <c r="A4" s="9" t="s">
        <v>310</v>
      </c>
      <c r="B4" t="s">
        <v>881</v>
      </c>
    </row>
    <row r="6" spans="1:14" x14ac:dyDescent="0.4">
      <c r="A6" s="9" t="s">
        <v>313</v>
      </c>
      <c r="B6" s="9" t="s">
        <v>907</v>
      </c>
    </row>
    <row r="7" spans="1:14" x14ac:dyDescent="0.4">
      <c r="A7" s="9" t="s">
        <v>308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369</v>
      </c>
      <c r="K7" t="s">
        <v>10</v>
      </c>
      <c r="L7" t="s">
        <v>11</v>
      </c>
      <c r="M7" t="s">
        <v>12</v>
      </c>
      <c r="N7" t="s">
        <v>766</v>
      </c>
    </row>
    <row r="8" spans="1:14" x14ac:dyDescent="0.4">
      <c r="A8" s="10" t="s">
        <v>896</v>
      </c>
      <c r="B8" s="1"/>
      <c r="C8" s="1"/>
      <c r="D8" s="1">
        <v>5100</v>
      </c>
      <c r="E8" s="1">
        <v>14621.02</v>
      </c>
      <c r="F8" s="1">
        <v>7062.5</v>
      </c>
      <c r="G8" s="1"/>
      <c r="H8" s="1"/>
      <c r="I8" s="1">
        <v>250</v>
      </c>
      <c r="J8" s="1"/>
      <c r="K8" s="1"/>
      <c r="L8" s="1"/>
      <c r="M8" s="1">
        <v>7250</v>
      </c>
      <c r="N8" s="1">
        <v>34283.520000000004</v>
      </c>
    </row>
    <row r="9" spans="1:14" x14ac:dyDescent="0.4">
      <c r="A9" s="10" t="s">
        <v>899</v>
      </c>
      <c r="B9" s="1">
        <v>9490.7000000000007</v>
      </c>
      <c r="C9" s="1">
        <v>172.12</v>
      </c>
      <c r="D9" s="1">
        <v>12286.8</v>
      </c>
      <c r="E9" s="1">
        <v>2265</v>
      </c>
      <c r="F9" s="1">
        <v>7920</v>
      </c>
      <c r="G9" s="1">
        <v>40775.24</v>
      </c>
      <c r="H9" s="1">
        <v>7820</v>
      </c>
      <c r="I9" s="1">
        <v>40438.36</v>
      </c>
      <c r="J9" s="1">
        <v>12000</v>
      </c>
      <c r="K9" s="1">
        <v>5000</v>
      </c>
      <c r="L9" s="1"/>
      <c r="M9" s="1"/>
      <c r="N9" s="1">
        <v>138168.22</v>
      </c>
    </row>
    <row r="10" spans="1:14" x14ac:dyDescent="0.4">
      <c r="A10" s="10" t="s">
        <v>900</v>
      </c>
      <c r="B10" s="1"/>
      <c r="C10" s="1">
        <v>189</v>
      </c>
      <c r="D10" s="1">
        <v>12650</v>
      </c>
      <c r="E10" s="1"/>
      <c r="F10" s="1">
        <v>500</v>
      </c>
      <c r="G10" s="1">
        <v>250</v>
      </c>
      <c r="H10" s="1"/>
      <c r="I10" s="1"/>
      <c r="J10" s="1"/>
      <c r="K10" s="1"/>
      <c r="L10" s="1"/>
      <c r="M10" s="1">
        <v>4850</v>
      </c>
      <c r="N10" s="1">
        <v>18439</v>
      </c>
    </row>
    <row r="11" spans="1:14" x14ac:dyDescent="0.4">
      <c r="A11" s="10" t="s">
        <v>901</v>
      </c>
      <c r="B11" s="1"/>
      <c r="C11" s="1"/>
      <c r="D11" s="1">
        <v>312</v>
      </c>
      <c r="E11" s="1">
        <v>754.12</v>
      </c>
      <c r="F11" s="1"/>
      <c r="G11" s="1"/>
      <c r="H11" s="1"/>
      <c r="I11" s="1"/>
      <c r="J11" s="1"/>
      <c r="K11" s="1"/>
      <c r="L11" s="1"/>
      <c r="M11" s="1"/>
      <c r="N11" s="1">
        <v>1066.1199999999999</v>
      </c>
    </row>
    <row r="12" spans="1:14" x14ac:dyDescent="0.4">
      <c r="A12" s="10" t="s">
        <v>902</v>
      </c>
      <c r="B12" s="1">
        <v>1986</v>
      </c>
      <c r="C12" s="1">
        <v>1078</v>
      </c>
      <c r="D12" s="1">
        <v>1139</v>
      </c>
      <c r="E12" s="1"/>
      <c r="F12" s="1">
        <v>1327</v>
      </c>
      <c r="G12" s="1"/>
      <c r="H12" s="1"/>
      <c r="I12" s="1"/>
      <c r="J12" s="1"/>
      <c r="K12" s="1"/>
      <c r="L12" s="1"/>
      <c r="M12" s="1"/>
      <c r="N12" s="1">
        <v>5530</v>
      </c>
    </row>
    <row r="13" spans="1:14" x14ac:dyDescent="0.4">
      <c r="A13" s="10" t="s">
        <v>883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25000</v>
      </c>
      <c r="N13" s="1">
        <v>25000</v>
      </c>
    </row>
    <row r="14" spans="1:14" x14ac:dyDescent="0.4">
      <c r="A14" s="10" t="s">
        <v>652</v>
      </c>
      <c r="B14" s="1">
        <v>34338.53</v>
      </c>
      <c r="C14" s="1">
        <v>45174.020000000004</v>
      </c>
      <c r="D14" s="1">
        <v>58458.939999999995</v>
      </c>
      <c r="E14" s="1">
        <v>62772.950000000012</v>
      </c>
      <c r="F14" s="1">
        <v>105239.12999999999</v>
      </c>
      <c r="G14" s="1">
        <v>14895.380000000001</v>
      </c>
      <c r="H14" s="1">
        <v>25745.09</v>
      </c>
      <c r="I14" s="1">
        <v>7703.21</v>
      </c>
      <c r="J14" s="1">
        <v>22534.63</v>
      </c>
      <c r="K14" s="1"/>
      <c r="L14" s="1">
        <v>0</v>
      </c>
      <c r="M14" s="1">
        <v>25000</v>
      </c>
      <c r="N14" s="1">
        <v>401861.88000000006</v>
      </c>
    </row>
    <row r="15" spans="1:14" x14ac:dyDescent="0.4">
      <c r="A15" s="10" t="s">
        <v>766</v>
      </c>
      <c r="B15" s="1">
        <v>45815.229999999996</v>
      </c>
      <c r="C15" s="1">
        <v>46613.140000000007</v>
      </c>
      <c r="D15" s="1">
        <v>89946.739999999991</v>
      </c>
      <c r="E15" s="1">
        <v>80413.090000000011</v>
      </c>
      <c r="F15" s="1">
        <v>122048.62999999999</v>
      </c>
      <c r="G15" s="1">
        <v>55920.619999999995</v>
      </c>
      <c r="H15" s="1">
        <v>33565.089999999997</v>
      </c>
      <c r="I15" s="1">
        <v>48391.57</v>
      </c>
      <c r="J15" s="1">
        <v>34534.630000000005</v>
      </c>
      <c r="K15" s="1">
        <v>5000</v>
      </c>
      <c r="L15" s="1">
        <v>0</v>
      </c>
      <c r="M15" s="1">
        <v>62100</v>
      </c>
      <c r="N15" s="1">
        <v>624348.74</v>
      </c>
    </row>
    <row r="19" spans="1:14" x14ac:dyDescent="0.4">
      <c r="A19" s="9" t="s">
        <v>905</v>
      </c>
      <c r="B19" s="10">
        <v>2019</v>
      </c>
    </row>
    <row r="20" spans="1:14" x14ac:dyDescent="0.4">
      <c r="A20" s="9" t="s">
        <v>906</v>
      </c>
      <c r="B20" t="s">
        <v>880</v>
      </c>
    </row>
    <row r="21" spans="1:14" x14ac:dyDescent="0.4">
      <c r="A21" s="9" t="s">
        <v>843</v>
      </c>
      <c r="B21" t="s">
        <v>881</v>
      </c>
    </row>
    <row r="22" spans="1:14" x14ac:dyDescent="0.4">
      <c r="A22" s="9" t="s">
        <v>310</v>
      </c>
      <c r="B22" t="s">
        <v>881</v>
      </c>
    </row>
    <row r="24" spans="1:14" x14ac:dyDescent="0.4">
      <c r="A24" s="9" t="s">
        <v>908</v>
      </c>
      <c r="B24" s="9" t="s">
        <v>907</v>
      </c>
    </row>
    <row r="25" spans="1:14" x14ac:dyDescent="0.4">
      <c r="A25" s="9" t="s">
        <v>308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369</v>
      </c>
      <c r="K25" t="s">
        <v>10</v>
      </c>
      <c r="L25" t="s">
        <v>11</v>
      </c>
      <c r="M25" t="s">
        <v>12</v>
      </c>
      <c r="N25" t="s">
        <v>766</v>
      </c>
    </row>
    <row r="26" spans="1:14" x14ac:dyDescent="0.4">
      <c r="A26" s="10" t="s">
        <v>896</v>
      </c>
      <c r="D26">
        <v>1</v>
      </c>
      <c r="E26">
        <v>1</v>
      </c>
      <c r="F26">
        <v>2</v>
      </c>
      <c r="I26">
        <v>1</v>
      </c>
      <c r="M26">
        <v>2</v>
      </c>
      <c r="N26">
        <v>7</v>
      </c>
    </row>
    <row r="27" spans="1:14" x14ac:dyDescent="0.4">
      <c r="A27" s="10" t="s">
        <v>899</v>
      </c>
      <c r="B27">
        <v>3</v>
      </c>
      <c r="C27">
        <v>1</v>
      </c>
      <c r="D27">
        <v>3</v>
      </c>
      <c r="E27">
        <v>1</v>
      </c>
      <c r="F27">
        <v>2</v>
      </c>
      <c r="G27">
        <v>6</v>
      </c>
      <c r="H27">
        <v>3</v>
      </c>
      <c r="I27">
        <v>5</v>
      </c>
      <c r="J27">
        <v>2</v>
      </c>
      <c r="K27">
        <v>1</v>
      </c>
      <c r="N27">
        <v>27</v>
      </c>
    </row>
    <row r="28" spans="1:14" x14ac:dyDescent="0.4">
      <c r="A28" s="10" t="s">
        <v>900</v>
      </c>
      <c r="C28">
        <v>1</v>
      </c>
      <c r="D28">
        <v>2</v>
      </c>
      <c r="F28">
        <v>1</v>
      </c>
      <c r="G28">
        <v>1</v>
      </c>
      <c r="M28">
        <v>2</v>
      </c>
      <c r="N28">
        <v>7</v>
      </c>
    </row>
    <row r="29" spans="1:14" x14ac:dyDescent="0.4">
      <c r="A29" s="10" t="s">
        <v>901</v>
      </c>
      <c r="D29">
        <v>1</v>
      </c>
      <c r="E29">
        <v>3</v>
      </c>
      <c r="N29">
        <v>4</v>
      </c>
    </row>
    <row r="30" spans="1:14" x14ac:dyDescent="0.4">
      <c r="A30" s="10" t="s">
        <v>902</v>
      </c>
      <c r="B30">
        <v>3</v>
      </c>
      <c r="C30">
        <v>1</v>
      </c>
      <c r="D30">
        <v>2</v>
      </c>
      <c r="F30">
        <v>3</v>
      </c>
      <c r="N30">
        <v>9</v>
      </c>
    </row>
    <row r="31" spans="1:14" x14ac:dyDescent="0.4">
      <c r="A31" s="10" t="s">
        <v>883</v>
      </c>
      <c r="M31">
        <v>2</v>
      </c>
      <c r="N31">
        <v>2</v>
      </c>
    </row>
    <row r="32" spans="1:14" x14ac:dyDescent="0.4">
      <c r="A32" s="10" t="s">
        <v>652</v>
      </c>
      <c r="B32">
        <v>32</v>
      </c>
      <c r="C32">
        <v>42</v>
      </c>
      <c r="D32">
        <v>42</v>
      </c>
      <c r="E32">
        <v>45</v>
      </c>
      <c r="F32">
        <v>44</v>
      </c>
      <c r="G32">
        <v>6</v>
      </c>
      <c r="H32">
        <v>2</v>
      </c>
      <c r="I32">
        <v>3</v>
      </c>
      <c r="J32">
        <v>1</v>
      </c>
      <c r="L32">
        <v>1</v>
      </c>
      <c r="M32">
        <v>3</v>
      </c>
      <c r="N32">
        <v>221</v>
      </c>
    </row>
    <row r="33" spans="1:14" x14ac:dyDescent="0.4">
      <c r="A33" s="10" t="s">
        <v>766</v>
      </c>
      <c r="B33">
        <v>38</v>
      </c>
      <c r="C33">
        <v>45</v>
      </c>
      <c r="D33">
        <v>51</v>
      </c>
      <c r="E33">
        <v>50</v>
      </c>
      <c r="F33">
        <v>52</v>
      </c>
      <c r="G33">
        <v>13</v>
      </c>
      <c r="H33">
        <v>5</v>
      </c>
      <c r="I33">
        <v>9</v>
      </c>
      <c r="J33">
        <v>3</v>
      </c>
      <c r="K33">
        <v>1</v>
      </c>
      <c r="L33">
        <v>1</v>
      </c>
      <c r="M33">
        <v>9</v>
      </c>
      <c r="N33">
        <v>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B625-657A-4869-BE5D-6105D95650C2}">
  <dimension ref="A2:N15"/>
  <sheetViews>
    <sheetView zoomScaleNormal="100" workbookViewId="0">
      <selection activeCell="Q1" sqref="Q1"/>
    </sheetView>
  </sheetViews>
  <sheetFormatPr defaultRowHeight="14.6" x14ac:dyDescent="0.4"/>
  <cols>
    <col min="1" max="1" width="15.53515625" bestFit="1" customWidth="1"/>
    <col min="2" max="2" width="16.3046875" bestFit="1" customWidth="1"/>
    <col min="3" max="5" width="10.15234375" bestFit="1" customWidth="1"/>
    <col min="6" max="6" width="11.15234375" bestFit="1" customWidth="1"/>
    <col min="7" max="11" width="10.15234375" bestFit="1" customWidth="1"/>
    <col min="12" max="12" width="5.53515625" bestFit="1" customWidth="1"/>
    <col min="13" max="13" width="9.15234375" bestFit="1" customWidth="1"/>
    <col min="14" max="14" width="11.3046875" bestFit="1" customWidth="1"/>
  </cols>
  <sheetData>
    <row r="2" spans="1:14" x14ac:dyDescent="0.4">
      <c r="A2" s="9" t="s">
        <v>879</v>
      </c>
      <c r="B2" t="s">
        <v>881</v>
      </c>
    </row>
    <row r="3" spans="1:14" x14ac:dyDescent="0.4">
      <c r="A3" s="9" t="s">
        <v>882</v>
      </c>
      <c r="B3" t="s">
        <v>881</v>
      </c>
    </row>
    <row r="5" spans="1:14" x14ac:dyDescent="0.4">
      <c r="A5" s="9" t="s">
        <v>313</v>
      </c>
      <c r="B5" s="9" t="s">
        <v>907</v>
      </c>
    </row>
    <row r="6" spans="1:14" x14ac:dyDescent="0.4">
      <c r="A6" s="9" t="s">
        <v>308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12</v>
      </c>
      <c r="L6">
        <v>11</v>
      </c>
      <c r="M6">
        <v>10</v>
      </c>
      <c r="N6" t="s">
        <v>766</v>
      </c>
    </row>
    <row r="7" spans="1:14" x14ac:dyDescent="0.4">
      <c r="A7" s="10" t="s">
        <v>909</v>
      </c>
      <c r="B7" s="1"/>
      <c r="C7" s="1"/>
      <c r="D7" s="1">
        <v>2077.8000000000002</v>
      </c>
      <c r="E7" s="1"/>
      <c r="F7" s="1"/>
      <c r="G7" s="1"/>
      <c r="H7" s="1"/>
      <c r="I7" s="1"/>
      <c r="J7" s="1"/>
      <c r="K7" s="1"/>
      <c r="L7" s="1"/>
      <c r="M7" s="1"/>
      <c r="N7" s="1">
        <v>2077.8000000000002</v>
      </c>
    </row>
    <row r="8" spans="1:14" x14ac:dyDescent="0.4">
      <c r="A8" s="70" t="s">
        <v>910</v>
      </c>
      <c r="B8" s="1"/>
      <c r="C8" s="1"/>
      <c r="D8" s="1">
        <v>2077.8000000000002</v>
      </c>
      <c r="E8" s="1"/>
      <c r="F8" s="1"/>
      <c r="G8" s="1"/>
      <c r="H8" s="1"/>
      <c r="I8" s="1"/>
      <c r="J8" s="1"/>
      <c r="K8" s="1"/>
      <c r="L8" s="1"/>
      <c r="M8" s="1"/>
      <c r="N8" s="1">
        <v>2077.8000000000002</v>
      </c>
    </row>
    <row r="9" spans="1:14" x14ac:dyDescent="0.4">
      <c r="A9" s="10" t="s">
        <v>911</v>
      </c>
      <c r="B9" s="1">
        <v>36855.230000000003</v>
      </c>
      <c r="C9" s="1">
        <v>45578.33</v>
      </c>
      <c r="D9" s="1">
        <v>58258.9</v>
      </c>
      <c r="E9" s="1">
        <v>35065.870000000003</v>
      </c>
      <c r="F9" s="1">
        <v>49377.09</v>
      </c>
      <c r="G9" s="1">
        <v>48525.24</v>
      </c>
      <c r="H9" s="1">
        <v>7820</v>
      </c>
      <c r="I9" s="1">
        <v>45868.36</v>
      </c>
      <c r="J9" s="1">
        <v>12000</v>
      </c>
      <c r="K9" s="1"/>
      <c r="L9" s="1"/>
      <c r="M9" s="1">
        <v>5000</v>
      </c>
      <c r="N9" s="1">
        <v>344349.02</v>
      </c>
    </row>
    <row r="10" spans="1:14" x14ac:dyDescent="0.4">
      <c r="A10" s="70" t="s">
        <v>912</v>
      </c>
      <c r="B10" s="1"/>
      <c r="C10" s="1"/>
      <c r="D10" s="1"/>
      <c r="E10" s="1"/>
      <c r="F10" s="1">
        <v>48860.21</v>
      </c>
      <c r="G10" s="1">
        <v>48525.24</v>
      </c>
      <c r="H10" s="1">
        <v>7820</v>
      </c>
      <c r="I10" s="1">
        <v>45868.36</v>
      </c>
      <c r="J10" s="1">
        <v>12000</v>
      </c>
      <c r="K10" s="1"/>
      <c r="L10" s="1"/>
      <c r="M10" s="1">
        <v>5000</v>
      </c>
      <c r="N10" s="1">
        <v>168073.81</v>
      </c>
    </row>
    <row r="11" spans="1:14" x14ac:dyDescent="0.4">
      <c r="A11" s="70" t="s">
        <v>910</v>
      </c>
      <c r="B11" s="1">
        <v>36855.230000000003</v>
      </c>
      <c r="C11" s="1">
        <v>45578.33</v>
      </c>
      <c r="D11" s="1">
        <v>58258.9</v>
      </c>
      <c r="E11" s="1">
        <v>35065.870000000003</v>
      </c>
      <c r="F11" s="1">
        <v>516.88</v>
      </c>
      <c r="G11" s="1"/>
      <c r="H11" s="1"/>
      <c r="I11" s="1"/>
      <c r="J11" s="1"/>
      <c r="K11" s="1"/>
      <c r="L11" s="1"/>
      <c r="M11" s="1"/>
      <c r="N11" s="1">
        <v>176275.21</v>
      </c>
    </row>
    <row r="12" spans="1:14" x14ac:dyDescent="0.4">
      <c r="A12" s="10" t="s">
        <v>652</v>
      </c>
      <c r="B12" s="1">
        <v>8960</v>
      </c>
      <c r="C12" s="1">
        <v>1034.81</v>
      </c>
      <c r="D12" s="1">
        <v>29610.04</v>
      </c>
      <c r="E12" s="1">
        <v>45347.22</v>
      </c>
      <c r="F12" s="1">
        <v>72671.539999999994</v>
      </c>
      <c r="G12" s="1">
        <v>7395.38</v>
      </c>
      <c r="H12" s="1">
        <v>25745.09</v>
      </c>
      <c r="I12" s="1">
        <v>2523.21</v>
      </c>
      <c r="J12" s="1">
        <v>22534.63</v>
      </c>
      <c r="K12" s="1">
        <v>62100</v>
      </c>
      <c r="L12" s="1">
        <v>0</v>
      </c>
      <c r="M12" s="1"/>
      <c r="N12" s="1">
        <v>277921.92000000004</v>
      </c>
    </row>
    <row r="13" spans="1:14" x14ac:dyDescent="0.4">
      <c r="A13" s="70" t="s">
        <v>912</v>
      </c>
      <c r="B13" s="1"/>
      <c r="C13" s="1"/>
      <c r="D13" s="1"/>
      <c r="E13" s="1"/>
      <c r="F13" s="1">
        <v>72671.539999999994</v>
      </c>
      <c r="G13" s="1">
        <v>7395.38</v>
      </c>
      <c r="H13" s="1">
        <v>25745.09</v>
      </c>
      <c r="I13" s="1">
        <v>2523.21</v>
      </c>
      <c r="J13" s="1">
        <v>22534.63</v>
      </c>
      <c r="K13" s="1">
        <v>57450</v>
      </c>
      <c r="L13" s="1">
        <v>0</v>
      </c>
      <c r="M13" s="1"/>
      <c r="N13" s="1">
        <v>188319.85</v>
      </c>
    </row>
    <row r="14" spans="1:14" x14ac:dyDescent="0.4">
      <c r="A14" s="70" t="s">
        <v>910</v>
      </c>
      <c r="B14" s="1">
        <v>8960</v>
      </c>
      <c r="C14" s="1">
        <v>1034.81</v>
      </c>
      <c r="D14" s="1">
        <v>29610.04</v>
      </c>
      <c r="E14" s="1">
        <v>45347.22</v>
      </c>
      <c r="F14" s="1"/>
      <c r="G14" s="1"/>
      <c r="H14" s="1"/>
      <c r="I14" s="1"/>
      <c r="J14" s="1"/>
      <c r="K14" s="1">
        <v>4650</v>
      </c>
      <c r="L14" s="1"/>
      <c r="M14" s="1"/>
      <c r="N14" s="1">
        <v>89602.07</v>
      </c>
    </row>
    <row r="15" spans="1:14" x14ac:dyDescent="0.4">
      <c r="A15" s="10" t="s">
        <v>766</v>
      </c>
      <c r="B15" s="1">
        <v>45815.23</v>
      </c>
      <c r="C15" s="1">
        <v>46613.14</v>
      </c>
      <c r="D15" s="1">
        <v>89946.74</v>
      </c>
      <c r="E15" s="1">
        <v>80413.09</v>
      </c>
      <c r="F15" s="1">
        <v>122048.62999999999</v>
      </c>
      <c r="G15" s="1">
        <v>55920.619999999995</v>
      </c>
      <c r="H15" s="1">
        <v>33565.089999999997</v>
      </c>
      <c r="I15" s="1">
        <v>48391.57</v>
      </c>
      <c r="J15" s="1">
        <v>34534.630000000005</v>
      </c>
      <c r="K15" s="1">
        <v>62100</v>
      </c>
      <c r="L15" s="1">
        <v>0</v>
      </c>
      <c r="M15" s="1">
        <v>5000</v>
      </c>
      <c r="N15" s="1">
        <v>624348.74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E423-6EFB-4CE6-8CED-E4C70002DCDD}">
  <dimension ref="A1:B101"/>
  <sheetViews>
    <sheetView topLeftCell="A66" workbookViewId="0">
      <selection activeCell="B2" sqref="B2"/>
    </sheetView>
  </sheetViews>
  <sheetFormatPr defaultRowHeight="14.6" x14ac:dyDescent="0.4"/>
  <cols>
    <col min="1" max="1" width="52.53515625" bestFit="1" customWidth="1"/>
  </cols>
  <sheetData>
    <row r="1" spans="1:2" x14ac:dyDescent="0.4">
      <c r="A1" t="s">
        <v>913</v>
      </c>
      <c r="B1" t="s">
        <v>914</v>
      </c>
    </row>
    <row r="2" spans="1:2" x14ac:dyDescent="0.4">
      <c r="A2" s="10" t="s">
        <v>915</v>
      </c>
      <c r="B2" t="s">
        <v>916</v>
      </c>
    </row>
    <row r="3" spans="1:2" x14ac:dyDescent="0.4">
      <c r="A3" s="10" t="s">
        <v>917</v>
      </c>
      <c r="B3" t="s">
        <v>21</v>
      </c>
    </row>
    <row r="4" spans="1:2" x14ac:dyDescent="0.4">
      <c r="A4" s="10" t="s">
        <v>918</v>
      </c>
      <c r="B4" t="s">
        <v>21</v>
      </c>
    </row>
    <row r="5" spans="1:2" x14ac:dyDescent="0.4">
      <c r="A5" s="10" t="s">
        <v>919</v>
      </c>
      <c r="B5" t="s">
        <v>21</v>
      </c>
    </row>
    <row r="6" spans="1:2" x14ac:dyDescent="0.4">
      <c r="A6" s="10" t="s">
        <v>920</v>
      </c>
      <c r="B6" t="s">
        <v>21</v>
      </c>
    </row>
    <row r="7" spans="1:2" x14ac:dyDescent="0.4">
      <c r="A7" s="10" t="s">
        <v>921</v>
      </c>
      <c r="B7" t="s">
        <v>21</v>
      </c>
    </row>
    <row r="8" spans="1:2" x14ac:dyDescent="0.4">
      <c r="A8" s="10" t="s">
        <v>922</v>
      </c>
    </row>
    <row r="9" spans="1:2" x14ac:dyDescent="0.4">
      <c r="A9" s="10" t="s">
        <v>923</v>
      </c>
    </row>
    <row r="10" spans="1:2" x14ac:dyDescent="0.4">
      <c r="A10" s="10" t="s">
        <v>924</v>
      </c>
    </row>
    <row r="11" spans="1:2" x14ac:dyDescent="0.4">
      <c r="A11" s="10" t="s">
        <v>925</v>
      </c>
    </row>
    <row r="12" spans="1:2" x14ac:dyDescent="0.4">
      <c r="A12" s="10" t="s">
        <v>926</v>
      </c>
    </row>
    <row r="13" spans="1:2" x14ac:dyDescent="0.4">
      <c r="A13" s="10" t="s">
        <v>927</v>
      </c>
      <c r="B13" t="s">
        <v>21</v>
      </c>
    </row>
    <row r="14" spans="1:2" x14ac:dyDescent="0.4">
      <c r="A14" s="10" t="s">
        <v>928</v>
      </c>
    </row>
    <row r="15" spans="1:2" x14ac:dyDescent="0.4">
      <c r="A15" s="10" t="s">
        <v>929</v>
      </c>
    </row>
    <row r="16" spans="1:2" x14ac:dyDescent="0.4">
      <c r="A16" s="10" t="s">
        <v>930</v>
      </c>
    </row>
    <row r="17" spans="1:2" x14ac:dyDescent="0.4">
      <c r="A17" s="10" t="s">
        <v>931</v>
      </c>
    </row>
    <row r="18" spans="1:2" x14ac:dyDescent="0.4">
      <c r="A18" s="10" t="s">
        <v>932</v>
      </c>
    </row>
    <row r="19" spans="1:2" x14ac:dyDescent="0.4">
      <c r="A19" s="10" t="s">
        <v>933</v>
      </c>
    </row>
    <row r="20" spans="1:2" x14ac:dyDescent="0.4">
      <c r="A20" s="10" t="s">
        <v>934</v>
      </c>
    </row>
    <row r="21" spans="1:2" x14ac:dyDescent="0.4">
      <c r="A21" s="10" t="s">
        <v>935</v>
      </c>
    </row>
    <row r="22" spans="1:2" x14ac:dyDescent="0.4">
      <c r="A22" s="10" t="s">
        <v>936</v>
      </c>
    </row>
    <row r="23" spans="1:2" x14ac:dyDescent="0.4">
      <c r="A23" s="10" t="s">
        <v>937</v>
      </c>
    </row>
    <row r="24" spans="1:2" x14ac:dyDescent="0.4">
      <c r="A24" s="10" t="s">
        <v>938</v>
      </c>
      <c r="B24" t="s">
        <v>21</v>
      </c>
    </row>
    <row r="25" spans="1:2" x14ac:dyDescent="0.4">
      <c r="A25" s="10" t="s">
        <v>939</v>
      </c>
    </row>
    <row r="26" spans="1:2" x14ac:dyDescent="0.4">
      <c r="A26" s="10" t="s">
        <v>940</v>
      </c>
    </row>
    <row r="27" spans="1:2" x14ac:dyDescent="0.4">
      <c r="A27" s="10" t="s">
        <v>941</v>
      </c>
      <c r="B27" t="s">
        <v>21</v>
      </c>
    </row>
    <row r="28" spans="1:2" x14ac:dyDescent="0.4">
      <c r="A28" s="10" t="s">
        <v>942</v>
      </c>
      <c r="B28" t="s">
        <v>21</v>
      </c>
    </row>
    <row r="29" spans="1:2" x14ac:dyDescent="0.4">
      <c r="A29" s="10" t="s">
        <v>943</v>
      </c>
      <c r="B29" t="s">
        <v>21</v>
      </c>
    </row>
    <row r="30" spans="1:2" x14ac:dyDescent="0.4">
      <c r="A30" s="10" t="s">
        <v>944</v>
      </c>
      <c r="B30" t="s">
        <v>21</v>
      </c>
    </row>
    <row r="31" spans="1:2" x14ac:dyDescent="0.4">
      <c r="A31" s="10" t="s">
        <v>945</v>
      </c>
      <c r="B31" t="s">
        <v>21</v>
      </c>
    </row>
    <row r="32" spans="1:2" x14ac:dyDescent="0.4">
      <c r="A32" s="10" t="s">
        <v>946</v>
      </c>
      <c r="B32" t="s">
        <v>21</v>
      </c>
    </row>
    <row r="33" spans="1:2" x14ac:dyDescent="0.4">
      <c r="A33" s="10" t="s">
        <v>947</v>
      </c>
      <c r="B33" t="s">
        <v>21</v>
      </c>
    </row>
    <row r="34" spans="1:2" x14ac:dyDescent="0.4">
      <c r="A34" s="10" t="s">
        <v>948</v>
      </c>
      <c r="B34" t="s">
        <v>21</v>
      </c>
    </row>
    <row r="35" spans="1:2" x14ac:dyDescent="0.4">
      <c r="A35" s="10" t="s">
        <v>949</v>
      </c>
      <c r="B35" t="s">
        <v>21</v>
      </c>
    </row>
    <row r="36" spans="1:2" x14ac:dyDescent="0.4">
      <c r="A36" s="10" t="s">
        <v>950</v>
      </c>
      <c r="B36" t="s">
        <v>21</v>
      </c>
    </row>
    <row r="37" spans="1:2" x14ac:dyDescent="0.4">
      <c r="A37" s="10" t="s">
        <v>951</v>
      </c>
      <c r="B37" t="s">
        <v>21</v>
      </c>
    </row>
    <row r="38" spans="1:2" x14ac:dyDescent="0.4">
      <c r="A38" s="10" t="s">
        <v>952</v>
      </c>
      <c r="B38" t="s">
        <v>21</v>
      </c>
    </row>
    <row r="39" spans="1:2" x14ac:dyDescent="0.4">
      <c r="A39" s="10" t="s">
        <v>953</v>
      </c>
      <c r="B39" t="s">
        <v>21</v>
      </c>
    </row>
    <row r="40" spans="1:2" x14ac:dyDescent="0.4">
      <c r="A40" s="10" t="s">
        <v>954</v>
      </c>
      <c r="B40" t="s">
        <v>21</v>
      </c>
    </row>
    <row r="41" spans="1:2" x14ac:dyDescent="0.4">
      <c r="A41" s="10" t="s">
        <v>955</v>
      </c>
      <c r="B41" t="s">
        <v>21</v>
      </c>
    </row>
    <row r="42" spans="1:2" x14ac:dyDescent="0.4">
      <c r="A42" s="10" t="s">
        <v>956</v>
      </c>
      <c r="B42" t="s">
        <v>21</v>
      </c>
    </row>
    <row r="43" spans="1:2" x14ac:dyDescent="0.4">
      <c r="A43" s="10" t="s">
        <v>957</v>
      </c>
      <c r="B43" t="s">
        <v>21</v>
      </c>
    </row>
    <row r="44" spans="1:2" x14ac:dyDescent="0.4">
      <c r="A44" s="10" t="s">
        <v>958</v>
      </c>
      <c r="B44" t="s">
        <v>21</v>
      </c>
    </row>
    <row r="45" spans="1:2" x14ac:dyDescent="0.4">
      <c r="A45" s="10" t="s">
        <v>959</v>
      </c>
      <c r="B45" t="s">
        <v>21</v>
      </c>
    </row>
    <row r="46" spans="1:2" x14ac:dyDescent="0.4">
      <c r="A46" s="10" t="s">
        <v>960</v>
      </c>
      <c r="B46" t="s">
        <v>21</v>
      </c>
    </row>
    <row r="47" spans="1:2" x14ac:dyDescent="0.4">
      <c r="A47" s="10" t="s">
        <v>961</v>
      </c>
      <c r="B47" t="s">
        <v>21</v>
      </c>
    </row>
    <row r="48" spans="1:2" x14ac:dyDescent="0.4">
      <c r="A48" s="10" t="s">
        <v>962</v>
      </c>
      <c r="B48" t="s">
        <v>21</v>
      </c>
    </row>
    <row r="49" spans="1:2" x14ac:dyDescent="0.4">
      <c r="A49" s="10" t="s">
        <v>963</v>
      </c>
      <c r="B49" t="s">
        <v>21</v>
      </c>
    </row>
    <row r="50" spans="1:2" x14ac:dyDescent="0.4">
      <c r="A50" s="10" t="s">
        <v>964</v>
      </c>
      <c r="B50" t="s">
        <v>21</v>
      </c>
    </row>
    <row r="51" spans="1:2" x14ac:dyDescent="0.4">
      <c r="A51" s="10" t="s">
        <v>965</v>
      </c>
      <c r="B51" t="s">
        <v>21</v>
      </c>
    </row>
    <row r="52" spans="1:2" x14ac:dyDescent="0.4">
      <c r="A52" s="10" t="s">
        <v>966</v>
      </c>
      <c r="B52" t="s">
        <v>21</v>
      </c>
    </row>
    <row r="53" spans="1:2" x14ac:dyDescent="0.4">
      <c r="A53" s="10" t="s">
        <v>967</v>
      </c>
      <c r="B53" t="s">
        <v>21</v>
      </c>
    </row>
    <row r="54" spans="1:2" x14ac:dyDescent="0.4">
      <c r="A54" s="10" t="s">
        <v>968</v>
      </c>
      <c r="B54" t="s">
        <v>21</v>
      </c>
    </row>
    <row r="55" spans="1:2" x14ac:dyDescent="0.4">
      <c r="A55" s="10" t="s">
        <v>969</v>
      </c>
      <c r="B55" t="s">
        <v>21</v>
      </c>
    </row>
    <row r="56" spans="1:2" x14ac:dyDescent="0.4">
      <c r="A56" s="10" t="s">
        <v>970</v>
      </c>
      <c r="B56" t="s">
        <v>21</v>
      </c>
    </row>
    <row r="57" spans="1:2" x14ac:dyDescent="0.4">
      <c r="A57" s="10" t="s">
        <v>971</v>
      </c>
      <c r="B57" t="s">
        <v>21</v>
      </c>
    </row>
    <row r="58" spans="1:2" x14ac:dyDescent="0.4">
      <c r="A58" s="10" t="s">
        <v>972</v>
      </c>
      <c r="B58" t="s">
        <v>19</v>
      </c>
    </row>
    <row r="59" spans="1:2" x14ac:dyDescent="0.4">
      <c r="A59" s="10" t="s">
        <v>973</v>
      </c>
      <c r="B59" t="s">
        <v>19</v>
      </c>
    </row>
    <row r="60" spans="1:2" x14ac:dyDescent="0.4">
      <c r="A60" s="10" t="s">
        <v>974</v>
      </c>
    </row>
    <row r="61" spans="1:2" x14ac:dyDescent="0.4">
      <c r="A61" s="10" t="s">
        <v>975</v>
      </c>
    </row>
    <row r="62" spans="1:2" x14ac:dyDescent="0.4">
      <c r="A62" s="10" t="s">
        <v>976</v>
      </c>
    </row>
    <row r="63" spans="1:2" x14ac:dyDescent="0.4">
      <c r="A63" s="10" t="s">
        <v>977</v>
      </c>
    </row>
    <row r="64" spans="1:2" x14ac:dyDescent="0.4">
      <c r="A64" s="10" t="s">
        <v>978</v>
      </c>
    </row>
    <row r="65" spans="1:2" x14ac:dyDescent="0.4">
      <c r="A65" s="10" t="s">
        <v>979</v>
      </c>
    </row>
    <row r="66" spans="1:2" x14ac:dyDescent="0.4">
      <c r="A66" s="10" t="s">
        <v>980</v>
      </c>
    </row>
    <row r="67" spans="1:2" x14ac:dyDescent="0.4">
      <c r="A67" s="10" t="s">
        <v>981</v>
      </c>
    </row>
    <row r="68" spans="1:2" x14ac:dyDescent="0.4">
      <c r="A68" s="10" t="s">
        <v>982</v>
      </c>
      <c r="B68" t="s">
        <v>19</v>
      </c>
    </row>
    <row r="69" spans="1:2" x14ac:dyDescent="0.4">
      <c r="A69" s="10" t="s">
        <v>983</v>
      </c>
    </row>
    <row r="70" spans="1:2" x14ac:dyDescent="0.4">
      <c r="A70" s="10" t="s">
        <v>984</v>
      </c>
      <c r="B70" t="s">
        <v>19</v>
      </c>
    </row>
    <row r="71" spans="1:2" x14ac:dyDescent="0.4">
      <c r="A71" s="10" t="s">
        <v>985</v>
      </c>
      <c r="B71" t="s">
        <v>986</v>
      </c>
    </row>
    <row r="72" spans="1:2" x14ac:dyDescent="0.4">
      <c r="A72" s="10" t="s">
        <v>987</v>
      </c>
    </row>
    <row r="73" spans="1:2" x14ac:dyDescent="0.4">
      <c r="A73" s="10" t="s">
        <v>988</v>
      </c>
    </row>
    <row r="74" spans="1:2" x14ac:dyDescent="0.4">
      <c r="A74" s="10" t="s">
        <v>989</v>
      </c>
    </row>
    <row r="75" spans="1:2" x14ac:dyDescent="0.4">
      <c r="A75" s="10" t="s">
        <v>990</v>
      </c>
    </row>
    <row r="76" spans="1:2" x14ac:dyDescent="0.4">
      <c r="A76" s="10" t="s">
        <v>991</v>
      </c>
    </row>
    <row r="77" spans="1:2" x14ac:dyDescent="0.4">
      <c r="A77" s="10" t="s">
        <v>992</v>
      </c>
      <c r="B77" t="s">
        <v>19</v>
      </c>
    </row>
    <row r="78" spans="1:2" x14ac:dyDescent="0.4">
      <c r="A78" s="10" t="s">
        <v>993</v>
      </c>
      <c r="B78" t="s">
        <v>19</v>
      </c>
    </row>
    <row r="79" spans="1:2" x14ac:dyDescent="0.4">
      <c r="A79" s="10" t="s">
        <v>994</v>
      </c>
      <c r="B79" t="s">
        <v>19</v>
      </c>
    </row>
    <row r="80" spans="1:2" x14ac:dyDescent="0.4">
      <c r="A80" s="10" t="s">
        <v>995</v>
      </c>
      <c r="B80" t="s">
        <v>19</v>
      </c>
    </row>
    <row r="81" spans="1:2" x14ac:dyDescent="0.4">
      <c r="A81" s="10" t="s">
        <v>996</v>
      </c>
      <c r="B81" t="s">
        <v>19</v>
      </c>
    </row>
    <row r="82" spans="1:2" x14ac:dyDescent="0.4">
      <c r="A82" s="10" t="s">
        <v>997</v>
      </c>
      <c r="B82" t="s">
        <v>986</v>
      </c>
    </row>
    <row r="83" spans="1:2" x14ac:dyDescent="0.4">
      <c r="A83" s="10" t="s">
        <v>998</v>
      </c>
      <c r="B83" t="s">
        <v>986</v>
      </c>
    </row>
    <row r="84" spans="1:2" x14ac:dyDescent="0.4">
      <c r="A84" s="10" t="s">
        <v>999</v>
      </c>
      <c r="B84" t="s">
        <v>986</v>
      </c>
    </row>
    <row r="85" spans="1:2" x14ac:dyDescent="0.4">
      <c r="A85" s="10" t="s">
        <v>1000</v>
      </c>
      <c r="B85" t="s">
        <v>986</v>
      </c>
    </row>
    <row r="86" spans="1:2" x14ac:dyDescent="0.4">
      <c r="A86" s="10" t="s">
        <v>1001</v>
      </c>
    </row>
    <row r="87" spans="1:2" x14ac:dyDescent="0.4">
      <c r="A87" s="10" t="s">
        <v>1002</v>
      </c>
      <c r="B87" t="s">
        <v>19</v>
      </c>
    </row>
    <row r="88" spans="1:2" x14ac:dyDescent="0.4">
      <c r="A88" s="10" t="s">
        <v>1003</v>
      </c>
    </row>
    <row r="89" spans="1:2" x14ac:dyDescent="0.4">
      <c r="A89" s="10" t="s">
        <v>1004</v>
      </c>
      <c r="B89" t="s">
        <v>19</v>
      </c>
    </row>
    <row r="90" spans="1:2" x14ac:dyDescent="0.4">
      <c r="A90" s="10" t="s">
        <v>1005</v>
      </c>
    </row>
    <row r="91" spans="1:2" x14ac:dyDescent="0.4">
      <c r="A91" s="10" t="s">
        <v>1006</v>
      </c>
    </row>
    <row r="92" spans="1:2" x14ac:dyDescent="0.4">
      <c r="A92" s="10" t="s">
        <v>1007</v>
      </c>
    </row>
    <row r="93" spans="1:2" x14ac:dyDescent="0.4">
      <c r="A93" s="10" t="s">
        <v>1008</v>
      </c>
    </row>
    <row r="94" spans="1:2" x14ac:dyDescent="0.4">
      <c r="A94" s="10" t="s">
        <v>1009</v>
      </c>
    </row>
    <row r="95" spans="1:2" x14ac:dyDescent="0.4">
      <c r="A95" s="10" t="s">
        <v>1010</v>
      </c>
    </row>
    <row r="96" spans="1:2" x14ac:dyDescent="0.4">
      <c r="A96" s="10" t="s">
        <v>1011</v>
      </c>
    </row>
    <row r="97" spans="1:1" x14ac:dyDescent="0.4">
      <c r="A97" s="10" t="s">
        <v>1012</v>
      </c>
    </row>
    <row r="98" spans="1:1" x14ac:dyDescent="0.4">
      <c r="A98" s="10" t="s">
        <v>1013</v>
      </c>
    </row>
    <row r="99" spans="1:1" x14ac:dyDescent="0.4">
      <c r="A99" s="10" t="s">
        <v>1014</v>
      </c>
    </row>
    <row r="100" spans="1:1" x14ac:dyDescent="0.4">
      <c r="A100" s="10" t="s">
        <v>1015</v>
      </c>
    </row>
    <row r="101" spans="1:1" x14ac:dyDescent="0.4">
      <c r="A101" s="10" t="s">
        <v>1016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3"/>
  <sheetViews>
    <sheetView workbookViewId="0">
      <selection sqref="A1:I43"/>
    </sheetView>
  </sheetViews>
  <sheetFormatPr defaultRowHeight="14.6" x14ac:dyDescent="0.4"/>
  <sheetData>
    <row r="1" spans="1:9" x14ac:dyDescent="0.4">
      <c r="E1" s="1">
        <v>32490.48</v>
      </c>
      <c r="F1" s="36" t="s">
        <v>304</v>
      </c>
      <c r="G1" s="36" t="s">
        <v>305</v>
      </c>
      <c r="H1" s="36" t="s">
        <v>306</v>
      </c>
      <c r="I1" s="3" t="s">
        <v>307</v>
      </c>
    </row>
    <row r="2" spans="1:9" x14ac:dyDescent="0.4">
      <c r="E2" s="1"/>
      <c r="F2" s="2">
        <v>23686.98</v>
      </c>
      <c r="G2" s="2">
        <v>8803.5</v>
      </c>
      <c r="H2" s="2">
        <v>2800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2"/>
      <c r="G3" s="2"/>
      <c r="H3" s="2"/>
    </row>
    <row r="4" spans="1:9" x14ac:dyDescent="0.4">
      <c r="A4" s="10" t="s">
        <v>1017</v>
      </c>
      <c r="E4" s="1"/>
      <c r="F4" s="2"/>
      <c r="G4" s="2"/>
      <c r="H4" s="2"/>
    </row>
    <row r="5" spans="1:9" x14ac:dyDescent="0.4">
      <c r="A5" s="10" t="s">
        <v>6</v>
      </c>
      <c r="E5" s="1"/>
      <c r="F5" s="2"/>
      <c r="G5" s="2"/>
      <c r="H5" s="2"/>
    </row>
    <row r="6" spans="1:9" x14ac:dyDescent="0.4">
      <c r="A6" s="11" t="s">
        <v>314</v>
      </c>
      <c r="B6" s="10" t="s">
        <v>1018</v>
      </c>
      <c r="C6" s="10" t="s">
        <v>415</v>
      </c>
      <c r="D6" s="10" t="s">
        <v>361</v>
      </c>
      <c r="E6" s="1">
        <v>450</v>
      </c>
      <c r="F6" s="2">
        <v>450</v>
      </c>
      <c r="G6" s="2"/>
      <c r="H6" s="2"/>
    </row>
    <row r="7" spans="1:9" x14ac:dyDescent="0.4">
      <c r="A7" s="11" t="s">
        <v>268</v>
      </c>
      <c r="B7" s="10" t="s">
        <v>1019</v>
      </c>
      <c r="C7" s="10" t="s">
        <v>415</v>
      </c>
      <c r="D7" s="10" t="s">
        <v>749</v>
      </c>
      <c r="E7" s="1">
        <v>954</v>
      </c>
      <c r="F7" s="2"/>
      <c r="G7" s="2">
        <v>954</v>
      </c>
      <c r="H7" s="2"/>
      <c r="I7" t="s">
        <v>1020</v>
      </c>
    </row>
    <row r="8" spans="1:9" x14ac:dyDescent="0.4">
      <c r="A8" s="11" t="s">
        <v>861</v>
      </c>
      <c r="B8" s="10" t="s">
        <v>862</v>
      </c>
      <c r="C8" s="10" t="s">
        <v>415</v>
      </c>
      <c r="D8" s="10" t="s">
        <v>361</v>
      </c>
      <c r="E8" s="1">
        <v>100</v>
      </c>
      <c r="F8" s="2">
        <v>100</v>
      </c>
      <c r="G8" s="2"/>
      <c r="H8" s="2"/>
    </row>
    <row r="9" spans="1:9" x14ac:dyDescent="0.4">
      <c r="A9" s="11" t="s">
        <v>411</v>
      </c>
      <c r="B9" s="10" t="s">
        <v>1021</v>
      </c>
      <c r="C9" s="10" t="s">
        <v>415</v>
      </c>
      <c r="D9" s="10" t="s">
        <v>361</v>
      </c>
      <c r="E9" s="1">
        <v>480</v>
      </c>
      <c r="F9" s="2">
        <v>480</v>
      </c>
      <c r="G9" s="2"/>
      <c r="H9" s="2"/>
    </row>
    <row r="10" spans="1:9" x14ac:dyDescent="0.4">
      <c r="A10" s="11" t="s">
        <v>565</v>
      </c>
      <c r="B10" s="10" t="s">
        <v>575</v>
      </c>
      <c r="C10" s="10" t="s">
        <v>415</v>
      </c>
      <c r="D10" s="10" t="s">
        <v>395</v>
      </c>
      <c r="E10" s="1">
        <v>1261.98</v>
      </c>
      <c r="F10" s="2">
        <v>1261.98</v>
      </c>
      <c r="G10" s="2"/>
      <c r="H10" s="2"/>
      <c r="I10" t="s">
        <v>1022</v>
      </c>
    </row>
    <row r="11" spans="1:9" x14ac:dyDescent="0.4">
      <c r="A11" s="11" t="s">
        <v>663</v>
      </c>
      <c r="B11" s="10" t="s">
        <v>1023</v>
      </c>
      <c r="C11" s="10" t="s">
        <v>415</v>
      </c>
      <c r="D11" s="10" t="s">
        <v>361</v>
      </c>
      <c r="E11" s="1">
        <v>1000</v>
      </c>
      <c r="F11" s="2"/>
      <c r="G11" s="2"/>
      <c r="H11" s="2">
        <v>1000</v>
      </c>
      <c r="I11" t="s">
        <v>1024</v>
      </c>
    </row>
    <row r="12" spans="1:9" x14ac:dyDescent="0.4">
      <c r="B12" s="10" t="s">
        <v>1025</v>
      </c>
      <c r="C12" s="10" t="s">
        <v>415</v>
      </c>
      <c r="D12" s="10" t="s">
        <v>361</v>
      </c>
      <c r="E12" s="1">
        <v>1800</v>
      </c>
      <c r="F12" s="2"/>
      <c r="G12" s="2"/>
      <c r="H12" s="2">
        <v>1800</v>
      </c>
      <c r="I12" t="s">
        <v>1026</v>
      </c>
    </row>
    <row r="13" spans="1:9" x14ac:dyDescent="0.4">
      <c r="B13" s="10" t="s">
        <v>1027</v>
      </c>
      <c r="C13" s="10" t="s">
        <v>415</v>
      </c>
      <c r="D13" s="10" t="s">
        <v>361</v>
      </c>
      <c r="E13" s="1">
        <v>16380</v>
      </c>
      <c r="F13" s="2">
        <v>16380</v>
      </c>
      <c r="G13" s="2"/>
      <c r="H13" s="2"/>
      <c r="I13" s="37"/>
    </row>
    <row r="14" spans="1:9" x14ac:dyDescent="0.4">
      <c r="B14" s="10" t="s">
        <v>1028</v>
      </c>
      <c r="C14" s="10" t="s">
        <v>415</v>
      </c>
      <c r="D14" s="10" t="s">
        <v>361</v>
      </c>
      <c r="E14" s="1">
        <v>450</v>
      </c>
      <c r="F14" s="2">
        <v>450</v>
      </c>
      <c r="G14" s="2"/>
      <c r="H14" s="2"/>
    </row>
    <row r="15" spans="1:9" x14ac:dyDescent="0.4">
      <c r="B15" s="10" t="s">
        <v>1029</v>
      </c>
      <c r="C15" s="10" t="s">
        <v>415</v>
      </c>
      <c r="D15" s="10" t="s">
        <v>361</v>
      </c>
      <c r="E15" s="1">
        <v>2665</v>
      </c>
      <c r="F15" s="2">
        <v>2665</v>
      </c>
      <c r="G15" s="2"/>
      <c r="H15" s="2"/>
    </row>
    <row r="16" spans="1:9" x14ac:dyDescent="0.4">
      <c r="B16" s="10" t="s">
        <v>1030</v>
      </c>
      <c r="C16" s="10" t="s">
        <v>1031</v>
      </c>
      <c r="D16" s="10" t="s">
        <v>414</v>
      </c>
      <c r="E16" s="1">
        <v>7849.5</v>
      </c>
      <c r="F16" s="2"/>
      <c r="G16" s="2">
        <v>7849.5</v>
      </c>
      <c r="H16" s="2"/>
      <c r="I16" t="s">
        <v>1032</v>
      </c>
    </row>
    <row r="17" spans="1:9" x14ac:dyDescent="0.4">
      <c r="A17" s="11" t="s">
        <v>1033</v>
      </c>
      <c r="B17" s="10" t="s">
        <v>1034</v>
      </c>
      <c r="C17" s="10" t="s">
        <v>415</v>
      </c>
      <c r="D17" s="10" t="s">
        <v>361</v>
      </c>
      <c r="E17" s="1">
        <v>1900</v>
      </c>
      <c r="F17" s="2">
        <v>1900</v>
      </c>
      <c r="G17" s="2"/>
      <c r="H17" s="2"/>
      <c r="I17" t="s">
        <v>1035</v>
      </c>
    </row>
    <row r="18" spans="1:9" x14ac:dyDescent="0.4">
      <c r="A18" s="10" t="s">
        <v>7</v>
      </c>
      <c r="E18" s="1"/>
      <c r="F18" s="2"/>
      <c r="G18" s="2"/>
      <c r="H18" s="2"/>
    </row>
    <row r="19" spans="1:9" x14ac:dyDescent="0.4">
      <c r="A19" s="11" t="s">
        <v>384</v>
      </c>
      <c r="B19" s="10" t="s">
        <v>1036</v>
      </c>
      <c r="C19" s="10" t="s">
        <v>1037</v>
      </c>
      <c r="D19" s="10" t="s">
        <v>414</v>
      </c>
      <c r="E19" s="1">
        <v>1000</v>
      </c>
      <c r="F19" s="2"/>
      <c r="G19" s="2">
        <v>1000</v>
      </c>
      <c r="H19" s="2"/>
    </row>
    <row r="20" spans="1:9" x14ac:dyDescent="0.4">
      <c r="A20" s="11" t="s">
        <v>411</v>
      </c>
      <c r="B20" s="10" t="s">
        <v>412</v>
      </c>
      <c r="C20" s="10" t="s">
        <v>413</v>
      </c>
      <c r="D20" s="10" t="s">
        <v>414</v>
      </c>
      <c r="E20" s="1">
        <v>1879</v>
      </c>
      <c r="F20" s="2"/>
      <c r="G20" s="2">
        <v>1879</v>
      </c>
      <c r="H20" s="2"/>
    </row>
    <row r="21" spans="1:9" x14ac:dyDescent="0.4">
      <c r="A21" s="11" t="s">
        <v>426</v>
      </c>
      <c r="B21" s="10" t="s">
        <v>865</v>
      </c>
      <c r="C21" s="10" t="s">
        <v>1038</v>
      </c>
      <c r="D21" s="10" t="s">
        <v>539</v>
      </c>
      <c r="E21" s="1">
        <v>53430</v>
      </c>
      <c r="F21" s="2"/>
      <c r="G21" s="2"/>
      <c r="H21" s="2">
        <v>53430</v>
      </c>
      <c r="I21" t="s">
        <v>1039</v>
      </c>
    </row>
    <row r="22" spans="1:9" x14ac:dyDescent="0.4">
      <c r="B22" s="10" t="s">
        <v>867</v>
      </c>
      <c r="C22" s="10" t="s">
        <v>413</v>
      </c>
      <c r="D22" s="10" t="s">
        <v>395</v>
      </c>
      <c r="E22" s="1">
        <v>2010</v>
      </c>
      <c r="F22" s="2"/>
      <c r="G22" s="2"/>
      <c r="H22" s="2">
        <v>2010</v>
      </c>
      <c r="I22" t="s">
        <v>1040</v>
      </c>
    </row>
    <row r="23" spans="1:9" x14ac:dyDescent="0.4">
      <c r="B23" s="10" t="s">
        <v>868</v>
      </c>
      <c r="C23" s="10" t="s">
        <v>413</v>
      </c>
      <c r="D23" s="10" t="s">
        <v>395</v>
      </c>
      <c r="E23" s="1">
        <v>2010</v>
      </c>
      <c r="F23" s="2"/>
      <c r="G23" s="2"/>
      <c r="H23" s="2">
        <v>2010</v>
      </c>
      <c r="I23" t="s">
        <v>1040</v>
      </c>
    </row>
    <row r="24" spans="1:9" x14ac:dyDescent="0.4">
      <c r="A24" s="11" t="s">
        <v>438</v>
      </c>
      <c r="B24" s="10" t="s">
        <v>439</v>
      </c>
      <c r="C24" s="10" t="s">
        <v>413</v>
      </c>
      <c r="D24" s="10" t="s">
        <v>361</v>
      </c>
      <c r="E24" s="1">
        <v>2800</v>
      </c>
      <c r="F24" s="2">
        <v>2800</v>
      </c>
      <c r="G24" s="2"/>
      <c r="H24" s="2"/>
    </row>
    <row r="25" spans="1:9" x14ac:dyDescent="0.4">
      <c r="A25" s="11" t="s">
        <v>251</v>
      </c>
      <c r="B25" s="10" t="s">
        <v>870</v>
      </c>
      <c r="C25" s="10" t="s">
        <v>413</v>
      </c>
      <c r="D25" s="10" t="s">
        <v>361</v>
      </c>
      <c r="E25" s="1">
        <v>11500</v>
      </c>
      <c r="F25" s="2">
        <v>11500</v>
      </c>
      <c r="G25" s="2"/>
      <c r="H25" s="2"/>
    </row>
    <row r="26" spans="1:9" x14ac:dyDescent="0.4">
      <c r="A26" s="11" t="s">
        <v>798</v>
      </c>
      <c r="B26" s="10" t="s">
        <v>853</v>
      </c>
      <c r="C26" s="10" t="s">
        <v>413</v>
      </c>
      <c r="D26" s="10" t="s">
        <v>395</v>
      </c>
      <c r="E26" s="1">
        <v>6000</v>
      </c>
      <c r="F26" s="2">
        <v>6000</v>
      </c>
      <c r="G26" s="2"/>
      <c r="H26" s="2"/>
    </row>
    <row r="27" spans="1:9" x14ac:dyDescent="0.4">
      <c r="A27" s="11" t="s">
        <v>197</v>
      </c>
      <c r="B27" s="10" t="s">
        <v>315</v>
      </c>
      <c r="C27" s="10" t="s">
        <v>1041</v>
      </c>
      <c r="D27" s="10" t="s">
        <v>539</v>
      </c>
      <c r="E27" s="1">
        <v>1854.85</v>
      </c>
      <c r="F27" s="2">
        <v>1854.85</v>
      </c>
      <c r="G27" s="2"/>
      <c r="H27" s="2"/>
      <c r="I27" t="s">
        <v>1042</v>
      </c>
    </row>
    <row r="28" spans="1:9" x14ac:dyDescent="0.4">
      <c r="A28" s="11" t="s">
        <v>608</v>
      </c>
      <c r="B28" s="10" t="s">
        <v>609</v>
      </c>
      <c r="C28" s="10" t="s">
        <v>1043</v>
      </c>
      <c r="D28" s="10" t="s">
        <v>749</v>
      </c>
      <c r="E28" s="1">
        <v>6665</v>
      </c>
      <c r="F28" s="2">
        <v>6665</v>
      </c>
      <c r="G28" s="2"/>
      <c r="H28" s="2"/>
    </row>
    <row r="29" spans="1:9" x14ac:dyDescent="0.4">
      <c r="A29" s="11" t="s">
        <v>628</v>
      </c>
      <c r="B29" s="10" t="s">
        <v>1044</v>
      </c>
      <c r="C29" s="10" t="s">
        <v>1043</v>
      </c>
      <c r="D29" s="10" t="s">
        <v>395</v>
      </c>
      <c r="E29" s="1">
        <v>5000</v>
      </c>
      <c r="F29" s="2"/>
      <c r="G29" s="2">
        <v>5000</v>
      </c>
      <c r="H29" s="2"/>
    </row>
    <row r="30" spans="1:9" x14ac:dyDescent="0.4">
      <c r="A30" s="11" t="s">
        <v>635</v>
      </c>
      <c r="B30" s="10" t="s">
        <v>857</v>
      </c>
      <c r="C30" s="10" t="s">
        <v>413</v>
      </c>
      <c r="D30" s="10" t="s">
        <v>395</v>
      </c>
      <c r="E30" s="1">
        <v>2411.5</v>
      </c>
      <c r="F30" s="2">
        <v>2411.5</v>
      </c>
      <c r="G30" s="2"/>
      <c r="H30" s="2"/>
    </row>
    <row r="31" spans="1:9" x14ac:dyDescent="0.4">
      <c r="A31" s="11" t="s">
        <v>814</v>
      </c>
      <c r="B31" s="10" t="s">
        <v>714</v>
      </c>
      <c r="C31" s="10" t="s">
        <v>1038</v>
      </c>
      <c r="D31" s="10" t="s">
        <v>361</v>
      </c>
      <c r="E31" s="1">
        <v>1317</v>
      </c>
      <c r="F31" s="2">
        <v>1317</v>
      </c>
      <c r="G31" s="2"/>
      <c r="H31" s="2"/>
    </row>
    <row r="32" spans="1:9" x14ac:dyDescent="0.4">
      <c r="B32" s="10" t="s">
        <v>1045</v>
      </c>
      <c r="C32" s="10" t="s">
        <v>413</v>
      </c>
      <c r="D32" s="10" t="s">
        <v>361</v>
      </c>
      <c r="E32" s="1">
        <v>3205.56</v>
      </c>
      <c r="F32" s="2">
        <v>3205.56</v>
      </c>
      <c r="G32" s="2"/>
      <c r="H32" s="2"/>
    </row>
    <row r="33" spans="1:8" x14ac:dyDescent="0.4">
      <c r="B33" s="10" t="s">
        <v>1046</v>
      </c>
      <c r="C33" s="10" t="s">
        <v>413</v>
      </c>
      <c r="D33" s="10" t="s">
        <v>361</v>
      </c>
      <c r="E33" s="1">
        <v>3205.56</v>
      </c>
      <c r="F33" s="2">
        <v>3205.56</v>
      </c>
      <c r="G33" s="2"/>
      <c r="H33" s="2"/>
    </row>
    <row r="34" spans="1:8" x14ac:dyDescent="0.4">
      <c r="A34" s="11" t="s">
        <v>663</v>
      </c>
      <c r="B34" s="10" t="s">
        <v>1047</v>
      </c>
      <c r="C34" s="10" t="s">
        <v>413</v>
      </c>
      <c r="D34" s="10" t="s">
        <v>361</v>
      </c>
      <c r="E34" s="1">
        <v>12000</v>
      </c>
      <c r="F34" s="2">
        <v>12000</v>
      </c>
      <c r="G34" s="2"/>
      <c r="H34" s="2"/>
    </row>
    <row r="35" spans="1:8" x14ac:dyDescent="0.4">
      <c r="B35" s="10" t="s">
        <v>1048</v>
      </c>
      <c r="C35" s="10" t="s">
        <v>413</v>
      </c>
      <c r="D35" s="10" t="s">
        <v>361</v>
      </c>
      <c r="E35" s="1">
        <v>12400</v>
      </c>
      <c r="F35" s="2">
        <v>12400</v>
      </c>
      <c r="G35" s="2"/>
      <c r="H35" s="2"/>
    </row>
    <row r="36" spans="1:8" x14ac:dyDescent="0.4">
      <c r="B36" s="10" t="s">
        <v>1049</v>
      </c>
      <c r="C36" s="10" t="s">
        <v>413</v>
      </c>
      <c r="D36" s="10" t="s">
        <v>361</v>
      </c>
      <c r="E36" s="1">
        <v>10000</v>
      </c>
      <c r="F36" s="2"/>
      <c r="G36" s="2"/>
      <c r="H36" s="2">
        <v>10000</v>
      </c>
    </row>
    <row r="37" spans="1:8" x14ac:dyDescent="0.4">
      <c r="B37" s="10" t="s">
        <v>1050</v>
      </c>
      <c r="C37" s="10" t="s">
        <v>413</v>
      </c>
      <c r="D37" s="10" t="s">
        <v>361</v>
      </c>
      <c r="E37" s="1">
        <v>9000</v>
      </c>
      <c r="F37" s="2"/>
      <c r="G37" s="2"/>
      <c r="H37" s="2">
        <v>9000</v>
      </c>
    </row>
    <row r="38" spans="1:8" x14ac:dyDescent="0.4">
      <c r="B38" s="10" t="s">
        <v>1051</v>
      </c>
      <c r="C38" s="10" t="s">
        <v>1043</v>
      </c>
      <c r="D38" s="10" t="s">
        <v>361</v>
      </c>
      <c r="E38" s="1">
        <v>3180</v>
      </c>
      <c r="F38" s="2">
        <v>3180</v>
      </c>
      <c r="G38" s="2"/>
      <c r="H38" s="2"/>
    </row>
    <row r="39" spans="1:8" x14ac:dyDescent="0.4">
      <c r="B39" s="10" t="s">
        <v>1052</v>
      </c>
      <c r="C39" s="10" t="s">
        <v>413</v>
      </c>
      <c r="D39" s="10" t="s">
        <v>361</v>
      </c>
      <c r="E39" s="1">
        <v>4500</v>
      </c>
      <c r="F39" s="2">
        <v>4500</v>
      </c>
      <c r="G39" s="2"/>
      <c r="H39" s="2"/>
    </row>
    <row r="40" spans="1:8" x14ac:dyDescent="0.4">
      <c r="B40" s="10" t="s">
        <v>1053</v>
      </c>
      <c r="C40" s="10" t="s">
        <v>413</v>
      </c>
      <c r="D40" s="10" t="s">
        <v>361</v>
      </c>
      <c r="E40" s="1">
        <v>15015</v>
      </c>
      <c r="F40" s="2">
        <v>15015</v>
      </c>
      <c r="G40" s="2"/>
      <c r="H40" s="2"/>
    </row>
    <row r="41" spans="1:8" x14ac:dyDescent="0.4">
      <c r="A41" s="11" t="s">
        <v>1033</v>
      </c>
      <c r="B41" s="10" t="s">
        <v>1054</v>
      </c>
      <c r="C41" s="10" t="s">
        <v>413</v>
      </c>
      <c r="D41" s="10" t="s">
        <v>361</v>
      </c>
      <c r="E41" s="1">
        <v>2600</v>
      </c>
      <c r="F41" s="2">
        <v>2600</v>
      </c>
      <c r="G41" s="2"/>
      <c r="H41" s="2"/>
    </row>
    <row r="42" spans="1:8" x14ac:dyDescent="0.4">
      <c r="A42" s="10" t="s">
        <v>8</v>
      </c>
      <c r="E42" s="1">
        <v>110248</v>
      </c>
      <c r="F42" s="2">
        <v>88654.47</v>
      </c>
      <c r="G42" s="2">
        <v>7879</v>
      </c>
      <c r="H42" s="2"/>
    </row>
    <row r="43" spans="1:8" x14ac:dyDescent="0.4">
      <c r="A43" s="10" t="s">
        <v>369</v>
      </c>
      <c r="E43" s="1">
        <v>6908</v>
      </c>
      <c r="F43" s="2"/>
      <c r="G43" s="2">
        <v>96533.47</v>
      </c>
      <c r="H43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"/>
  <sheetViews>
    <sheetView workbookViewId="0">
      <selection activeCell="B14" sqref="B14:B16"/>
    </sheetView>
  </sheetViews>
  <sheetFormatPr defaultRowHeight="14.6" x14ac:dyDescent="0.4"/>
  <cols>
    <col min="2" max="2" width="33.84375" bestFit="1" customWidth="1"/>
  </cols>
  <sheetData>
    <row r="1" spans="1:9" x14ac:dyDescent="0.4">
      <c r="E1" s="1">
        <v>25525.98</v>
      </c>
      <c r="F1" s="36" t="s">
        <v>304</v>
      </c>
      <c r="G1" s="36" t="s">
        <v>305</v>
      </c>
      <c r="H1" s="36" t="s">
        <v>306</v>
      </c>
      <c r="I1" s="3" t="s">
        <v>307</v>
      </c>
    </row>
    <row r="2" spans="1:9" x14ac:dyDescent="0.4">
      <c r="E2" s="1"/>
      <c r="F2" s="2">
        <v>19525.98</v>
      </c>
      <c r="G2" s="2">
        <v>6000</v>
      </c>
      <c r="H2" s="2">
        <v>58247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2"/>
      <c r="G3" s="2"/>
      <c r="H3" s="2"/>
    </row>
    <row r="4" spans="1:9" x14ac:dyDescent="0.4">
      <c r="A4" s="10" t="s">
        <v>1055</v>
      </c>
      <c r="E4" s="1"/>
      <c r="F4" s="2"/>
      <c r="G4" s="2"/>
      <c r="H4" s="2"/>
    </row>
    <row r="5" spans="1:9" x14ac:dyDescent="0.4">
      <c r="A5" s="10" t="s">
        <v>6</v>
      </c>
      <c r="E5" s="1"/>
      <c r="F5" s="2"/>
      <c r="G5" s="2"/>
      <c r="H5" s="2"/>
    </row>
    <row r="6" spans="1:9" x14ac:dyDescent="0.4">
      <c r="A6" s="11" t="s">
        <v>268</v>
      </c>
      <c r="B6" s="10" t="s">
        <v>1019</v>
      </c>
      <c r="C6" s="10" t="s">
        <v>415</v>
      </c>
      <c r="D6" s="10" t="s">
        <v>749</v>
      </c>
      <c r="E6" s="1">
        <v>954</v>
      </c>
      <c r="F6" s="2">
        <v>954</v>
      </c>
      <c r="G6" s="2"/>
      <c r="H6" s="2"/>
    </row>
    <row r="7" spans="1:9" x14ac:dyDescent="0.4">
      <c r="A7" s="11" t="s">
        <v>861</v>
      </c>
      <c r="B7" s="10" t="s">
        <v>862</v>
      </c>
      <c r="C7" s="10" t="s">
        <v>415</v>
      </c>
      <c r="D7" s="10" t="s">
        <v>361</v>
      </c>
      <c r="E7" s="1">
        <v>100</v>
      </c>
      <c r="F7" s="2">
        <v>100</v>
      </c>
      <c r="G7" s="2"/>
      <c r="H7" s="2"/>
    </row>
    <row r="8" spans="1:9" x14ac:dyDescent="0.4">
      <c r="A8" s="11" t="s">
        <v>426</v>
      </c>
      <c r="B8" s="10" t="s">
        <v>865</v>
      </c>
      <c r="C8" s="10" t="s">
        <v>647</v>
      </c>
      <c r="D8" s="10" t="s">
        <v>539</v>
      </c>
      <c r="E8" s="1">
        <v>53430</v>
      </c>
      <c r="F8" s="2"/>
      <c r="G8" s="2"/>
      <c r="H8" s="2">
        <v>53430</v>
      </c>
      <c r="I8" t="s">
        <v>1056</v>
      </c>
    </row>
    <row r="9" spans="1:9" x14ac:dyDescent="0.4">
      <c r="B9" s="10" t="s">
        <v>867</v>
      </c>
      <c r="C9" s="10" t="s">
        <v>415</v>
      </c>
      <c r="D9" s="10" t="s">
        <v>395</v>
      </c>
      <c r="E9" s="1">
        <v>2010</v>
      </c>
      <c r="F9" s="2">
        <v>2010</v>
      </c>
      <c r="G9" s="2"/>
      <c r="H9" s="2"/>
    </row>
    <row r="10" spans="1:9" x14ac:dyDescent="0.4">
      <c r="A10" s="11" t="s">
        <v>251</v>
      </c>
      <c r="B10" s="10" t="s">
        <v>870</v>
      </c>
      <c r="C10" s="10" t="s">
        <v>415</v>
      </c>
      <c r="D10" s="10" t="s">
        <v>361</v>
      </c>
      <c r="E10" s="1">
        <v>11500</v>
      </c>
      <c r="F10" s="2">
        <v>11500</v>
      </c>
      <c r="G10" s="2"/>
      <c r="H10" s="2"/>
      <c r="I10" t="s">
        <v>1057</v>
      </c>
    </row>
    <row r="11" spans="1:9" x14ac:dyDescent="0.4">
      <c r="A11" s="11" t="s">
        <v>565</v>
      </c>
      <c r="B11" s="10" t="s">
        <v>575</v>
      </c>
      <c r="C11" s="10" t="s">
        <v>415</v>
      </c>
      <c r="D11" s="10" t="s">
        <v>395</v>
      </c>
      <c r="E11" s="1">
        <v>1261.98</v>
      </c>
      <c r="F11" s="2">
        <v>1261.98</v>
      </c>
      <c r="G11" s="2"/>
      <c r="H11" s="2"/>
    </row>
    <row r="12" spans="1:9" x14ac:dyDescent="0.4">
      <c r="A12" s="11" t="s">
        <v>798</v>
      </c>
      <c r="B12" s="10" t="s">
        <v>853</v>
      </c>
      <c r="C12" s="10" t="s">
        <v>415</v>
      </c>
      <c r="D12" s="10" t="s">
        <v>395</v>
      </c>
      <c r="E12" s="1">
        <v>6000</v>
      </c>
      <c r="F12" s="2"/>
      <c r="G12" s="2">
        <v>6000</v>
      </c>
      <c r="H12" s="2"/>
      <c r="I12" t="s">
        <v>1058</v>
      </c>
    </row>
    <row r="13" spans="1:9" x14ac:dyDescent="0.4">
      <c r="A13" s="11" t="s">
        <v>814</v>
      </c>
      <c r="B13" s="10" t="s">
        <v>714</v>
      </c>
      <c r="C13" s="10" t="s">
        <v>415</v>
      </c>
      <c r="D13" s="10" t="s">
        <v>361</v>
      </c>
      <c r="E13" s="1">
        <v>1317</v>
      </c>
      <c r="F13" s="2"/>
      <c r="G13" s="2"/>
      <c r="H13" s="2">
        <v>1317</v>
      </c>
      <c r="I13" s="37">
        <v>43282</v>
      </c>
    </row>
    <row r="14" spans="1:9" x14ac:dyDescent="0.4">
      <c r="A14" s="11" t="s">
        <v>663</v>
      </c>
      <c r="B14" s="10" t="s">
        <v>876</v>
      </c>
      <c r="C14" s="10" t="s">
        <v>415</v>
      </c>
      <c r="D14" s="10" t="s">
        <v>361</v>
      </c>
      <c r="E14" s="1">
        <v>1000</v>
      </c>
      <c r="F14" s="2"/>
      <c r="G14" s="2"/>
      <c r="H14" s="2">
        <v>1000</v>
      </c>
      <c r="I14" t="s">
        <v>1059</v>
      </c>
    </row>
    <row r="15" spans="1:9" x14ac:dyDescent="0.4">
      <c r="B15" s="10" t="s">
        <v>1023</v>
      </c>
      <c r="C15" s="10" t="s">
        <v>415</v>
      </c>
      <c r="D15" s="10" t="s">
        <v>361</v>
      </c>
      <c r="E15" s="1">
        <v>1000</v>
      </c>
      <c r="F15" s="2"/>
      <c r="G15" s="2"/>
      <c r="H15" s="2">
        <v>1000</v>
      </c>
      <c r="I15" t="s">
        <v>1059</v>
      </c>
    </row>
    <row r="16" spans="1:9" x14ac:dyDescent="0.4">
      <c r="B16" s="10" t="s">
        <v>1060</v>
      </c>
      <c r="C16" s="10" t="s">
        <v>415</v>
      </c>
      <c r="D16" s="10" t="s">
        <v>361</v>
      </c>
      <c r="E16" s="1">
        <v>1500</v>
      </c>
      <c r="F16" s="2"/>
      <c r="G16" s="2"/>
      <c r="H16" s="2">
        <v>1500</v>
      </c>
      <c r="I16" t="s">
        <v>1059</v>
      </c>
    </row>
    <row r="17" spans="1:9" x14ac:dyDescent="0.4">
      <c r="B17" s="10" t="s">
        <v>1025</v>
      </c>
      <c r="C17" s="10" t="s">
        <v>1061</v>
      </c>
      <c r="D17" s="10" t="s">
        <v>361</v>
      </c>
      <c r="E17" s="1">
        <v>1800</v>
      </c>
      <c r="F17" s="2">
        <v>1800</v>
      </c>
      <c r="G17" s="2"/>
      <c r="H17" s="2"/>
    </row>
    <row r="18" spans="1:9" x14ac:dyDescent="0.4">
      <c r="A18" s="11" t="s">
        <v>1033</v>
      </c>
      <c r="B18" s="10" t="s">
        <v>1034</v>
      </c>
      <c r="C18" s="10" t="s">
        <v>415</v>
      </c>
      <c r="D18" s="10" t="s">
        <v>361</v>
      </c>
      <c r="E18" s="1">
        <v>1900</v>
      </c>
      <c r="F18" s="2">
        <v>1900</v>
      </c>
      <c r="G18" s="2"/>
      <c r="H18" s="2"/>
      <c r="I18" t="s">
        <v>1062</v>
      </c>
    </row>
    <row r="19" spans="1:9" x14ac:dyDescent="0.4">
      <c r="A19" s="10" t="s">
        <v>7</v>
      </c>
      <c r="E19" s="1"/>
      <c r="F19" s="2"/>
      <c r="G19" s="2"/>
      <c r="H19" s="2"/>
    </row>
    <row r="20" spans="1:9" x14ac:dyDescent="0.4">
      <c r="A20" s="11" t="s">
        <v>384</v>
      </c>
      <c r="B20" s="10" t="s">
        <v>1036</v>
      </c>
      <c r="C20" s="10" t="s">
        <v>1037</v>
      </c>
      <c r="D20" s="10" t="s">
        <v>414</v>
      </c>
      <c r="E20" s="1">
        <v>1000</v>
      </c>
      <c r="F20" s="2">
        <v>1000</v>
      </c>
      <c r="G20" s="2"/>
      <c r="H20" s="2"/>
    </row>
    <row r="21" spans="1:9" x14ac:dyDescent="0.4">
      <c r="A21" s="11" t="s">
        <v>411</v>
      </c>
      <c r="B21" s="10" t="s">
        <v>412</v>
      </c>
      <c r="C21" s="10" t="s">
        <v>413</v>
      </c>
      <c r="D21" s="10" t="s">
        <v>414</v>
      </c>
      <c r="E21" s="1">
        <v>1879</v>
      </c>
      <c r="F21" s="2">
        <v>1879</v>
      </c>
      <c r="G21" s="2"/>
      <c r="H21" s="2"/>
    </row>
    <row r="22" spans="1:9" x14ac:dyDescent="0.4">
      <c r="A22" s="11" t="s">
        <v>426</v>
      </c>
      <c r="B22" s="10" t="s">
        <v>868</v>
      </c>
      <c r="C22" s="10" t="s">
        <v>413</v>
      </c>
      <c r="D22" s="10" t="s">
        <v>395</v>
      </c>
      <c r="E22" s="1">
        <v>2010</v>
      </c>
      <c r="F22" s="2">
        <v>2010</v>
      </c>
      <c r="G22" s="2"/>
      <c r="H22" s="2"/>
    </row>
    <row r="23" spans="1:9" x14ac:dyDescent="0.4">
      <c r="A23" s="11" t="s">
        <v>438</v>
      </c>
      <c r="B23" s="10" t="s">
        <v>439</v>
      </c>
      <c r="C23" s="10" t="s">
        <v>413</v>
      </c>
      <c r="D23" s="10" t="s">
        <v>361</v>
      </c>
      <c r="E23" s="1">
        <v>2800</v>
      </c>
      <c r="F23" s="2"/>
      <c r="G23" s="2">
        <v>2800</v>
      </c>
      <c r="H23" s="2"/>
    </row>
    <row r="24" spans="1:9" x14ac:dyDescent="0.4">
      <c r="A24" s="11" t="s">
        <v>197</v>
      </c>
      <c r="B24" s="10" t="s">
        <v>315</v>
      </c>
      <c r="C24" s="10" t="s">
        <v>1041</v>
      </c>
      <c r="D24" s="10" t="s">
        <v>539</v>
      </c>
      <c r="E24" s="1">
        <v>1854.85</v>
      </c>
      <c r="F24" s="2">
        <v>1854.85</v>
      </c>
      <c r="G24" s="2"/>
      <c r="H24" s="2"/>
    </row>
    <row r="25" spans="1:9" x14ac:dyDescent="0.4">
      <c r="A25" s="11" t="s">
        <v>608</v>
      </c>
      <c r="B25" s="10" t="s">
        <v>609</v>
      </c>
      <c r="C25" s="10" t="s">
        <v>1043</v>
      </c>
      <c r="D25" s="10" t="s">
        <v>749</v>
      </c>
      <c r="E25" s="1">
        <v>6665</v>
      </c>
      <c r="F25" s="2"/>
      <c r="G25" s="2">
        <v>6665</v>
      </c>
      <c r="H25" s="2"/>
      <c r="I25" t="s">
        <v>1063</v>
      </c>
    </row>
    <row r="26" spans="1:9" x14ac:dyDescent="0.4">
      <c r="A26" s="11" t="s">
        <v>628</v>
      </c>
      <c r="B26" s="10" t="s">
        <v>1044</v>
      </c>
      <c r="C26" s="10" t="s">
        <v>1043</v>
      </c>
      <c r="D26" s="10" t="s">
        <v>395</v>
      </c>
      <c r="E26" s="1">
        <v>5000</v>
      </c>
      <c r="F26" s="2"/>
      <c r="G26" s="2">
        <v>5000</v>
      </c>
      <c r="H26" s="2"/>
      <c r="I26" t="s">
        <v>1064</v>
      </c>
    </row>
    <row r="27" spans="1:9" x14ac:dyDescent="0.4">
      <c r="A27" s="11" t="s">
        <v>635</v>
      </c>
      <c r="B27" s="10" t="s">
        <v>857</v>
      </c>
      <c r="C27" s="10" t="s">
        <v>413</v>
      </c>
      <c r="D27" s="10" t="s">
        <v>395</v>
      </c>
      <c r="E27" s="1">
        <v>2411.5</v>
      </c>
      <c r="F27" s="2"/>
      <c r="G27" s="2">
        <v>2411.5</v>
      </c>
      <c r="H27" s="2"/>
      <c r="I27" t="s">
        <v>1065</v>
      </c>
    </row>
    <row r="28" spans="1:9" x14ac:dyDescent="0.4">
      <c r="A28" s="11" t="s">
        <v>663</v>
      </c>
      <c r="B28" s="10" t="s">
        <v>1066</v>
      </c>
      <c r="C28" s="10" t="s">
        <v>413</v>
      </c>
      <c r="D28" s="10" t="s">
        <v>361</v>
      </c>
      <c r="E28" s="1">
        <v>7980</v>
      </c>
      <c r="F28" s="2">
        <v>7980</v>
      </c>
      <c r="G28" s="2"/>
      <c r="H28" s="2"/>
    </row>
    <row r="29" spans="1:9" x14ac:dyDescent="0.4">
      <c r="B29" s="10" t="s">
        <v>1047</v>
      </c>
      <c r="C29" s="10" t="s">
        <v>413</v>
      </c>
      <c r="D29" s="10" t="s">
        <v>361</v>
      </c>
      <c r="E29" s="1">
        <v>30000</v>
      </c>
      <c r="F29" s="2">
        <v>15000</v>
      </c>
      <c r="G29" s="2"/>
      <c r="H29" s="2"/>
      <c r="I29" t="s">
        <v>1067</v>
      </c>
    </row>
    <row r="30" spans="1:9" x14ac:dyDescent="0.4">
      <c r="B30" s="10" t="s">
        <v>1048</v>
      </c>
      <c r="C30" s="10" t="s">
        <v>413</v>
      </c>
      <c r="D30" s="10" t="s">
        <v>361</v>
      </c>
      <c r="E30" s="1">
        <v>12400</v>
      </c>
      <c r="F30" s="2">
        <v>12400</v>
      </c>
      <c r="G30" s="2"/>
      <c r="H30" s="2"/>
    </row>
    <row r="31" spans="1:9" x14ac:dyDescent="0.4">
      <c r="B31" s="10" t="s">
        <v>1068</v>
      </c>
      <c r="C31" s="10" t="s">
        <v>413</v>
      </c>
      <c r="D31" s="10" t="s">
        <v>361</v>
      </c>
      <c r="E31" s="1">
        <v>7500</v>
      </c>
      <c r="F31" s="2">
        <v>7500</v>
      </c>
      <c r="G31" s="2"/>
      <c r="H31" s="2"/>
    </row>
    <row r="32" spans="1:9" x14ac:dyDescent="0.4">
      <c r="B32" s="10" t="s">
        <v>1049</v>
      </c>
      <c r="C32" s="10" t="s">
        <v>413</v>
      </c>
      <c r="D32" s="10" t="s">
        <v>361</v>
      </c>
      <c r="E32" s="1">
        <v>10000</v>
      </c>
      <c r="F32" s="2"/>
      <c r="G32" s="2">
        <v>10000</v>
      </c>
      <c r="H32" s="2"/>
      <c r="I32" t="s">
        <v>1069</v>
      </c>
    </row>
    <row r="33" spans="1:8" x14ac:dyDescent="0.4">
      <c r="B33" s="10" t="s">
        <v>1050</v>
      </c>
      <c r="C33" s="10" t="s">
        <v>413</v>
      </c>
      <c r="D33" s="10" t="s">
        <v>361</v>
      </c>
      <c r="E33" s="1">
        <v>9000</v>
      </c>
      <c r="F33" s="2"/>
      <c r="G33" s="2">
        <v>9000</v>
      </c>
      <c r="H33" s="2"/>
    </row>
    <row r="34" spans="1:8" x14ac:dyDescent="0.4">
      <c r="A34" s="11" t="s">
        <v>1033</v>
      </c>
      <c r="B34" s="10" t="s">
        <v>1054</v>
      </c>
      <c r="C34" s="10" t="s">
        <v>413</v>
      </c>
      <c r="D34" s="10" t="s">
        <v>361</v>
      </c>
      <c r="E34" s="1">
        <v>2600</v>
      </c>
      <c r="F34" s="2">
        <v>2600</v>
      </c>
      <c r="G34" s="2"/>
      <c r="H34" s="2"/>
    </row>
    <row r="35" spans="1:8" x14ac:dyDescent="0.4">
      <c r="A35" s="10" t="s">
        <v>8</v>
      </c>
      <c r="E35" s="1">
        <v>103287</v>
      </c>
      <c r="F35" s="2">
        <v>52223.85</v>
      </c>
      <c r="G35" s="2">
        <v>35876.5</v>
      </c>
      <c r="H35" s="2">
        <v>0</v>
      </c>
    </row>
    <row r="36" spans="1:8" x14ac:dyDescent="0.4">
      <c r="A36" s="10" t="s">
        <v>369</v>
      </c>
      <c r="E36" s="1">
        <v>6908</v>
      </c>
      <c r="F36" s="2"/>
      <c r="G36" s="2">
        <v>88100.35</v>
      </c>
      <c r="H36" s="2"/>
    </row>
    <row r="37" spans="1:8" x14ac:dyDescent="0.4">
      <c r="A37" s="10" t="s">
        <v>10</v>
      </c>
      <c r="E37" s="1">
        <v>649</v>
      </c>
      <c r="F37" s="2"/>
      <c r="G37" s="2"/>
      <c r="H37" s="2"/>
    </row>
    <row r="38" spans="1:8" x14ac:dyDescent="0.4">
      <c r="A38" s="10" t="s">
        <v>11</v>
      </c>
      <c r="E38" s="1">
        <v>1346</v>
      </c>
      <c r="F38" s="2"/>
      <c r="G38" s="2"/>
      <c r="H38" s="2"/>
    </row>
    <row r="39" spans="1:8" x14ac:dyDescent="0.4">
      <c r="A39" s="10" t="s">
        <v>12</v>
      </c>
      <c r="E39" s="1">
        <v>342078.37</v>
      </c>
      <c r="F39" s="2"/>
      <c r="G39" s="2"/>
      <c r="H39" s="2"/>
    </row>
    <row r="40" spans="1:8" x14ac:dyDescent="0.4">
      <c r="A40" s="10" t="s">
        <v>766</v>
      </c>
      <c r="E40" s="1">
        <v>641141.69999999995</v>
      </c>
      <c r="F40" s="2"/>
      <c r="G40" s="2"/>
      <c r="H4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0"/>
  <sheetViews>
    <sheetView workbookViewId="0">
      <selection sqref="A1:I40"/>
    </sheetView>
  </sheetViews>
  <sheetFormatPr defaultRowHeight="14.6" x14ac:dyDescent="0.4"/>
  <sheetData>
    <row r="1" spans="1:9" x14ac:dyDescent="0.4">
      <c r="E1" s="1">
        <v>149454.97999999998</v>
      </c>
      <c r="F1" s="36" t="s">
        <v>304</v>
      </c>
      <c r="G1" s="36" t="s">
        <v>305</v>
      </c>
      <c r="H1" s="36" t="s">
        <v>306</v>
      </c>
      <c r="I1" s="3" t="s">
        <v>307</v>
      </c>
    </row>
    <row r="2" spans="1:9" x14ac:dyDescent="0.4">
      <c r="E2" s="1"/>
      <c r="F2" s="2">
        <v>71909.98</v>
      </c>
      <c r="G2" s="2">
        <v>77545</v>
      </c>
      <c r="H2" s="2">
        <v>14600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2"/>
      <c r="G3" s="2"/>
      <c r="H3" s="2"/>
    </row>
    <row r="4" spans="1:9" x14ac:dyDescent="0.4">
      <c r="A4" s="10" t="s">
        <v>1070</v>
      </c>
      <c r="E4" s="1"/>
      <c r="F4" s="2"/>
      <c r="G4" s="2"/>
      <c r="H4" s="2"/>
    </row>
    <row r="5" spans="1:9" x14ac:dyDescent="0.4">
      <c r="A5" s="10" t="s">
        <v>5</v>
      </c>
      <c r="E5" s="1"/>
      <c r="F5" s="2"/>
      <c r="G5" s="2"/>
      <c r="H5" s="2"/>
    </row>
    <row r="6" spans="1:9" x14ac:dyDescent="0.4">
      <c r="A6" s="11" t="s">
        <v>635</v>
      </c>
      <c r="B6" s="10" t="s">
        <v>1071</v>
      </c>
      <c r="C6" s="10" t="s">
        <v>359</v>
      </c>
      <c r="D6" s="10" t="s">
        <v>395</v>
      </c>
      <c r="E6" s="1">
        <v>9204</v>
      </c>
      <c r="F6" s="2"/>
      <c r="G6" s="2">
        <v>9204</v>
      </c>
      <c r="H6" s="2"/>
      <c r="I6" t="s">
        <v>1072</v>
      </c>
    </row>
    <row r="7" spans="1:9" x14ac:dyDescent="0.4">
      <c r="A7" s="10" t="s">
        <v>6</v>
      </c>
      <c r="E7" s="1"/>
      <c r="F7" s="2"/>
      <c r="G7" s="2"/>
      <c r="H7" s="2"/>
    </row>
    <row r="8" spans="1:9" x14ac:dyDescent="0.4">
      <c r="A8" s="11" t="s">
        <v>314</v>
      </c>
      <c r="B8" s="10" t="s">
        <v>1073</v>
      </c>
      <c r="C8" s="10" t="s">
        <v>647</v>
      </c>
      <c r="D8" s="10" t="s">
        <v>322</v>
      </c>
      <c r="E8" s="1">
        <v>532.5</v>
      </c>
      <c r="F8" s="2">
        <v>532.5</v>
      </c>
      <c r="G8" s="2"/>
      <c r="H8" s="2"/>
    </row>
    <row r="9" spans="1:9" x14ac:dyDescent="0.4">
      <c r="A9" s="11" t="s">
        <v>268</v>
      </c>
      <c r="B9" s="10" t="s">
        <v>1019</v>
      </c>
      <c r="C9" s="10" t="s">
        <v>1074</v>
      </c>
      <c r="D9" s="10" t="s">
        <v>749</v>
      </c>
      <c r="E9" s="1">
        <v>954</v>
      </c>
      <c r="F9" s="2">
        <v>954</v>
      </c>
      <c r="G9" s="2"/>
      <c r="H9" s="2"/>
    </row>
    <row r="10" spans="1:9" x14ac:dyDescent="0.4">
      <c r="A10" s="11" t="s">
        <v>384</v>
      </c>
      <c r="B10" s="10" t="s">
        <v>860</v>
      </c>
      <c r="C10" s="10" t="s">
        <v>822</v>
      </c>
      <c r="D10" s="10" t="s">
        <v>361</v>
      </c>
      <c r="E10" s="1">
        <v>300</v>
      </c>
      <c r="F10" s="2"/>
      <c r="G10" s="2"/>
      <c r="H10" s="2">
        <v>300</v>
      </c>
      <c r="I10" t="s">
        <v>1075</v>
      </c>
    </row>
    <row r="11" spans="1:9" x14ac:dyDescent="0.4">
      <c r="A11" s="11" t="s">
        <v>861</v>
      </c>
      <c r="B11" s="10" t="s">
        <v>862</v>
      </c>
      <c r="C11" s="10" t="s">
        <v>415</v>
      </c>
      <c r="D11" s="10" t="s">
        <v>361</v>
      </c>
      <c r="E11" s="1">
        <v>100</v>
      </c>
      <c r="F11" s="2">
        <v>100</v>
      </c>
      <c r="G11" s="2"/>
      <c r="H11" s="2"/>
    </row>
    <row r="12" spans="1:9" x14ac:dyDescent="0.4">
      <c r="A12" s="11" t="s">
        <v>411</v>
      </c>
      <c r="B12" s="10" t="s">
        <v>412</v>
      </c>
      <c r="C12" s="10" t="s">
        <v>415</v>
      </c>
      <c r="D12" s="10" t="s">
        <v>414</v>
      </c>
      <c r="E12" s="1">
        <v>1879</v>
      </c>
      <c r="F12" s="2"/>
      <c r="G12" s="2">
        <v>1879</v>
      </c>
      <c r="H12" s="2"/>
      <c r="I12" t="s">
        <v>1076</v>
      </c>
    </row>
    <row r="13" spans="1:9" x14ac:dyDescent="0.4">
      <c r="A13" s="11" t="s">
        <v>426</v>
      </c>
      <c r="B13" s="10" t="s">
        <v>865</v>
      </c>
      <c r="C13" s="10" t="s">
        <v>647</v>
      </c>
      <c r="D13" s="10" t="s">
        <v>539</v>
      </c>
      <c r="E13" s="1">
        <v>53430</v>
      </c>
      <c r="F13" s="2"/>
      <c r="G13" s="2">
        <v>25000</v>
      </c>
      <c r="H13" s="2"/>
      <c r="I13" t="s">
        <v>1077</v>
      </c>
    </row>
    <row r="14" spans="1:9" x14ac:dyDescent="0.4">
      <c r="B14" s="10" t="s">
        <v>867</v>
      </c>
      <c r="C14" s="10" t="s">
        <v>415</v>
      </c>
      <c r="D14" s="10" t="s">
        <v>395</v>
      </c>
      <c r="E14" s="1">
        <v>2010</v>
      </c>
      <c r="F14" s="2">
        <v>2010</v>
      </c>
      <c r="G14" s="2"/>
      <c r="H14" s="2"/>
    </row>
    <row r="15" spans="1:9" x14ac:dyDescent="0.4">
      <c r="A15" s="11" t="s">
        <v>438</v>
      </c>
      <c r="B15" s="10" t="s">
        <v>439</v>
      </c>
      <c r="C15" s="10" t="s">
        <v>415</v>
      </c>
      <c r="D15" s="10" t="s">
        <v>361</v>
      </c>
      <c r="E15" s="1">
        <v>2800</v>
      </c>
      <c r="F15" s="2"/>
      <c r="G15" s="2"/>
      <c r="H15" s="2">
        <v>2800</v>
      </c>
      <c r="I15" t="s">
        <v>1078</v>
      </c>
    </row>
    <row r="16" spans="1:9" x14ac:dyDescent="0.4">
      <c r="A16" s="11" t="s">
        <v>251</v>
      </c>
      <c r="B16" s="10" t="s">
        <v>870</v>
      </c>
      <c r="C16" s="10" t="s">
        <v>415</v>
      </c>
      <c r="D16" s="10" t="s">
        <v>361</v>
      </c>
      <c r="E16" s="1">
        <v>11500</v>
      </c>
      <c r="F16" s="2"/>
      <c r="G16" s="2"/>
      <c r="H16" s="2">
        <v>11500</v>
      </c>
      <c r="I16" t="s">
        <v>1078</v>
      </c>
    </row>
    <row r="17" spans="1:9" x14ac:dyDescent="0.4">
      <c r="A17" s="11" t="s">
        <v>565</v>
      </c>
      <c r="B17" s="10" t="s">
        <v>575</v>
      </c>
      <c r="C17" s="10" t="s">
        <v>415</v>
      </c>
      <c r="D17" s="10" t="s">
        <v>395</v>
      </c>
      <c r="E17" s="1">
        <v>1261.98</v>
      </c>
      <c r="F17" s="2">
        <v>1261.98</v>
      </c>
      <c r="G17" s="2"/>
      <c r="H17" s="2"/>
      <c r="I17" t="s">
        <v>1079</v>
      </c>
    </row>
    <row r="18" spans="1:9" x14ac:dyDescent="0.4">
      <c r="A18" s="11" t="s">
        <v>798</v>
      </c>
      <c r="B18" s="10" t="s">
        <v>853</v>
      </c>
      <c r="C18" s="10" t="s">
        <v>415</v>
      </c>
      <c r="D18" s="10" t="s">
        <v>395</v>
      </c>
      <c r="E18" s="1">
        <v>6000</v>
      </c>
      <c r="F18" s="2">
        <v>6000</v>
      </c>
      <c r="G18" s="2"/>
      <c r="H18" s="2"/>
      <c r="I18" t="s">
        <v>1080</v>
      </c>
    </row>
    <row r="19" spans="1:9" x14ac:dyDescent="0.4">
      <c r="A19" s="11" t="s">
        <v>635</v>
      </c>
      <c r="B19" s="10" t="s">
        <v>857</v>
      </c>
      <c r="C19" s="10" t="s">
        <v>415</v>
      </c>
      <c r="D19" s="10" t="s">
        <v>395</v>
      </c>
      <c r="E19" s="1">
        <v>2411.5</v>
      </c>
      <c r="F19" s="2"/>
      <c r="G19" s="2">
        <v>2411.5</v>
      </c>
      <c r="H19" s="2"/>
    </row>
    <row r="20" spans="1:9" x14ac:dyDescent="0.4">
      <c r="A20" s="11" t="s">
        <v>814</v>
      </c>
      <c r="B20" s="10" t="s">
        <v>714</v>
      </c>
      <c r="C20" s="10" t="s">
        <v>415</v>
      </c>
      <c r="D20" s="10" t="s">
        <v>361</v>
      </c>
      <c r="E20" s="1">
        <v>1317</v>
      </c>
      <c r="F20" s="2">
        <v>1317</v>
      </c>
      <c r="G20" s="2"/>
      <c r="H20" s="2"/>
    </row>
    <row r="21" spans="1:9" x14ac:dyDescent="0.4">
      <c r="A21" s="11" t="s">
        <v>663</v>
      </c>
      <c r="B21" s="10" t="s">
        <v>876</v>
      </c>
      <c r="C21" s="10" t="s">
        <v>415</v>
      </c>
      <c r="D21" s="10" t="s">
        <v>361</v>
      </c>
      <c r="E21" s="1">
        <v>1000</v>
      </c>
      <c r="F21" s="2">
        <v>1000</v>
      </c>
      <c r="G21" s="2"/>
      <c r="H21" s="2"/>
    </row>
    <row r="22" spans="1:9" x14ac:dyDescent="0.4">
      <c r="B22" s="10" t="s">
        <v>1023</v>
      </c>
      <c r="C22" s="10" t="s">
        <v>415</v>
      </c>
      <c r="D22" s="10" t="s">
        <v>361</v>
      </c>
      <c r="E22" s="1">
        <v>1000</v>
      </c>
      <c r="F22" s="2">
        <v>1000</v>
      </c>
      <c r="G22" s="2"/>
      <c r="H22" s="2"/>
    </row>
    <row r="23" spans="1:9" x14ac:dyDescent="0.4">
      <c r="B23" s="10" t="s">
        <v>1066</v>
      </c>
      <c r="C23" s="10" t="s">
        <v>415</v>
      </c>
      <c r="D23" s="10" t="s">
        <v>361</v>
      </c>
      <c r="E23" s="1">
        <v>7980</v>
      </c>
      <c r="F23" s="2">
        <v>7980</v>
      </c>
      <c r="G23" s="2"/>
      <c r="H23" s="2"/>
    </row>
    <row r="24" spans="1:9" x14ac:dyDescent="0.4">
      <c r="B24" s="10" t="s">
        <v>1081</v>
      </c>
      <c r="C24" s="10" t="s">
        <v>415</v>
      </c>
      <c r="D24" s="10" t="s">
        <v>361</v>
      </c>
      <c r="E24" s="1">
        <v>96509</v>
      </c>
      <c r="F24" s="2">
        <v>48254.5</v>
      </c>
      <c r="G24" s="2">
        <v>48254.5</v>
      </c>
      <c r="H24" s="2"/>
      <c r="I24" t="s">
        <v>1082</v>
      </c>
    </row>
    <row r="25" spans="1:9" x14ac:dyDescent="0.4">
      <c r="B25" s="10" t="s">
        <v>1060</v>
      </c>
      <c r="C25" s="10" t="s">
        <v>415</v>
      </c>
      <c r="D25" s="10" t="s">
        <v>361</v>
      </c>
      <c r="E25" s="1">
        <v>1500</v>
      </c>
      <c r="F25" s="2">
        <v>1500</v>
      </c>
      <c r="G25" s="2"/>
      <c r="H25" s="2"/>
    </row>
    <row r="26" spans="1:9" x14ac:dyDescent="0.4">
      <c r="A26" s="10" t="s">
        <v>7</v>
      </c>
      <c r="E26" s="1"/>
      <c r="F26" s="2"/>
      <c r="G26" s="2"/>
      <c r="H26" s="2"/>
    </row>
    <row r="27" spans="1:9" x14ac:dyDescent="0.4">
      <c r="A27" s="11" t="s">
        <v>384</v>
      </c>
      <c r="B27" s="10" t="s">
        <v>1036</v>
      </c>
      <c r="C27" s="10" t="s">
        <v>1037</v>
      </c>
      <c r="D27" s="10" t="s">
        <v>414</v>
      </c>
      <c r="E27" s="1">
        <v>1000</v>
      </c>
      <c r="F27" s="2">
        <v>1000</v>
      </c>
      <c r="G27" s="2"/>
      <c r="H27" s="2"/>
    </row>
    <row r="28" spans="1:9" x14ac:dyDescent="0.4">
      <c r="A28" s="11" t="s">
        <v>1083</v>
      </c>
      <c r="B28" s="10" t="s">
        <v>1084</v>
      </c>
      <c r="C28" s="10" t="s">
        <v>1043</v>
      </c>
      <c r="D28" s="10" t="s">
        <v>395</v>
      </c>
      <c r="E28" s="1">
        <v>3500</v>
      </c>
      <c r="F28" s="2"/>
      <c r="G28" s="2"/>
      <c r="H28" s="2">
        <v>3500</v>
      </c>
      <c r="I28" t="s">
        <v>1085</v>
      </c>
    </row>
    <row r="29" spans="1:9" x14ac:dyDescent="0.4">
      <c r="A29" s="11" t="s">
        <v>426</v>
      </c>
      <c r="B29" s="10" t="s">
        <v>868</v>
      </c>
      <c r="C29" s="10" t="s">
        <v>413</v>
      </c>
      <c r="D29" s="10" t="s">
        <v>395</v>
      </c>
      <c r="E29" s="1">
        <v>2010</v>
      </c>
      <c r="F29" s="2">
        <v>2010</v>
      </c>
      <c r="G29" s="2"/>
      <c r="H29" s="2"/>
    </row>
    <row r="30" spans="1:9" x14ac:dyDescent="0.4">
      <c r="B30" s="10" t="s">
        <v>1086</v>
      </c>
      <c r="C30" s="10" t="s">
        <v>413</v>
      </c>
      <c r="D30" s="10" t="s">
        <v>361</v>
      </c>
      <c r="E30" s="1">
        <v>2188</v>
      </c>
      <c r="F30" s="2"/>
      <c r="G30" s="2"/>
      <c r="H30" s="2">
        <v>2188</v>
      </c>
    </row>
    <row r="31" spans="1:9" x14ac:dyDescent="0.4">
      <c r="A31" s="11" t="s">
        <v>197</v>
      </c>
      <c r="B31" s="10" t="s">
        <v>315</v>
      </c>
      <c r="C31" s="10" t="s">
        <v>1041</v>
      </c>
      <c r="D31" s="10" t="s">
        <v>539</v>
      </c>
      <c r="E31" s="1">
        <v>1854.85</v>
      </c>
      <c r="F31" s="2">
        <v>1854.85</v>
      </c>
      <c r="G31" s="2"/>
      <c r="H31" s="2"/>
    </row>
    <row r="32" spans="1:9" x14ac:dyDescent="0.4">
      <c r="A32" s="11" t="s">
        <v>608</v>
      </c>
      <c r="B32" s="10" t="s">
        <v>609</v>
      </c>
      <c r="C32" s="10" t="s">
        <v>1043</v>
      </c>
      <c r="D32" s="10" t="s">
        <v>749</v>
      </c>
      <c r="E32" s="1">
        <v>6665</v>
      </c>
      <c r="F32" s="2">
        <v>6665</v>
      </c>
      <c r="G32" s="2"/>
      <c r="H32" s="2"/>
    </row>
    <row r="33" spans="1:8" x14ac:dyDescent="0.4">
      <c r="A33" s="11" t="s">
        <v>628</v>
      </c>
      <c r="B33" s="10" t="s">
        <v>1044</v>
      </c>
      <c r="C33" s="10" t="s">
        <v>1043</v>
      </c>
      <c r="D33" s="10" t="s">
        <v>395</v>
      </c>
      <c r="E33" s="1">
        <v>5000</v>
      </c>
      <c r="F33" s="2"/>
      <c r="G33" s="2">
        <v>5000</v>
      </c>
      <c r="H33" s="2"/>
    </row>
    <row r="34" spans="1:8" x14ac:dyDescent="0.4">
      <c r="A34" s="11" t="s">
        <v>663</v>
      </c>
      <c r="B34" s="10" t="s">
        <v>1047</v>
      </c>
      <c r="C34" s="10" t="s">
        <v>413</v>
      </c>
      <c r="D34" s="10" t="s">
        <v>361</v>
      </c>
      <c r="E34" s="1">
        <v>30000</v>
      </c>
      <c r="F34" s="2">
        <v>30000</v>
      </c>
      <c r="G34" s="2"/>
      <c r="H34" s="2"/>
    </row>
    <row r="35" spans="1:8" x14ac:dyDescent="0.4">
      <c r="A35" s="10" t="s">
        <v>8</v>
      </c>
      <c r="E35" s="1">
        <v>4290</v>
      </c>
      <c r="F35" s="2"/>
      <c r="G35" s="2"/>
      <c r="H35" s="2"/>
    </row>
    <row r="36" spans="1:8" x14ac:dyDescent="0.4">
      <c r="A36" s="10" t="s">
        <v>369</v>
      </c>
      <c r="E36" s="1">
        <v>3408</v>
      </c>
      <c r="F36" s="2">
        <v>2800</v>
      </c>
      <c r="G36" s="2"/>
      <c r="H36" s="2"/>
    </row>
    <row r="37" spans="1:8" x14ac:dyDescent="0.4">
      <c r="A37" s="10" t="s">
        <v>10</v>
      </c>
      <c r="E37" s="1">
        <v>649</v>
      </c>
      <c r="F37" s="2">
        <v>11500</v>
      </c>
      <c r="G37" s="2"/>
      <c r="H37" s="2"/>
    </row>
    <row r="38" spans="1:8" x14ac:dyDescent="0.4">
      <c r="A38" s="10" t="s">
        <v>11</v>
      </c>
      <c r="E38" s="1">
        <v>1346</v>
      </c>
      <c r="F38" s="2">
        <v>55829.85</v>
      </c>
      <c r="G38" s="2">
        <v>60829.85</v>
      </c>
      <c r="H38" s="2"/>
    </row>
    <row r="39" spans="1:8" x14ac:dyDescent="0.4">
      <c r="A39" s="10" t="s">
        <v>12</v>
      </c>
      <c r="E39" s="1">
        <v>342091.57999999996</v>
      </c>
      <c r="F39" s="2"/>
      <c r="G39" s="2"/>
      <c r="H39" s="2"/>
    </row>
    <row r="40" spans="1:8" x14ac:dyDescent="0.4">
      <c r="A40" s="10" t="s">
        <v>766</v>
      </c>
      <c r="E40" s="1">
        <v>605691.40999999992</v>
      </c>
      <c r="F40" s="2"/>
      <c r="G40" s="2"/>
      <c r="H4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>
      <selection sqref="A1:I27"/>
    </sheetView>
  </sheetViews>
  <sheetFormatPr defaultRowHeight="14.6" x14ac:dyDescent="0.4"/>
  <cols>
    <col min="1" max="1" width="42.3828125" bestFit="1" customWidth="1"/>
    <col min="2" max="2" width="35.3828125" bestFit="1" customWidth="1"/>
    <col min="3" max="3" width="10.3828125" bestFit="1" customWidth="1"/>
    <col min="4" max="4" width="23.3828125" bestFit="1" customWidth="1"/>
    <col min="5" max="5" width="15.53515625" bestFit="1" customWidth="1"/>
    <col min="6" max="8" width="10.15234375" bestFit="1" customWidth="1"/>
    <col min="9" max="9" width="45.3828125" bestFit="1" customWidth="1"/>
  </cols>
  <sheetData>
    <row r="1" spans="1:9" x14ac:dyDescent="0.4">
      <c r="E1" s="1">
        <v>117378.22</v>
      </c>
      <c r="F1" s="1" t="s">
        <v>304</v>
      </c>
      <c r="G1" s="1" t="s">
        <v>305</v>
      </c>
      <c r="H1" s="1" t="s">
        <v>306</v>
      </c>
      <c r="I1" t="s">
        <v>307</v>
      </c>
    </row>
    <row r="2" spans="1:9" x14ac:dyDescent="0.4">
      <c r="E2" s="1"/>
      <c r="F2" s="1">
        <v>22078.22</v>
      </c>
      <c r="G2" s="1">
        <v>95300</v>
      </c>
      <c r="H2" s="1">
        <v>11879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1"/>
      <c r="G3" s="1"/>
      <c r="H3" s="1"/>
    </row>
    <row r="4" spans="1:9" x14ac:dyDescent="0.4">
      <c r="A4" s="10" t="s">
        <v>1087</v>
      </c>
      <c r="E4" s="1"/>
      <c r="F4" s="1"/>
      <c r="G4" s="1"/>
      <c r="H4" s="1"/>
    </row>
    <row r="5" spans="1:9" x14ac:dyDescent="0.4">
      <c r="A5" s="10" t="s">
        <v>5</v>
      </c>
      <c r="E5" s="1"/>
      <c r="F5" s="1"/>
      <c r="G5" s="1"/>
      <c r="H5" s="1"/>
    </row>
    <row r="6" spans="1:9" x14ac:dyDescent="0.4">
      <c r="A6" s="11" t="s">
        <v>861</v>
      </c>
      <c r="B6" s="10" t="s">
        <v>1088</v>
      </c>
      <c r="C6" s="10" t="s">
        <v>1089</v>
      </c>
      <c r="D6" s="10" t="s">
        <v>776</v>
      </c>
      <c r="E6" s="1">
        <v>115</v>
      </c>
      <c r="F6" s="1"/>
      <c r="G6" s="1"/>
      <c r="H6" s="1">
        <v>115</v>
      </c>
      <c r="I6" s="35" t="s">
        <v>1090</v>
      </c>
    </row>
    <row r="7" spans="1:9" x14ac:dyDescent="0.4">
      <c r="A7" s="10" t="s">
        <v>6</v>
      </c>
      <c r="E7" s="1"/>
      <c r="F7" s="1"/>
      <c r="G7" s="1"/>
      <c r="H7" s="1"/>
    </row>
    <row r="8" spans="1:9" x14ac:dyDescent="0.4">
      <c r="A8" s="11" t="s">
        <v>314</v>
      </c>
      <c r="B8" s="10" t="s">
        <v>1091</v>
      </c>
      <c r="C8" s="10" t="s">
        <v>415</v>
      </c>
      <c r="D8" s="10" t="s">
        <v>773</v>
      </c>
      <c r="E8" s="1">
        <v>10000</v>
      </c>
      <c r="F8" s="1"/>
      <c r="G8" s="1"/>
      <c r="H8" s="1">
        <v>10000</v>
      </c>
      <c r="I8" s="35" t="s">
        <v>1090</v>
      </c>
    </row>
    <row r="9" spans="1:9" x14ac:dyDescent="0.4">
      <c r="B9" s="10" t="s">
        <v>1092</v>
      </c>
      <c r="C9" s="10" t="s">
        <v>415</v>
      </c>
      <c r="D9" s="10" t="s">
        <v>776</v>
      </c>
      <c r="E9" s="1">
        <v>1265.74</v>
      </c>
      <c r="F9" s="1">
        <v>1265.74</v>
      </c>
      <c r="G9" s="1"/>
      <c r="H9" s="1"/>
    </row>
    <row r="10" spans="1:9" x14ac:dyDescent="0.4">
      <c r="A10" s="11" t="s">
        <v>384</v>
      </c>
      <c r="B10" s="10" t="s">
        <v>860</v>
      </c>
      <c r="C10" s="10" t="s">
        <v>822</v>
      </c>
      <c r="D10" s="10" t="s">
        <v>773</v>
      </c>
      <c r="E10" s="1">
        <v>300</v>
      </c>
      <c r="F10" s="1">
        <v>300</v>
      </c>
      <c r="G10" s="1"/>
      <c r="H10" s="1"/>
    </row>
    <row r="11" spans="1:9" x14ac:dyDescent="0.4">
      <c r="A11" s="11" t="s">
        <v>861</v>
      </c>
      <c r="B11" s="10" t="s">
        <v>862</v>
      </c>
      <c r="C11" s="10" t="s">
        <v>415</v>
      </c>
      <c r="D11" s="10" t="s">
        <v>773</v>
      </c>
      <c r="E11" s="1">
        <v>100</v>
      </c>
      <c r="F11" s="1">
        <v>100</v>
      </c>
      <c r="G11" s="1"/>
      <c r="H11" s="1"/>
    </row>
    <row r="12" spans="1:9" x14ac:dyDescent="0.4">
      <c r="A12" s="11" t="s">
        <v>411</v>
      </c>
      <c r="B12" s="10" t="s">
        <v>412</v>
      </c>
      <c r="C12" s="10" t="s">
        <v>415</v>
      </c>
      <c r="D12" s="10" t="s">
        <v>768</v>
      </c>
      <c r="E12" s="1">
        <v>1879</v>
      </c>
      <c r="F12" s="1"/>
      <c r="G12" s="1"/>
      <c r="H12" s="1">
        <v>1879</v>
      </c>
      <c r="I12" s="35" t="s">
        <v>1093</v>
      </c>
    </row>
    <row r="13" spans="1:9" x14ac:dyDescent="0.4">
      <c r="A13" s="11" t="s">
        <v>426</v>
      </c>
      <c r="B13" s="10" t="s">
        <v>865</v>
      </c>
      <c r="C13" s="10" t="s">
        <v>647</v>
      </c>
      <c r="D13" s="10" t="s">
        <v>776</v>
      </c>
      <c r="E13" s="1">
        <v>53430</v>
      </c>
      <c r="F13" s="1"/>
      <c r="G13" s="1">
        <v>25000</v>
      </c>
      <c r="H13" s="1"/>
      <c r="I13" s="25" t="s">
        <v>1094</v>
      </c>
    </row>
    <row r="14" spans="1:9" x14ac:dyDescent="0.4">
      <c r="B14" s="10" t="s">
        <v>867</v>
      </c>
      <c r="C14" s="10" t="s">
        <v>415</v>
      </c>
      <c r="D14" s="10" t="s">
        <v>780</v>
      </c>
      <c r="E14" s="1">
        <v>2010</v>
      </c>
      <c r="F14" s="1">
        <v>2010</v>
      </c>
      <c r="G14" s="1"/>
      <c r="H14" s="1"/>
    </row>
    <row r="15" spans="1:9" x14ac:dyDescent="0.4">
      <c r="A15" s="11" t="s">
        <v>438</v>
      </c>
      <c r="B15" s="10" t="s">
        <v>439</v>
      </c>
      <c r="C15" s="10" t="s">
        <v>415</v>
      </c>
      <c r="D15" s="10" t="s">
        <v>773</v>
      </c>
      <c r="E15" s="1">
        <v>2800</v>
      </c>
      <c r="F15" s="1"/>
      <c r="G15" s="1">
        <v>2800</v>
      </c>
      <c r="H15" s="1"/>
      <c r="I15" s="25" t="s">
        <v>1095</v>
      </c>
    </row>
    <row r="16" spans="1:9" x14ac:dyDescent="0.4">
      <c r="A16" s="11" t="s">
        <v>251</v>
      </c>
      <c r="B16" s="10" t="s">
        <v>870</v>
      </c>
      <c r="C16" s="10" t="s">
        <v>415</v>
      </c>
      <c r="D16" s="10" t="s">
        <v>773</v>
      </c>
      <c r="E16" s="1">
        <v>11500</v>
      </c>
      <c r="F16" s="1"/>
      <c r="G16" s="1">
        <v>11500</v>
      </c>
      <c r="H16" s="1"/>
      <c r="I16" s="25" t="s">
        <v>1096</v>
      </c>
    </row>
    <row r="17" spans="1:9" x14ac:dyDescent="0.4">
      <c r="A17" s="11" t="s">
        <v>565</v>
      </c>
      <c r="B17" s="10" t="s">
        <v>575</v>
      </c>
      <c r="C17" s="10" t="s">
        <v>415</v>
      </c>
      <c r="D17" s="10" t="s">
        <v>1097</v>
      </c>
      <c r="E17" s="1">
        <v>1261.98</v>
      </c>
      <c r="F17" s="1">
        <v>1261.98</v>
      </c>
      <c r="G17" s="1"/>
      <c r="H17" s="1"/>
    </row>
    <row r="18" spans="1:9" x14ac:dyDescent="0.4">
      <c r="A18" s="11" t="s">
        <v>798</v>
      </c>
      <c r="B18" s="10" t="s">
        <v>853</v>
      </c>
      <c r="C18" s="10" t="s">
        <v>415</v>
      </c>
      <c r="D18" s="10" t="s">
        <v>780</v>
      </c>
      <c r="E18" s="1">
        <v>6000</v>
      </c>
      <c r="F18" s="1"/>
      <c r="G18" s="1">
        <v>6000</v>
      </c>
      <c r="H18" s="1"/>
      <c r="I18" s="25" t="s">
        <v>1098</v>
      </c>
    </row>
    <row r="19" spans="1:9" x14ac:dyDescent="0.4">
      <c r="A19" s="11" t="s">
        <v>635</v>
      </c>
      <c r="B19" s="10" t="s">
        <v>857</v>
      </c>
      <c r="C19" s="10" t="s">
        <v>415</v>
      </c>
      <c r="D19" s="10" t="s">
        <v>780</v>
      </c>
      <c r="E19" s="1">
        <v>2411.5</v>
      </c>
      <c r="F19" s="1">
        <v>2411.5</v>
      </c>
      <c r="G19" s="1"/>
      <c r="H19" s="1"/>
    </row>
    <row r="20" spans="1:9" x14ac:dyDescent="0.4">
      <c r="A20" s="11" t="s">
        <v>814</v>
      </c>
      <c r="B20" s="10" t="s">
        <v>714</v>
      </c>
      <c r="C20" s="10" t="s">
        <v>415</v>
      </c>
      <c r="D20" s="10" t="s">
        <v>773</v>
      </c>
      <c r="E20" s="1">
        <v>567</v>
      </c>
      <c r="F20" s="1">
        <v>1317</v>
      </c>
      <c r="G20" s="1"/>
      <c r="H20" s="1"/>
      <c r="I20" s="35" t="s">
        <v>1099</v>
      </c>
    </row>
    <row r="21" spans="1:9" x14ac:dyDescent="0.4">
      <c r="A21" s="11" t="s">
        <v>663</v>
      </c>
      <c r="B21" s="10" t="s">
        <v>876</v>
      </c>
      <c r="C21" s="10" t="s">
        <v>415</v>
      </c>
      <c r="D21" s="10" t="s">
        <v>773</v>
      </c>
      <c r="E21" s="1">
        <v>1000</v>
      </c>
      <c r="F21" s="1">
        <v>1000</v>
      </c>
      <c r="G21" s="1"/>
      <c r="H21" s="1"/>
    </row>
    <row r="22" spans="1:9" x14ac:dyDescent="0.4">
      <c r="B22" s="10" t="s">
        <v>1100</v>
      </c>
      <c r="C22" s="10" t="s">
        <v>415</v>
      </c>
      <c r="D22" s="10" t="s">
        <v>773</v>
      </c>
      <c r="E22" s="1">
        <v>7980</v>
      </c>
      <c r="F22" s="1">
        <v>7980</v>
      </c>
      <c r="G22" s="1"/>
      <c r="H22" s="1"/>
      <c r="I22" s="35" t="s">
        <v>1101</v>
      </c>
    </row>
    <row r="23" spans="1:9" x14ac:dyDescent="0.4">
      <c r="B23" s="10" t="s">
        <v>1102</v>
      </c>
      <c r="C23" s="10" t="s">
        <v>415</v>
      </c>
      <c r="D23" s="10" t="s">
        <v>773</v>
      </c>
      <c r="E23" s="1">
        <v>50000</v>
      </c>
      <c r="F23" s="1"/>
      <c r="G23" s="1">
        <v>50000</v>
      </c>
      <c r="H23" s="1"/>
      <c r="I23" s="25" t="s">
        <v>1103</v>
      </c>
    </row>
    <row r="24" spans="1:9" x14ac:dyDescent="0.4">
      <c r="B24" s="10" t="s">
        <v>1023</v>
      </c>
      <c r="C24" s="10" t="s">
        <v>415</v>
      </c>
      <c r="D24" s="10" t="s">
        <v>773</v>
      </c>
      <c r="E24" s="1">
        <v>1000</v>
      </c>
      <c r="F24" s="1">
        <v>1000</v>
      </c>
      <c r="G24" s="1"/>
      <c r="H24" s="1"/>
    </row>
    <row r="25" spans="1:9" x14ac:dyDescent="0.4">
      <c r="B25" s="10" t="s">
        <v>1104</v>
      </c>
      <c r="C25" s="10" t="s">
        <v>415</v>
      </c>
      <c r="D25" s="10" t="s">
        <v>773</v>
      </c>
      <c r="E25" s="1">
        <v>3432</v>
      </c>
      <c r="F25" s="1">
        <v>3432</v>
      </c>
      <c r="G25" s="1"/>
      <c r="H25" s="1"/>
    </row>
    <row r="26" spans="1:9" x14ac:dyDescent="0.4">
      <c r="A26" s="10" t="s">
        <v>7</v>
      </c>
      <c r="E26" s="1"/>
      <c r="F26" s="1"/>
      <c r="G26" s="1"/>
      <c r="H26" s="1"/>
    </row>
    <row r="27" spans="1:9" x14ac:dyDescent="0.4">
      <c r="A27" s="11" t="s">
        <v>314</v>
      </c>
      <c r="B27" s="10" t="s">
        <v>1105</v>
      </c>
      <c r="C27" s="10" t="s">
        <v>1106</v>
      </c>
      <c r="D27" s="10" t="s">
        <v>773</v>
      </c>
      <c r="E27" s="1">
        <v>3751</v>
      </c>
      <c r="F27" s="1"/>
      <c r="G27" s="1"/>
      <c r="H27" s="1"/>
      <c r="I27" t="s">
        <v>1107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5"/>
  <sheetViews>
    <sheetView workbookViewId="0">
      <selection activeCell="F12" sqref="F12"/>
    </sheetView>
  </sheetViews>
  <sheetFormatPr defaultRowHeight="14.6" x14ac:dyDescent="0.4"/>
  <cols>
    <col min="1" max="1" width="42.3828125" bestFit="1" customWidth="1"/>
    <col min="2" max="2" width="33.84375" bestFit="1" customWidth="1"/>
    <col min="3" max="3" width="10.3828125" bestFit="1" customWidth="1"/>
    <col min="4" max="4" width="23.3828125" bestFit="1" customWidth="1"/>
    <col min="5" max="5" width="15.53515625" bestFit="1" customWidth="1"/>
    <col min="6" max="8" width="10.15234375" bestFit="1" customWidth="1"/>
    <col min="9" max="9" width="70" bestFit="1" customWidth="1"/>
  </cols>
  <sheetData>
    <row r="1" spans="1:9" x14ac:dyDescent="0.4">
      <c r="E1" s="1">
        <v>16584.98</v>
      </c>
      <c r="F1" t="s">
        <v>304</v>
      </c>
      <c r="G1" t="s">
        <v>305</v>
      </c>
      <c r="H1" t="s">
        <v>306</v>
      </c>
      <c r="I1" t="s">
        <v>307</v>
      </c>
    </row>
    <row r="2" spans="1:9" x14ac:dyDescent="0.4">
      <c r="E2" s="1">
        <v>80933.290000000008</v>
      </c>
      <c r="F2" s="1">
        <v>7584.98</v>
      </c>
      <c r="G2" s="1">
        <v>9000</v>
      </c>
      <c r="H2" s="1">
        <v>10115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1">
        <v>43133.29</v>
      </c>
      <c r="G3" s="1">
        <v>37800</v>
      </c>
      <c r="H3" s="1">
        <v>5574</v>
      </c>
    </row>
    <row r="4" spans="1:9" x14ac:dyDescent="0.4">
      <c r="A4" s="10" t="s">
        <v>1087</v>
      </c>
      <c r="E4" s="1"/>
      <c r="F4" s="1"/>
      <c r="G4" s="1"/>
      <c r="H4" s="1"/>
    </row>
    <row r="5" spans="1:9" x14ac:dyDescent="0.4">
      <c r="A5" s="10" t="s">
        <v>5</v>
      </c>
      <c r="E5" s="1"/>
      <c r="F5" s="1"/>
      <c r="G5" s="1"/>
      <c r="H5" s="1"/>
    </row>
    <row r="6" spans="1:9" x14ac:dyDescent="0.4">
      <c r="A6" s="11" t="s">
        <v>314</v>
      </c>
      <c r="B6" s="10" t="s">
        <v>1108</v>
      </c>
      <c r="C6" s="10" t="s">
        <v>1109</v>
      </c>
      <c r="D6" s="10" t="s">
        <v>773</v>
      </c>
      <c r="E6" s="1">
        <v>8148.98</v>
      </c>
      <c r="F6" s="1">
        <v>8148.98</v>
      </c>
      <c r="G6" s="1"/>
      <c r="H6" s="1"/>
      <c r="I6" t="s">
        <v>1110</v>
      </c>
    </row>
    <row r="7" spans="1:9" x14ac:dyDescent="0.4">
      <c r="A7" s="11" t="s">
        <v>861</v>
      </c>
      <c r="B7" s="10" t="s">
        <v>1088</v>
      </c>
      <c r="C7" s="10" t="s">
        <v>1089</v>
      </c>
      <c r="D7" s="10" t="s">
        <v>776</v>
      </c>
      <c r="E7" s="1">
        <v>115</v>
      </c>
      <c r="F7" s="1"/>
      <c r="G7" s="1"/>
      <c r="H7" s="1">
        <v>115</v>
      </c>
      <c r="I7" s="25" t="s">
        <v>1111</v>
      </c>
    </row>
    <row r="8" spans="1:9" x14ac:dyDescent="0.4">
      <c r="B8" s="10" t="s">
        <v>1112</v>
      </c>
      <c r="C8" s="10" t="s">
        <v>1109</v>
      </c>
      <c r="D8" s="10" t="s">
        <v>776</v>
      </c>
      <c r="E8" s="1">
        <v>115</v>
      </c>
      <c r="F8" s="1"/>
      <c r="G8" s="1"/>
      <c r="H8" s="1"/>
      <c r="I8" s="25" t="s">
        <v>1113</v>
      </c>
    </row>
    <row r="9" spans="1:9" x14ac:dyDescent="0.4">
      <c r="A9" s="11" t="s">
        <v>635</v>
      </c>
      <c r="B9" s="10" t="s">
        <v>1114</v>
      </c>
      <c r="C9" s="10" t="s">
        <v>809</v>
      </c>
      <c r="D9" s="10" t="s">
        <v>773</v>
      </c>
      <c r="E9" s="1">
        <v>200</v>
      </c>
      <c r="F9" s="1">
        <v>200</v>
      </c>
      <c r="G9" s="1"/>
      <c r="H9" s="1"/>
    </row>
    <row r="10" spans="1:9" x14ac:dyDescent="0.4">
      <c r="A10" s="11" t="s">
        <v>814</v>
      </c>
      <c r="B10" s="10" t="s">
        <v>714</v>
      </c>
      <c r="C10" s="10" t="s">
        <v>359</v>
      </c>
      <c r="D10" s="10" t="s">
        <v>773</v>
      </c>
      <c r="E10" s="1">
        <v>567</v>
      </c>
      <c r="F10" s="1">
        <v>3836</v>
      </c>
      <c r="G10" s="1"/>
      <c r="H10" s="1"/>
      <c r="I10" t="s">
        <v>1115</v>
      </c>
    </row>
    <row r="11" spans="1:9" x14ac:dyDescent="0.4">
      <c r="A11" s="11" t="s">
        <v>663</v>
      </c>
      <c r="B11" s="10" t="s">
        <v>1116</v>
      </c>
      <c r="C11" s="10" t="s">
        <v>359</v>
      </c>
      <c r="D11" s="10" t="s">
        <v>773</v>
      </c>
      <c r="E11" s="1">
        <v>9000</v>
      </c>
      <c r="F11" s="1"/>
      <c r="G11" s="1">
        <v>9000</v>
      </c>
      <c r="H11" s="1"/>
      <c r="I11" t="s">
        <v>1117</v>
      </c>
    </row>
    <row r="12" spans="1:9" x14ac:dyDescent="0.4">
      <c r="A12" s="10" t="s">
        <v>6</v>
      </c>
      <c r="E12" s="1"/>
      <c r="F12" s="1">
        <v>-4900</v>
      </c>
      <c r="G12" s="1"/>
      <c r="H12" s="1"/>
      <c r="I12" t="s">
        <v>810</v>
      </c>
    </row>
    <row r="13" spans="1:9" x14ac:dyDescent="0.4">
      <c r="A13" s="11" t="s">
        <v>314</v>
      </c>
      <c r="B13" s="10" t="s">
        <v>1091</v>
      </c>
      <c r="C13" s="10" t="s">
        <v>415</v>
      </c>
      <c r="D13" s="10" t="s">
        <v>773</v>
      </c>
      <c r="E13" s="1">
        <v>10000</v>
      </c>
      <c r="F13" s="1"/>
      <c r="G13" s="1"/>
      <c r="H13" s="1">
        <v>10000</v>
      </c>
      <c r="I13" s="25" t="s">
        <v>1118</v>
      </c>
    </row>
    <row r="14" spans="1:9" x14ac:dyDescent="0.4">
      <c r="A14" s="11" t="s">
        <v>384</v>
      </c>
      <c r="B14" s="10" t="s">
        <v>860</v>
      </c>
      <c r="C14" s="10" t="s">
        <v>822</v>
      </c>
      <c r="D14" s="10" t="s">
        <v>773</v>
      </c>
      <c r="E14" s="1">
        <v>300</v>
      </c>
      <c r="F14" s="1">
        <v>300</v>
      </c>
      <c r="G14" s="1"/>
      <c r="H14" s="1"/>
    </row>
    <row r="15" spans="1:9" x14ac:dyDescent="0.4">
      <c r="A15" s="11" t="s">
        <v>861</v>
      </c>
      <c r="B15" s="10" t="s">
        <v>862</v>
      </c>
      <c r="C15" s="10" t="s">
        <v>863</v>
      </c>
      <c r="D15" s="10" t="s">
        <v>773</v>
      </c>
      <c r="E15" s="1">
        <v>0</v>
      </c>
      <c r="F15" s="1"/>
      <c r="G15" s="1"/>
      <c r="H15" s="1"/>
      <c r="I15" t="s">
        <v>1119</v>
      </c>
    </row>
    <row r="16" spans="1:9" x14ac:dyDescent="0.4">
      <c r="A16" s="11" t="s">
        <v>411</v>
      </c>
      <c r="B16" s="10" t="s">
        <v>412</v>
      </c>
      <c r="C16" s="10" t="s">
        <v>415</v>
      </c>
      <c r="D16" s="10" t="s">
        <v>768</v>
      </c>
      <c r="E16" s="1">
        <v>1879</v>
      </c>
      <c r="F16" s="1">
        <v>1879</v>
      </c>
      <c r="G16" s="1"/>
      <c r="H16" s="1"/>
    </row>
    <row r="17" spans="1:9" x14ac:dyDescent="0.4">
      <c r="A17" s="11" t="s">
        <v>426</v>
      </c>
      <c r="B17" s="10" t="s">
        <v>865</v>
      </c>
      <c r="C17" s="10" t="s">
        <v>647</v>
      </c>
      <c r="D17" s="10" t="s">
        <v>776</v>
      </c>
      <c r="E17" s="1">
        <v>53430</v>
      </c>
      <c r="F17" s="1"/>
      <c r="G17" s="1">
        <v>25000</v>
      </c>
      <c r="H17" s="1"/>
    </row>
    <row r="18" spans="1:9" x14ac:dyDescent="0.4">
      <c r="B18" s="10" t="s">
        <v>867</v>
      </c>
      <c r="C18" s="10" t="s">
        <v>415</v>
      </c>
      <c r="D18" s="10" t="s">
        <v>780</v>
      </c>
      <c r="E18" s="1">
        <v>2010</v>
      </c>
      <c r="F18" s="1">
        <v>2010</v>
      </c>
      <c r="G18" s="1"/>
      <c r="H18" s="1"/>
    </row>
    <row r="19" spans="1:9" x14ac:dyDescent="0.4">
      <c r="B19" s="10" t="s">
        <v>868</v>
      </c>
      <c r="C19" s="10" t="s">
        <v>415</v>
      </c>
      <c r="D19" s="10" t="s">
        <v>780</v>
      </c>
      <c r="E19" s="1">
        <v>2010</v>
      </c>
      <c r="F19" s="1"/>
      <c r="G19" s="1"/>
      <c r="H19" s="1">
        <v>2010</v>
      </c>
      <c r="I19" s="25" t="s">
        <v>1120</v>
      </c>
    </row>
    <row r="20" spans="1:9" x14ac:dyDescent="0.4">
      <c r="A20" s="11" t="s">
        <v>438</v>
      </c>
      <c r="B20" s="10" t="s">
        <v>439</v>
      </c>
      <c r="C20" s="10" t="s">
        <v>415</v>
      </c>
      <c r="D20" s="10" t="s">
        <v>773</v>
      </c>
      <c r="E20" s="1">
        <v>2800</v>
      </c>
      <c r="F20" s="1"/>
      <c r="G20" s="1">
        <v>2800</v>
      </c>
      <c r="H20" s="1"/>
      <c r="I20" s="24" t="s">
        <v>1121</v>
      </c>
    </row>
    <row r="21" spans="1:9" x14ac:dyDescent="0.4">
      <c r="A21" s="11" t="s">
        <v>251</v>
      </c>
      <c r="B21" s="10" t="s">
        <v>870</v>
      </c>
      <c r="C21" s="10" t="s">
        <v>415</v>
      </c>
      <c r="D21" s="10" t="s">
        <v>773</v>
      </c>
      <c r="E21" s="1">
        <v>0</v>
      </c>
      <c r="F21" s="1"/>
      <c r="G21" s="34">
        <v>10000</v>
      </c>
      <c r="H21" s="1"/>
      <c r="I21" s="24" t="s">
        <v>1122</v>
      </c>
    </row>
    <row r="22" spans="1:9" x14ac:dyDescent="0.4">
      <c r="A22" s="11" t="s">
        <v>568</v>
      </c>
      <c r="B22" s="10" t="s">
        <v>872</v>
      </c>
      <c r="C22" s="10" t="s">
        <v>415</v>
      </c>
      <c r="D22" s="10" t="s">
        <v>776</v>
      </c>
      <c r="E22" s="1">
        <v>265.79000000000002</v>
      </c>
      <c r="F22" s="1">
        <v>265.79000000000002</v>
      </c>
      <c r="G22" s="1"/>
      <c r="H22" s="1"/>
    </row>
    <row r="23" spans="1:9" x14ac:dyDescent="0.4">
      <c r="A23" s="11" t="s">
        <v>798</v>
      </c>
      <c r="B23" s="10" t="s">
        <v>853</v>
      </c>
      <c r="C23" s="10" t="s">
        <v>415</v>
      </c>
      <c r="D23" s="10" t="s">
        <v>780</v>
      </c>
      <c r="E23" s="1">
        <v>6000</v>
      </c>
      <c r="F23" s="1">
        <v>6000</v>
      </c>
      <c r="G23" s="1"/>
      <c r="H23" s="1"/>
    </row>
    <row r="24" spans="1:9" x14ac:dyDescent="0.4">
      <c r="A24" s="11" t="s">
        <v>802</v>
      </c>
      <c r="B24" s="10" t="s">
        <v>874</v>
      </c>
      <c r="C24" s="10" t="s">
        <v>415</v>
      </c>
      <c r="D24" s="10" t="s">
        <v>780</v>
      </c>
      <c r="E24" s="1">
        <v>3564</v>
      </c>
      <c r="F24" s="1"/>
      <c r="G24" s="1"/>
      <c r="H24" s="1">
        <v>3564</v>
      </c>
      <c r="I24" s="25" t="s">
        <v>1123</v>
      </c>
    </row>
    <row r="25" spans="1:9" x14ac:dyDescent="0.4">
      <c r="A25" s="11" t="s">
        <v>635</v>
      </c>
      <c r="B25" s="10" t="s">
        <v>857</v>
      </c>
      <c r="C25" s="10" t="s">
        <v>415</v>
      </c>
      <c r="D25" s="10" t="s">
        <v>780</v>
      </c>
      <c r="E25" s="1">
        <v>2411.5</v>
      </c>
      <c r="F25" s="1">
        <v>2411.5</v>
      </c>
      <c r="G25" s="1"/>
      <c r="H25" s="1"/>
      <c r="I25" t="s">
        <v>1124</v>
      </c>
    </row>
    <row r="26" spans="1:9" x14ac:dyDescent="0.4">
      <c r="A26" s="11" t="s">
        <v>814</v>
      </c>
      <c r="B26" s="10" t="s">
        <v>1125</v>
      </c>
      <c r="C26" s="10" t="s">
        <v>415</v>
      </c>
      <c r="D26" s="10" t="s">
        <v>806</v>
      </c>
      <c r="E26" s="1">
        <v>3605.2</v>
      </c>
      <c r="F26" s="1">
        <v>567</v>
      </c>
      <c r="G26" s="1"/>
      <c r="H26" s="1"/>
    </row>
    <row r="27" spans="1:9" x14ac:dyDescent="0.4">
      <c r="A27" s="11" t="s">
        <v>663</v>
      </c>
      <c r="B27" s="10" t="s">
        <v>858</v>
      </c>
      <c r="C27" s="10" t="s">
        <v>415</v>
      </c>
      <c r="D27" s="10" t="s">
        <v>773</v>
      </c>
      <c r="E27" s="1">
        <v>50000</v>
      </c>
      <c r="F27" s="1">
        <v>30000</v>
      </c>
      <c r="G27" s="1"/>
      <c r="H27" s="1"/>
    </row>
    <row r="28" spans="1:9" x14ac:dyDescent="0.4">
      <c r="B28" s="10" t="s">
        <v>876</v>
      </c>
      <c r="C28" s="10" t="s">
        <v>415</v>
      </c>
      <c r="D28" s="10" t="s">
        <v>773</v>
      </c>
      <c r="E28" s="1">
        <v>1000</v>
      </c>
    </row>
    <row r="29" spans="1:9" x14ac:dyDescent="0.4">
      <c r="A29" s="10" t="s">
        <v>7</v>
      </c>
      <c r="E29" s="1">
        <v>23958.85</v>
      </c>
    </row>
    <row r="30" spans="1:9" x14ac:dyDescent="0.4">
      <c r="A30" s="10" t="s">
        <v>8</v>
      </c>
      <c r="E30" s="1">
        <v>539</v>
      </c>
    </row>
    <row r="31" spans="1:9" x14ac:dyDescent="0.4">
      <c r="A31" s="10" t="s">
        <v>369</v>
      </c>
      <c r="E31" s="1">
        <v>3408</v>
      </c>
    </row>
    <row r="32" spans="1:9" x14ac:dyDescent="0.4">
      <c r="A32" s="10" t="s">
        <v>10</v>
      </c>
      <c r="E32" s="1">
        <v>649</v>
      </c>
    </row>
    <row r="33" spans="1:5" x14ac:dyDescent="0.4">
      <c r="A33" s="10" t="s">
        <v>11</v>
      </c>
      <c r="E33" s="1">
        <v>1346</v>
      </c>
    </row>
    <row r="34" spans="1:5" x14ac:dyDescent="0.4">
      <c r="A34" s="10" t="s">
        <v>12</v>
      </c>
      <c r="E34" s="1">
        <v>342078.37</v>
      </c>
    </row>
    <row r="35" spans="1:5" x14ac:dyDescent="0.4">
      <c r="A35" s="10" t="s">
        <v>766</v>
      </c>
      <c r="E35" s="1">
        <v>529400.68999999994</v>
      </c>
    </row>
    <row r="36" spans="1:5" x14ac:dyDescent="0.4">
      <c r="E36" s="1"/>
    </row>
    <row r="37" spans="1:5" x14ac:dyDescent="0.4">
      <c r="E37" s="1"/>
    </row>
    <row r="38" spans="1:5" x14ac:dyDescent="0.4">
      <c r="E38" s="1"/>
    </row>
    <row r="39" spans="1:5" x14ac:dyDescent="0.4">
      <c r="E39" s="1"/>
    </row>
    <row r="40" spans="1:5" x14ac:dyDescent="0.4">
      <c r="E40" s="1"/>
    </row>
    <row r="41" spans="1:5" x14ac:dyDescent="0.4">
      <c r="E41" s="1"/>
    </row>
    <row r="42" spans="1:5" x14ac:dyDescent="0.4">
      <c r="E42" s="1"/>
    </row>
    <row r="43" spans="1:5" x14ac:dyDescent="0.4">
      <c r="E43" s="1"/>
    </row>
    <row r="44" spans="1:5" x14ac:dyDescent="0.4">
      <c r="E44" s="1"/>
    </row>
    <row r="45" spans="1:5" x14ac:dyDescent="0.4">
      <c r="E45" s="1"/>
    </row>
    <row r="46" spans="1:5" x14ac:dyDescent="0.4">
      <c r="E46" s="1"/>
    </row>
    <row r="47" spans="1:5" x14ac:dyDescent="0.4">
      <c r="E47" s="1"/>
    </row>
    <row r="48" spans="1:5" x14ac:dyDescent="0.4">
      <c r="E48" s="1"/>
    </row>
    <row r="49" spans="5:5" x14ac:dyDescent="0.4">
      <c r="E49" s="1"/>
    </row>
    <row r="50" spans="5:5" x14ac:dyDescent="0.4">
      <c r="E50" s="1"/>
    </row>
    <row r="51" spans="5:5" x14ac:dyDescent="0.4">
      <c r="E51" s="1"/>
    </row>
    <row r="52" spans="5:5" x14ac:dyDescent="0.4">
      <c r="E52" s="1"/>
    </row>
    <row r="53" spans="5:5" x14ac:dyDescent="0.4">
      <c r="E53" s="1"/>
    </row>
    <row r="54" spans="5:5" x14ac:dyDescent="0.4">
      <c r="E54" s="1"/>
    </row>
    <row r="55" spans="5:5" x14ac:dyDescent="0.4">
      <c r="E55" s="1"/>
    </row>
    <row r="56" spans="5:5" x14ac:dyDescent="0.4">
      <c r="E56" s="1"/>
    </row>
    <row r="57" spans="5:5" x14ac:dyDescent="0.4">
      <c r="E57" s="1"/>
    </row>
    <row r="58" spans="5:5" x14ac:dyDescent="0.4">
      <c r="E58" s="1"/>
    </row>
    <row r="59" spans="5:5" x14ac:dyDescent="0.4">
      <c r="E59" s="1"/>
    </row>
    <row r="60" spans="5:5" x14ac:dyDescent="0.4">
      <c r="E60" s="1"/>
    </row>
    <row r="61" spans="5:5" x14ac:dyDescent="0.4">
      <c r="E61" s="1"/>
    </row>
    <row r="62" spans="5:5" x14ac:dyDescent="0.4">
      <c r="E62" s="1"/>
    </row>
    <row r="63" spans="5:5" x14ac:dyDescent="0.4">
      <c r="E63" s="1"/>
    </row>
    <row r="64" spans="5:5" x14ac:dyDescent="0.4">
      <c r="E64" s="1"/>
    </row>
    <row r="65" spans="5:5" x14ac:dyDescent="0.4">
      <c r="E65" s="1"/>
    </row>
    <row r="66" spans="5:5" x14ac:dyDescent="0.4">
      <c r="E66" s="1"/>
    </row>
    <row r="67" spans="5:5" x14ac:dyDescent="0.4">
      <c r="E67" s="1"/>
    </row>
    <row r="68" spans="5:5" x14ac:dyDescent="0.4">
      <c r="E68" s="1"/>
    </row>
    <row r="69" spans="5:5" x14ac:dyDescent="0.4">
      <c r="E69" s="1"/>
    </row>
    <row r="70" spans="5:5" x14ac:dyDescent="0.4">
      <c r="E70" s="1"/>
    </row>
    <row r="71" spans="5:5" x14ac:dyDescent="0.4">
      <c r="E71" s="1"/>
    </row>
    <row r="72" spans="5:5" x14ac:dyDescent="0.4">
      <c r="E72" s="1"/>
    </row>
    <row r="73" spans="5:5" x14ac:dyDescent="0.4">
      <c r="E73" s="1"/>
    </row>
    <row r="74" spans="5:5" x14ac:dyDescent="0.4">
      <c r="E74" s="1"/>
    </row>
    <row r="75" spans="5:5" x14ac:dyDescent="0.4">
      <c r="E75" s="1"/>
    </row>
    <row r="76" spans="5:5" x14ac:dyDescent="0.4">
      <c r="E76" s="1"/>
    </row>
    <row r="77" spans="5:5" x14ac:dyDescent="0.4">
      <c r="E77" s="1"/>
    </row>
    <row r="78" spans="5:5" x14ac:dyDescent="0.4">
      <c r="E78" s="1"/>
    </row>
    <row r="79" spans="5:5" x14ac:dyDescent="0.4">
      <c r="E79" s="1"/>
    </row>
    <row r="80" spans="5:5" x14ac:dyDescent="0.4">
      <c r="E80" s="1"/>
    </row>
    <row r="81" spans="5:5" x14ac:dyDescent="0.4">
      <c r="E81" s="1"/>
    </row>
    <row r="82" spans="5:5" x14ac:dyDescent="0.4">
      <c r="E82" s="1"/>
    </row>
    <row r="83" spans="5:5" x14ac:dyDescent="0.4">
      <c r="E83" s="1"/>
    </row>
    <row r="84" spans="5:5" x14ac:dyDescent="0.4">
      <c r="E84" s="1"/>
    </row>
    <row r="85" spans="5:5" x14ac:dyDescent="0.4">
      <c r="E85" s="1"/>
    </row>
    <row r="86" spans="5:5" x14ac:dyDescent="0.4">
      <c r="E86" s="1"/>
    </row>
    <row r="87" spans="5:5" x14ac:dyDescent="0.4">
      <c r="E87" s="1"/>
    </row>
    <row r="88" spans="5:5" x14ac:dyDescent="0.4">
      <c r="E88" s="1"/>
    </row>
    <row r="89" spans="5:5" x14ac:dyDescent="0.4">
      <c r="E89" s="1"/>
    </row>
    <row r="90" spans="5:5" x14ac:dyDescent="0.4">
      <c r="E90" s="1"/>
    </row>
    <row r="91" spans="5:5" x14ac:dyDescent="0.4">
      <c r="E91" s="1"/>
    </row>
    <row r="92" spans="5:5" x14ac:dyDescent="0.4">
      <c r="E92" s="1"/>
    </row>
    <row r="93" spans="5:5" x14ac:dyDescent="0.4">
      <c r="E93" s="1"/>
    </row>
    <row r="94" spans="5:5" x14ac:dyDescent="0.4">
      <c r="E94" s="1"/>
    </row>
    <row r="95" spans="5:5" x14ac:dyDescent="0.4">
      <c r="E95" s="1"/>
    </row>
    <row r="96" spans="5:5" x14ac:dyDescent="0.4">
      <c r="E96" s="1"/>
    </row>
    <row r="97" spans="5:5" x14ac:dyDescent="0.4">
      <c r="E97" s="1"/>
    </row>
    <row r="98" spans="5:5" x14ac:dyDescent="0.4">
      <c r="E98" s="1"/>
    </row>
    <row r="99" spans="5:5" x14ac:dyDescent="0.4">
      <c r="E99" s="1"/>
    </row>
    <row r="100" spans="5:5" x14ac:dyDescent="0.4">
      <c r="E100" s="1"/>
    </row>
    <row r="101" spans="5:5" x14ac:dyDescent="0.4">
      <c r="E101" s="1"/>
    </row>
    <row r="102" spans="5:5" x14ac:dyDescent="0.4">
      <c r="E102" s="1"/>
    </row>
    <row r="103" spans="5:5" x14ac:dyDescent="0.4">
      <c r="E103" s="1"/>
    </row>
    <row r="104" spans="5:5" x14ac:dyDescent="0.4">
      <c r="E104" s="1"/>
    </row>
    <row r="105" spans="5:5" x14ac:dyDescent="0.4">
      <c r="E10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353"/>
  <sheetViews>
    <sheetView workbookViewId="0">
      <selection activeCell="C9" sqref="C9"/>
    </sheetView>
  </sheetViews>
  <sheetFormatPr defaultRowHeight="14.6" x14ac:dyDescent="0.4"/>
  <cols>
    <col min="1" max="1" width="47.53515625" bestFit="1" customWidth="1"/>
    <col min="2" max="2" width="58.53515625" bestFit="1" customWidth="1"/>
    <col min="3" max="3" width="31.53515625" bestFit="1" customWidth="1"/>
    <col min="4" max="4" width="13.3828125" bestFit="1" customWidth="1"/>
    <col min="5" max="5" width="15.53515625" style="1" bestFit="1" customWidth="1"/>
    <col min="6" max="7" width="10.15234375" style="1" bestFit="1" customWidth="1"/>
    <col min="8" max="8" width="11.15234375" style="1" bestFit="1" customWidth="1"/>
    <col min="9" max="9" width="51" customWidth="1"/>
  </cols>
  <sheetData>
    <row r="1" spans="1:9" x14ac:dyDescent="0.4">
      <c r="A1" s="4"/>
      <c r="B1" s="4"/>
      <c r="C1" s="4"/>
      <c r="D1" s="4"/>
      <c r="E1" s="18"/>
      <c r="F1" s="32" t="s">
        <v>304</v>
      </c>
      <c r="G1" s="32" t="s">
        <v>305</v>
      </c>
      <c r="H1" s="32" t="s">
        <v>306</v>
      </c>
      <c r="I1" s="30" t="s">
        <v>307</v>
      </c>
    </row>
    <row r="2" spans="1:9" x14ac:dyDescent="0.4">
      <c r="A2" s="4"/>
      <c r="B2" s="4"/>
      <c r="C2" s="4"/>
      <c r="D2" s="4"/>
      <c r="E2" s="32" t="e">
        <f>SUM(F2:G2)</f>
        <v>#REF!</v>
      </c>
      <c r="F2" s="32" t="e">
        <f>SUM(F6:F14)</f>
        <v>#REF!</v>
      </c>
      <c r="G2" s="32">
        <f t="shared" ref="G2:H2" si="0">SUM(G6:G14)</f>
        <v>0</v>
      </c>
      <c r="H2" s="32" t="e">
        <f t="shared" si="0"/>
        <v>#REF!</v>
      </c>
      <c r="I2" s="4"/>
    </row>
    <row r="3" spans="1:9" x14ac:dyDescent="0.4">
      <c r="A3" s="9" t="s">
        <v>308</v>
      </c>
      <c r="B3" s="33" t="s">
        <v>309</v>
      </c>
      <c r="C3" s="33" t="s">
        <v>311</v>
      </c>
      <c r="D3" s="33" t="s">
        <v>310</v>
      </c>
      <c r="E3" s="18" t="s">
        <v>313</v>
      </c>
      <c r="F3" s="18"/>
      <c r="G3" s="18"/>
      <c r="H3" s="18"/>
      <c r="I3" s="4"/>
    </row>
    <row r="4" spans="1:9" x14ac:dyDescent="0.4">
      <c r="A4" s="10" t="s">
        <v>314</v>
      </c>
      <c r="B4" s="10" t="s">
        <v>315</v>
      </c>
      <c r="C4" s="10" t="s">
        <v>318</v>
      </c>
      <c r="D4" s="10" t="s">
        <v>316</v>
      </c>
      <c r="E4" s="1">
        <v>22000</v>
      </c>
      <c r="F4" s="18"/>
      <c r="G4" s="18"/>
      <c r="H4" s="18"/>
      <c r="I4" s="4"/>
    </row>
    <row r="5" spans="1:9" x14ac:dyDescent="0.4">
      <c r="D5" s="11" t="s">
        <v>8</v>
      </c>
      <c r="E5" s="1">
        <v>22000</v>
      </c>
      <c r="F5" s="18"/>
      <c r="G5" s="18"/>
      <c r="H5" s="18"/>
      <c r="I5" s="4"/>
    </row>
    <row r="6" spans="1:9" x14ac:dyDescent="0.4">
      <c r="D6" s="39" t="s">
        <v>317</v>
      </c>
      <c r="E6" s="1">
        <v>22000</v>
      </c>
      <c r="F6" s="18" t="e">
        <f>GETPIVOTDATA("Revenue",$A$3,"Close Date",139,"Company","Autism Response Team (ART)","Opportunity Summary","POTS refurbished laptops (3)","Stage","New Opportunity","Months",5)</f>
        <v>#REF!</v>
      </c>
      <c r="G6" s="18"/>
      <c r="H6" s="18"/>
      <c r="I6" s="26" t="s">
        <v>847</v>
      </c>
    </row>
    <row r="7" spans="1:9" x14ac:dyDescent="0.4">
      <c r="B7" s="10" t="s">
        <v>320</v>
      </c>
      <c r="C7" s="10" t="s">
        <v>322</v>
      </c>
      <c r="D7" s="10" t="s">
        <v>316</v>
      </c>
      <c r="E7" s="1">
        <v>2000</v>
      </c>
      <c r="F7" s="18"/>
      <c r="G7" s="18"/>
      <c r="H7" s="18" t="e">
        <f>GETPIVOTDATA("Revenue",$A$3,"Close Date",152,"Company","Hod Dunbar","Opportunity Summary","POTS WiFI","Stage","New Opportunity","Months",5)</f>
        <v>#REF!</v>
      </c>
      <c r="I7" s="21" t="s">
        <v>842</v>
      </c>
    </row>
    <row r="8" spans="1:9" x14ac:dyDescent="0.4">
      <c r="D8" s="11" t="s">
        <v>2</v>
      </c>
      <c r="E8" s="1">
        <v>400</v>
      </c>
      <c r="F8" s="18"/>
      <c r="G8" s="18"/>
      <c r="H8" s="18" t="e">
        <f>GETPIVOTDATA("Revenue",$A$3,"Close Date",152,"Company","House of Ruth","Opportunity Summary","POTS replace all computers HDD","Stage","Awaiting Client Approval","Months",5)</f>
        <v>#REF!</v>
      </c>
      <c r="I8" s="21" t="s">
        <v>850</v>
      </c>
    </row>
    <row r="9" spans="1:9" x14ac:dyDescent="0.4">
      <c r="D9" s="39" t="s">
        <v>321</v>
      </c>
      <c r="E9" s="1">
        <v>400</v>
      </c>
      <c r="F9" s="18"/>
      <c r="G9" s="18"/>
      <c r="H9" s="18" t="e">
        <f>GETPIVOTDATA("Revenue",$A$3,"Close Date",152,"Company","House of Ruth","Opportunity Summary","POTS replace all computers SSD","Stage","Awaiting Client Approval","Months",5)</f>
        <v>#REF!</v>
      </c>
      <c r="I9" s="4" t="s">
        <v>852</v>
      </c>
    </row>
    <row r="10" spans="1:9" x14ac:dyDescent="0.4">
      <c r="D10" s="11" t="s">
        <v>3</v>
      </c>
      <c r="E10" s="1">
        <v>1600</v>
      </c>
      <c r="F10" s="18"/>
      <c r="G10" s="18"/>
      <c r="H10" s="18" t="e">
        <f>GETPIVOTDATA("Revenue",$A$3,"Close Date",152,"Company","Ojai Oil Company","Opportunity Summary","POTS AWS - test server","Stage","Awaiting Client Approval","Months",5)</f>
        <v>#REF!</v>
      </c>
      <c r="I10" s="26" t="s">
        <v>854</v>
      </c>
    </row>
    <row r="11" spans="1:9" x14ac:dyDescent="0.4">
      <c r="D11" s="39" t="s">
        <v>324</v>
      </c>
      <c r="E11" s="1">
        <v>1600</v>
      </c>
      <c r="F11" s="18" t="e">
        <f>GETPIVOTDATA("Revenue",$A$3,"Close Date",139,"Company","Project Sister Family Services","Opportunity Summary","POTS monitors (3)","Stage","New Opportunity","Months",5)</f>
        <v>#REF!</v>
      </c>
      <c r="G11" s="18"/>
      <c r="H11" s="18"/>
      <c r="I11" s="21" t="s">
        <v>856</v>
      </c>
    </row>
    <row r="12" spans="1:9" x14ac:dyDescent="0.4">
      <c r="B12" s="10" t="s">
        <v>326</v>
      </c>
      <c r="C12" s="10" t="s">
        <v>329</v>
      </c>
      <c r="D12" s="10" t="s">
        <v>316</v>
      </c>
      <c r="E12" s="1">
        <v>0</v>
      </c>
      <c r="F12" s="18"/>
      <c r="G12" s="18"/>
      <c r="H12" s="18" t="e">
        <f>GETPIVOTDATA("Revenue",$A$3,"Close Date",152,"Company","Turning Point Foundation","Opportunity Summary","POTS AWS MS","Stage","Awaiting Client Approval","Months",5)</f>
        <v>#REF!</v>
      </c>
      <c r="I12" s="26" t="s">
        <v>841</v>
      </c>
    </row>
    <row r="13" spans="1:9" x14ac:dyDescent="0.4">
      <c r="D13" s="11" t="s">
        <v>2</v>
      </c>
      <c r="E13" s="1">
        <v>0</v>
      </c>
      <c r="F13" s="18"/>
      <c r="G13" s="18"/>
      <c r="H13" s="18" t="e">
        <f>GETPIVOTDATA("Revenue",$A$3,"Close Date",152,"Company","Ventura Harley","Opportunity Summary","POTS MS","Stage","New Opportunity","Months",5)</f>
        <v>#REF!</v>
      </c>
      <c r="I13" s="26" t="s">
        <v>841</v>
      </c>
    </row>
    <row r="14" spans="1:9" x14ac:dyDescent="0.4">
      <c r="D14" s="39" t="s">
        <v>328</v>
      </c>
      <c r="E14" s="1">
        <v>0</v>
      </c>
      <c r="F14" s="18"/>
      <c r="G14" s="18"/>
      <c r="H14" s="18" t="e">
        <f>GETPIVOTDATA("Revenue",$A$3,"Close Date",152,"Company","ZNS","Opportunity Summary","POTS o365","Stage","New Opportunity","Months",5)</f>
        <v>#REF!</v>
      </c>
      <c r="I14" s="26" t="s">
        <v>859</v>
      </c>
    </row>
    <row r="15" spans="1:9" x14ac:dyDescent="0.4">
      <c r="B15" s="10" t="s">
        <v>331</v>
      </c>
      <c r="C15" s="10" t="s">
        <v>322</v>
      </c>
      <c r="D15" s="10" t="s">
        <v>316</v>
      </c>
      <c r="E15" s="1">
        <v>525</v>
      </c>
      <c r="F15" s="18" t="e">
        <f>SUM(H10:H14)</f>
        <v>#REF!</v>
      </c>
      <c r="G15" s="18"/>
      <c r="H15" s="18"/>
      <c r="I15" s="4"/>
    </row>
    <row r="16" spans="1:9" x14ac:dyDescent="0.4">
      <c r="D16" s="11" t="s">
        <v>2</v>
      </c>
      <c r="E16" s="1">
        <v>525</v>
      </c>
      <c r="F16" s="18" t="e">
        <f>GETPIVOTDATA("Revenue",$A$3,"Close Date",179,"Company","Autism Response Team (ART)","Opportunity Summary","POTS Raise AWS amount they pay","Stage","New Opportunity","Months",6)</f>
        <v>#REF!</v>
      </c>
      <c r="G16" s="18"/>
      <c r="H16" s="18"/>
      <c r="I16" s="4"/>
    </row>
    <row r="17" spans="2:9" x14ac:dyDescent="0.4">
      <c r="D17" s="39" t="s">
        <v>334</v>
      </c>
      <c r="E17" s="1">
        <v>525</v>
      </c>
      <c r="F17" s="18">
        <v>100</v>
      </c>
      <c r="G17" s="18"/>
      <c r="H17" s="18"/>
      <c r="I17" s="26" t="s">
        <v>864</v>
      </c>
    </row>
    <row r="18" spans="2:9" x14ac:dyDescent="0.4">
      <c r="B18" s="10" t="s">
        <v>335</v>
      </c>
      <c r="C18" s="10" t="s">
        <v>322</v>
      </c>
      <c r="D18" s="10" t="s">
        <v>316</v>
      </c>
      <c r="E18" s="1">
        <v>404.57</v>
      </c>
      <c r="F18" s="18"/>
      <c r="G18" s="18" t="e">
        <f>GETPIVOTDATA("Revenue",$A$3,"Close Date",182,"Company","Cool Pak","Opportunity Summary","POTS AWS - MS","Stage","Quoting","Months",6)</f>
        <v>#REF!</v>
      </c>
      <c r="H18" s="18"/>
      <c r="I18" s="4"/>
    </row>
    <row r="19" spans="2:9" x14ac:dyDescent="0.4">
      <c r="D19" s="11" t="s">
        <v>1</v>
      </c>
      <c r="E19" s="1">
        <v>404.57</v>
      </c>
      <c r="F19" s="18"/>
      <c r="G19" s="18">
        <v>25000</v>
      </c>
      <c r="H19" s="18"/>
      <c r="I19" s="4" t="s">
        <v>866</v>
      </c>
    </row>
    <row r="20" spans="2:9" x14ac:dyDescent="0.4">
      <c r="D20" s="39" t="s">
        <v>338</v>
      </c>
      <c r="E20" s="1">
        <v>404.57</v>
      </c>
      <c r="F20" s="18" t="e">
        <f>GETPIVOTDATA("Revenue",$A$3,"Close Date",182,"Company","DITEC Manufacturing","Opportunity Summary","POTS PC Refresh 1 of 6","Stage","Awaiting Client Approval","Months",6)</f>
        <v>#REF!</v>
      </c>
      <c r="G20" s="18"/>
      <c r="H20" s="18"/>
      <c r="I20" s="4"/>
    </row>
    <row r="21" spans="2:9" x14ac:dyDescent="0.4">
      <c r="B21" s="10" t="s">
        <v>340</v>
      </c>
      <c r="C21" s="10" t="s">
        <v>322</v>
      </c>
      <c r="D21" s="10" t="s">
        <v>316</v>
      </c>
      <c r="E21" s="1">
        <v>132.97</v>
      </c>
      <c r="F21" s="18"/>
      <c r="G21" s="18"/>
      <c r="H21" s="18" t="e">
        <f>GETPIVOTDATA("Revenue",$A$3,"Close Date",182,"Company","DITEC Manufacturing","Opportunity Summary","POTS PC Refresh 2 of 6","Stage","Awaiting Client Approval","Months",6)</f>
        <v>#REF!</v>
      </c>
      <c r="I21" s="4"/>
    </row>
    <row r="22" spans="2:9" x14ac:dyDescent="0.4">
      <c r="D22" s="11" t="s">
        <v>3</v>
      </c>
      <c r="E22" s="1">
        <v>132.97</v>
      </c>
      <c r="F22" s="18"/>
      <c r="G22" s="18" t="e">
        <f>GETPIVOTDATA("Revenue",$A$3,"Close Date",182,"Company","Instrument Control Services","Opportunity Summary","POTS VoIP Proposal","Stage","New Opportunity","Months",6)</f>
        <v>#REF!</v>
      </c>
      <c r="H22" s="18"/>
      <c r="I22" s="4" t="s">
        <v>869</v>
      </c>
    </row>
    <row r="23" spans="2:9" x14ac:dyDescent="0.4">
      <c r="D23" s="39" t="s">
        <v>343</v>
      </c>
      <c r="E23" s="1">
        <v>132.97</v>
      </c>
      <c r="F23" s="18"/>
      <c r="G23" s="18"/>
      <c r="H23" s="18"/>
      <c r="I23" s="26" t="s">
        <v>871</v>
      </c>
    </row>
    <row r="24" spans="2:9" x14ac:dyDescent="0.4">
      <c r="B24" s="10" t="s">
        <v>344</v>
      </c>
      <c r="C24" s="10" t="s">
        <v>322</v>
      </c>
      <c r="D24" s="10" t="s">
        <v>316</v>
      </c>
      <c r="E24" s="1">
        <v>5660.9</v>
      </c>
      <c r="F24" s="18" t="e">
        <f>GETPIVOTDATA("Revenue",$A$3,"Close Date",182,"Company","Notes for Notes","Opportunity Summary","POTS iMac Hard Drive","Stage","On Hold","Months",6)</f>
        <v>#REF!</v>
      </c>
      <c r="G24" s="18"/>
      <c r="H24" s="18"/>
      <c r="I24" s="4" t="s">
        <v>873</v>
      </c>
    </row>
    <row r="25" spans="2:9" x14ac:dyDescent="0.4">
      <c r="D25" s="11" t="s">
        <v>3</v>
      </c>
      <c r="E25" s="1">
        <v>5660.9</v>
      </c>
      <c r="F25" s="18"/>
      <c r="G25" s="18" t="e">
        <f>GETPIVOTDATA("Revenue",$A$3,"Close Date",182,"Company","Pilot Automotive","Opportunity Summary","POTS Wi-Fi (Aerohive)","Stage","Awaiting Client Approval","Months",6)</f>
        <v>#REF!</v>
      </c>
      <c r="H25" s="18"/>
      <c r="I25" s="4" t="s">
        <v>875</v>
      </c>
    </row>
    <row r="26" spans="2:9" x14ac:dyDescent="0.4">
      <c r="D26" s="39" t="s">
        <v>324</v>
      </c>
      <c r="E26" s="1">
        <v>5660.9</v>
      </c>
      <c r="F26" s="18" t="e">
        <f>GETPIVOTDATA("Revenue",$A$3,"Close Date",182,"Company","ZNS","Opportunity Summary","POTS Site location setup","Stage","New Opportunity","Months",6)</f>
        <v>#REF!</v>
      </c>
      <c r="G26" s="18"/>
      <c r="H26" s="18"/>
      <c r="I26" s="4" t="s">
        <v>877</v>
      </c>
    </row>
    <row r="27" spans="2:9" x14ac:dyDescent="0.4">
      <c r="B27" s="10" t="s">
        <v>348</v>
      </c>
      <c r="C27" s="10" t="s">
        <v>322</v>
      </c>
      <c r="D27" s="10" t="s">
        <v>316</v>
      </c>
      <c r="E27" s="1">
        <v>1739.66</v>
      </c>
      <c r="F27" s="1">
        <v>10000</v>
      </c>
      <c r="I27" t="s">
        <v>878</v>
      </c>
    </row>
    <row r="28" spans="2:9" x14ac:dyDescent="0.4">
      <c r="D28" s="11" t="s">
        <v>3</v>
      </c>
      <c r="E28" s="1">
        <v>1739.66</v>
      </c>
      <c r="F28" s="1" t="e">
        <f>SUM(F15:F27)</f>
        <v>#REF!</v>
      </c>
    </row>
    <row r="29" spans="2:9" x14ac:dyDescent="0.4">
      <c r="D29" s="39" t="s">
        <v>343</v>
      </c>
      <c r="E29" s="1">
        <v>1739.66</v>
      </c>
    </row>
    <row r="30" spans="2:9" x14ac:dyDescent="0.4">
      <c r="B30" s="10" t="s">
        <v>352</v>
      </c>
      <c r="C30" s="10" t="s">
        <v>322</v>
      </c>
      <c r="D30" s="10" t="s">
        <v>316</v>
      </c>
      <c r="E30" s="1">
        <v>1787.24</v>
      </c>
    </row>
    <row r="31" spans="2:9" x14ac:dyDescent="0.4">
      <c r="D31" s="11" t="s">
        <v>3</v>
      </c>
      <c r="E31" s="1">
        <v>1787.24</v>
      </c>
    </row>
    <row r="32" spans="2:9" x14ac:dyDescent="0.4">
      <c r="D32" s="39" t="s">
        <v>343</v>
      </c>
      <c r="E32" s="1">
        <v>1787.24</v>
      </c>
    </row>
    <row r="33" spans="2:5" x14ac:dyDescent="0.4">
      <c r="B33" s="10" t="s">
        <v>355</v>
      </c>
      <c r="C33" s="10" t="s">
        <v>322</v>
      </c>
      <c r="D33" s="10" t="s">
        <v>316</v>
      </c>
      <c r="E33" s="1">
        <v>2680.86</v>
      </c>
    </row>
    <row r="34" spans="2:5" x14ac:dyDescent="0.4">
      <c r="D34" s="11" t="s">
        <v>3</v>
      </c>
      <c r="E34" s="1">
        <v>2680.86</v>
      </c>
    </row>
    <row r="35" spans="2:5" x14ac:dyDescent="0.4">
      <c r="D35" s="39" t="s">
        <v>343</v>
      </c>
      <c r="E35" s="1">
        <v>2680.86</v>
      </c>
    </row>
    <row r="36" spans="2:5" x14ac:dyDescent="0.4">
      <c r="B36" s="10" t="s">
        <v>357</v>
      </c>
      <c r="C36" s="10" t="s">
        <v>318</v>
      </c>
      <c r="D36" s="10" t="s">
        <v>316</v>
      </c>
      <c r="E36" s="1">
        <v>6643.04</v>
      </c>
    </row>
    <row r="37" spans="2:5" x14ac:dyDescent="0.4">
      <c r="D37" s="11" t="s">
        <v>5</v>
      </c>
      <c r="E37" s="1">
        <v>6643.04</v>
      </c>
    </row>
    <row r="38" spans="2:5" x14ac:dyDescent="0.4">
      <c r="D38" s="39" t="s">
        <v>359</v>
      </c>
      <c r="E38" s="1">
        <v>6643.04</v>
      </c>
    </row>
    <row r="39" spans="2:5" x14ac:dyDescent="0.4">
      <c r="B39" s="10" t="s">
        <v>360</v>
      </c>
      <c r="C39" s="10" t="s">
        <v>361</v>
      </c>
      <c r="D39" s="10" t="s">
        <v>316</v>
      </c>
      <c r="E39" s="1">
        <v>0</v>
      </c>
    </row>
    <row r="40" spans="2:5" x14ac:dyDescent="0.4">
      <c r="D40" s="11" t="s">
        <v>5</v>
      </c>
      <c r="E40" s="1">
        <v>0</v>
      </c>
    </row>
    <row r="41" spans="2:5" x14ac:dyDescent="0.4">
      <c r="D41" s="39" t="s">
        <v>359</v>
      </c>
      <c r="E41" s="1">
        <v>0</v>
      </c>
    </row>
    <row r="42" spans="2:5" x14ac:dyDescent="0.4">
      <c r="B42" s="10" t="s">
        <v>362</v>
      </c>
      <c r="C42" s="10" t="s">
        <v>322</v>
      </c>
      <c r="D42" s="10" t="s">
        <v>316</v>
      </c>
      <c r="E42" s="1">
        <v>321.08</v>
      </c>
    </row>
    <row r="43" spans="2:5" x14ac:dyDescent="0.4">
      <c r="D43" s="11" t="s">
        <v>5</v>
      </c>
      <c r="E43" s="1">
        <v>321.08</v>
      </c>
    </row>
    <row r="44" spans="2:5" x14ac:dyDescent="0.4">
      <c r="D44" s="39" t="s">
        <v>364</v>
      </c>
      <c r="E44" s="1">
        <v>321.08</v>
      </c>
    </row>
    <row r="45" spans="2:5" x14ac:dyDescent="0.4">
      <c r="B45" s="10" t="s">
        <v>365</v>
      </c>
      <c r="C45" s="10" t="s">
        <v>318</v>
      </c>
      <c r="D45" s="10" t="s">
        <v>316</v>
      </c>
      <c r="E45" s="1">
        <v>0</v>
      </c>
    </row>
    <row r="46" spans="2:5" x14ac:dyDescent="0.4">
      <c r="D46" s="11" t="s">
        <v>5</v>
      </c>
      <c r="E46" s="1">
        <v>0</v>
      </c>
    </row>
    <row r="47" spans="2:5" x14ac:dyDescent="0.4">
      <c r="D47" s="39" t="s">
        <v>359</v>
      </c>
      <c r="E47" s="1">
        <v>0</v>
      </c>
    </row>
    <row r="48" spans="2:5" x14ac:dyDescent="0.4">
      <c r="B48" s="10" t="s">
        <v>366</v>
      </c>
      <c r="C48" s="10" t="s">
        <v>318</v>
      </c>
      <c r="D48" s="10" t="s">
        <v>316</v>
      </c>
      <c r="E48" s="1">
        <v>0</v>
      </c>
    </row>
    <row r="49" spans="1:5" x14ac:dyDescent="0.4">
      <c r="D49" s="11" t="s">
        <v>5</v>
      </c>
      <c r="E49" s="1">
        <v>0</v>
      </c>
    </row>
    <row r="50" spans="1:5" x14ac:dyDescent="0.4">
      <c r="D50" s="39" t="s">
        <v>359</v>
      </c>
      <c r="E50" s="1">
        <v>0</v>
      </c>
    </row>
    <row r="51" spans="1:5" x14ac:dyDescent="0.4">
      <c r="A51" s="10" t="s">
        <v>367</v>
      </c>
      <c r="B51" s="10" t="s">
        <v>368</v>
      </c>
      <c r="C51" s="10" t="s">
        <v>318</v>
      </c>
      <c r="D51" s="10" t="s">
        <v>316</v>
      </c>
      <c r="E51" s="1">
        <v>9000</v>
      </c>
    </row>
    <row r="52" spans="1:5" x14ac:dyDescent="0.4">
      <c r="D52" s="11" t="s">
        <v>369</v>
      </c>
      <c r="E52" s="1">
        <v>9000</v>
      </c>
    </row>
    <row r="53" spans="1:5" x14ac:dyDescent="0.4">
      <c r="D53" s="39" t="s">
        <v>370</v>
      </c>
      <c r="E53" s="1">
        <v>9000</v>
      </c>
    </row>
    <row r="54" spans="1:5" x14ac:dyDescent="0.4">
      <c r="B54" s="10" t="s">
        <v>320</v>
      </c>
      <c r="C54" s="10" t="s">
        <v>322</v>
      </c>
      <c r="D54" s="10" t="s">
        <v>316</v>
      </c>
      <c r="E54" s="1">
        <v>539</v>
      </c>
    </row>
    <row r="55" spans="1:5" x14ac:dyDescent="0.4">
      <c r="D55" s="11" t="s">
        <v>4</v>
      </c>
      <c r="E55" s="1">
        <v>539</v>
      </c>
    </row>
    <row r="56" spans="1:5" x14ac:dyDescent="0.4">
      <c r="D56" s="39" t="s">
        <v>371</v>
      </c>
      <c r="E56" s="1">
        <v>539</v>
      </c>
    </row>
    <row r="57" spans="1:5" x14ac:dyDescent="0.4">
      <c r="B57" s="10" t="s">
        <v>372</v>
      </c>
      <c r="C57" s="10" t="s">
        <v>329</v>
      </c>
      <c r="D57" s="10" t="s">
        <v>316</v>
      </c>
      <c r="E57" s="1">
        <v>0</v>
      </c>
    </row>
    <row r="58" spans="1:5" x14ac:dyDescent="0.4">
      <c r="D58" s="11" t="s">
        <v>1</v>
      </c>
      <c r="E58" s="1">
        <v>0</v>
      </c>
    </row>
    <row r="59" spans="1:5" x14ac:dyDescent="0.4">
      <c r="D59" s="39" t="s">
        <v>373</v>
      </c>
      <c r="E59" s="1">
        <v>0</v>
      </c>
    </row>
    <row r="60" spans="1:5" x14ac:dyDescent="0.4">
      <c r="B60" s="10" t="s">
        <v>374</v>
      </c>
      <c r="C60" s="10" t="s">
        <v>318</v>
      </c>
      <c r="D60" s="10" t="s">
        <v>316</v>
      </c>
      <c r="E60" s="1">
        <v>620</v>
      </c>
    </row>
    <row r="61" spans="1:5" x14ac:dyDescent="0.4">
      <c r="D61" s="11" t="s">
        <v>5</v>
      </c>
      <c r="E61" s="1">
        <v>620</v>
      </c>
    </row>
    <row r="62" spans="1:5" x14ac:dyDescent="0.4">
      <c r="D62" s="39" t="s">
        <v>364</v>
      </c>
      <c r="E62" s="1">
        <v>620</v>
      </c>
    </row>
    <row r="63" spans="1:5" x14ac:dyDescent="0.4">
      <c r="A63" s="10" t="s">
        <v>268</v>
      </c>
      <c r="B63" s="10" t="s">
        <v>375</v>
      </c>
      <c r="C63" s="10" t="s">
        <v>322</v>
      </c>
      <c r="D63" s="10" t="s">
        <v>316</v>
      </c>
      <c r="E63" s="1">
        <v>1065.3399999999999</v>
      </c>
    </row>
    <row r="64" spans="1:5" x14ac:dyDescent="0.4">
      <c r="D64" s="11" t="s">
        <v>1</v>
      </c>
      <c r="E64" s="1">
        <v>1065.3399999999999</v>
      </c>
    </row>
    <row r="65" spans="1:5" x14ac:dyDescent="0.4">
      <c r="D65" s="39" t="s">
        <v>376</v>
      </c>
      <c r="E65" s="1">
        <v>1065.3399999999999</v>
      </c>
    </row>
    <row r="66" spans="1:5" x14ac:dyDescent="0.4">
      <c r="B66" s="10" t="s">
        <v>377</v>
      </c>
      <c r="C66" s="10" t="s">
        <v>322</v>
      </c>
      <c r="D66" s="10" t="s">
        <v>316</v>
      </c>
      <c r="E66" s="1">
        <v>249</v>
      </c>
    </row>
    <row r="67" spans="1:5" x14ac:dyDescent="0.4">
      <c r="D67" s="11" t="s">
        <v>1</v>
      </c>
      <c r="E67" s="1">
        <v>249</v>
      </c>
    </row>
    <row r="68" spans="1:5" x14ac:dyDescent="0.4">
      <c r="D68" s="39" t="s">
        <v>378</v>
      </c>
      <c r="E68" s="1">
        <v>249</v>
      </c>
    </row>
    <row r="69" spans="1:5" x14ac:dyDescent="0.4">
      <c r="B69" s="10" t="s">
        <v>379</v>
      </c>
      <c r="C69" s="10" t="s">
        <v>322</v>
      </c>
      <c r="D69" s="10" t="s">
        <v>316</v>
      </c>
      <c r="E69" s="1">
        <v>7376.8</v>
      </c>
    </row>
    <row r="70" spans="1:5" x14ac:dyDescent="0.4">
      <c r="D70" s="11" t="s">
        <v>1</v>
      </c>
      <c r="E70" s="1">
        <v>7376.8</v>
      </c>
    </row>
    <row r="71" spans="1:5" x14ac:dyDescent="0.4">
      <c r="D71" s="39" t="s">
        <v>380</v>
      </c>
      <c r="E71" s="1">
        <v>7376.8</v>
      </c>
    </row>
    <row r="72" spans="1:5" x14ac:dyDescent="0.4">
      <c r="A72" s="10" t="s">
        <v>381</v>
      </c>
      <c r="B72" s="10" t="s">
        <v>320</v>
      </c>
      <c r="C72" s="10" t="s">
        <v>322</v>
      </c>
      <c r="D72" s="10" t="s">
        <v>316</v>
      </c>
      <c r="E72" s="1">
        <v>600</v>
      </c>
    </row>
    <row r="73" spans="1:5" x14ac:dyDescent="0.4">
      <c r="D73" s="11" t="s">
        <v>3</v>
      </c>
      <c r="E73" s="1">
        <v>600</v>
      </c>
    </row>
    <row r="74" spans="1:5" x14ac:dyDescent="0.4">
      <c r="D74" s="39" t="s">
        <v>324</v>
      </c>
      <c r="E74" s="1">
        <v>600</v>
      </c>
    </row>
    <row r="75" spans="1:5" x14ac:dyDescent="0.4">
      <c r="B75" s="10" t="s">
        <v>382</v>
      </c>
      <c r="C75" s="10" t="s">
        <v>322</v>
      </c>
      <c r="D75" s="10" t="s">
        <v>316</v>
      </c>
      <c r="E75" s="1">
        <v>617.99</v>
      </c>
    </row>
    <row r="76" spans="1:5" x14ac:dyDescent="0.4">
      <c r="D76" s="11" t="s">
        <v>1</v>
      </c>
      <c r="E76" s="1">
        <v>617.99</v>
      </c>
    </row>
    <row r="77" spans="1:5" x14ac:dyDescent="0.4">
      <c r="D77" s="39" t="s">
        <v>383</v>
      </c>
      <c r="E77" s="1">
        <v>617.99</v>
      </c>
    </row>
    <row r="78" spans="1:5" x14ac:dyDescent="0.4">
      <c r="A78" s="10" t="s">
        <v>384</v>
      </c>
      <c r="B78" s="10" t="s">
        <v>385</v>
      </c>
      <c r="C78" s="10" t="s">
        <v>322</v>
      </c>
      <c r="D78" s="10" t="s">
        <v>316</v>
      </c>
      <c r="E78" s="1">
        <v>686.5</v>
      </c>
    </row>
    <row r="79" spans="1:5" x14ac:dyDescent="0.4">
      <c r="D79" s="11" t="s">
        <v>4</v>
      </c>
      <c r="E79" s="1">
        <v>686.5</v>
      </c>
    </row>
    <row r="80" spans="1:5" x14ac:dyDescent="0.4">
      <c r="D80" s="39" t="s">
        <v>386</v>
      </c>
      <c r="E80" s="1">
        <v>686.5</v>
      </c>
    </row>
    <row r="81" spans="1:5" x14ac:dyDescent="0.4">
      <c r="B81" s="10" t="s">
        <v>320</v>
      </c>
      <c r="C81" s="10" t="s">
        <v>322</v>
      </c>
      <c r="D81" s="10" t="s">
        <v>316</v>
      </c>
      <c r="E81" s="1">
        <v>539</v>
      </c>
    </row>
    <row r="82" spans="1:5" x14ac:dyDescent="0.4">
      <c r="D82" s="11" t="s">
        <v>5</v>
      </c>
      <c r="E82" s="1">
        <v>539</v>
      </c>
    </row>
    <row r="83" spans="1:5" x14ac:dyDescent="0.4">
      <c r="D83" s="39" t="s">
        <v>364</v>
      </c>
      <c r="E83" s="1">
        <v>539</v>
      </c>
    </row>
    <row r="84" spans="1:5" x14ac:dyDescent="0.4">
      <c r="B84" s="10" t="s">
        <v>331</v>
      </c>
      <c r="C84" s="10" t="s">
        <v>322</v>
      </c>
      <c r="D84" s="10" t="s">
        <v>316</v>
      </c>
      <c r="E84" s="1">
        <v>350</v>
      </c>
    </row>
    <row r="85" spans="1:5" x14ac:dyDescent="0.4">
      <c r="D85" s="11" t="s">
        <v>2</v>
      </c>
      <c r="E85" s="1">
        <v>350</v>
      </c>
    </row>
    <row r="86" spans="1:5" x14ac:dyDescent="0.4">
      <c r="D86" s="39" t="s">
        <v>334</v>
      </c>
      <c r="E86" s="1">
        <v>350</v>
      </c>
    </row>
    <row r="87" spans="1:5" x14ac:dyDescent="0.4">
      <c r="A87" s="10" t="s">
        <v>387</v>
      </c>
      <c r="B87" s="10" t="s">
        <v>315</v>
      </c>
      <c r="C87" s="10" t="s">
        <v>318</v>
      </c>
      <c r="D87" s="10" t="s">
        <v>316</v>
      </c>
      <c r="E87" s="1">
        <v>6000</v>
      </c>
    </row>
    <row r="88" spans="1:5" x14ac:dyDescent="0.4">
      <c r="D88" s="11" t="s">
        <v>8</v>
      </c>
      <c r="E88" s="1">
        <v>6000</v>
      </c>
    </row>
    <row r="89" spans="1:5" x14ac:dyDescent="0.4">
      <c r="D89" s="39" t="s">
        <v>317</v>
      </c>
      <c r="E89" s="1">
        <v>6000</v>
      </c>
    </row>
    <row r="90" spans="1:5" x14ac:dyDescent="0.4">
      <c r="B90" s="10" t="s">
        <v>320</v>
      </c>
      <c r="C90" s="10" t="s">
        <v>322</v>
      </c>
      <c r="D90" s="10" t="s">
        <v>316</v>
      </c>
      <c r="E90" s="1">
        <v>539</v>
      </c>
    </row>
    <row r="91" spans="1:5" x14ac:dyDescent="0.4">
      <c r="D91" s="11" t="s">
        <v>3</v>
      </c>
      <c r="E91" s="1">
        <v>539</v>
      </c>
    </row>
    <row r="92" spans="1:5" x14ac:dyDescent="0.4">
      <c r="D92" s="39" t="s">
        <v>324</v>
      </c>
      <c r="E92" s="1">
        <v>539</v>
      </c>
    </row>
    <row r="93" spans="1:5" x14ac:dyDescent="0.4">
      <c r="B93" s="10" t="s">
        <v>388</v>
      </c>
      <c r="C93" s="10" t="s">
        <v>322</v>
      </c>
      <c r="D93" s="10" t="s">
        <v>316</v>
      </c>
      <c r="E93" s="1">
        <v>212.64</v>
      </c>
    </row>
    <row r="94" spans="1:5" x14ac:dyDescent="0.4">
      <c r="D94" s="11" t="s">
        <v>4</v>
      </c>
      <c r="E94" s="1">
        <v>212.64</v>
      </c>
    </row>
    <row r="95" spans="1:5" x14ac:dyDescent="0.4">
      <c r="D95" s="39" t="s">
        <v>389</v>
      </c>
      <c r="E95" s="1">
        <v>212.64</v>
      </c>
    </row>
    <row r="96" spans="1:5" x14ac:dyDescent="0.4">
      <c r="B96" s="10" t="s">
        <v>390</v>
      </c>
      <c r="C96" s="10" t="s">
        <v>322</v>
      </c>
      <c r="D96" s="10" t="s">
        <v>316</v>
      </c>
      <c r="E96" s="1">
        <v>2268.77</v>
      </c>
    </row>
    <row r="97" spans="1:5" x14ac:dyDescent="0.4">
      <c r="D97" s="11" t="s">
        <v>2</v>
      </c>
      <c r="E97" s="1">
        <v>2268.77</v>
      </c>
    </row>
    <row r="98" spans="1:5" x14ac:dyDescent="0.4">
      <c r="D98" s="39" t="s">
        <v>328</v>
      </c>
      <c r="E98" s="1">
        <v>2268.77</v>
      </c>
    </row>
    <row r="99" spans="1:5" x14ac:dyDescent="0.4">
      <c r="A99" s="10" t="s">
        <v>391</v>
      </c>
      <c r="B99" s="10" t="s">
        <v>320</v>
      </c>
      <c r="C99" s="10" t="s">
        <v>322</v>
      </c>
      <c r="D99" s="10" t="s">
        <v>316</v>
      </c>
      <c r="E99" s="1">
        <v>539</v>
      </c>
    </row>
    <row r="100" spans="1:5" x14ac:dyDescent="0.4">
      <c r="D100" s="11" t="s">
        <v>1</v>
      </c>
      <c r="E100" s="1">
        <v>539</v>
      </c>
    </row>
    <row r="101" spans="1:5" x14ac:dyDescent="0.4">
      <c r="D101" s="39" t="s">
        <v>392</v>
      </c>
      <c r="E101" s="1">
        <v>539</v>
      </c>
    </row>
    <row r="102" spans="1:5" x14ac:dyDescent="0.4">
      <c r="A102" s="10" t="s">
        <v>393</v>
      </c>
      <c r="B102" s="10" t="s">
        <v>394</v>
      </c>
      <c r="C102" s="10" t="s">
        <v>395</v>
      </c>
      <c r="D102" s="10" t="s">
        <v>316</v>
      </c>
      <c r="E102" s="1">
        <v>6000</v>
      </c>
    </row>
    <row r="103" spans="1:5" x14ac:dyDescent="0.4">
      <c r="D103" s="11" t="s">
        <v>5</v>
      </c>
      <c r="E103" s="1">
        <v>6000</v>
      </c>
    </row>
    <row r="104" spans="1:5" x14ac:dyDescent="0.4">
      <c r="D104" s="39" t="s">
        <v>359</v>
      </c>
      <c r="E104" s="1">
        <v>6000</v>
      </c>
    </row>
    <row r="105" spans="1:5" x14ac:dyDescent="0.4">
      <c r="B105" s="10" t="s">
        <v>396</v>
      </c>
      <c r="C105" s="10" t="s">
        <v>322</v>
      </c>
      <c r="D105" s="10" t="s">
        <v>316</v>
      </c>
      <c r="E105" s="1">
        <v>5100</v>
      </c>
    </row>
    <row r="106" spans="1:5" x14ac:dyDescent="0.4">
      <c r="D106" s="11" t="s">
        <v>3</v>
      </c>
      <c r="E106" s="1">
        <v>5100</v>
      </c>
    </row>
    <row r="107" spans="1:5" x14ac:dyDescent="0.4">
      <c r="D107" s="39" t="s">
        <v>343</v>
      </c>
      <c r="E107" s="1">
        <v>5100</v>
      </c>
    </row>
    <row r="108" spans="1:5" x14ac:dyDescent="0.4">
      <c r="B108" s="10" t="s">
        <v>397</v>
      </c>
      <c r="C108" s="10" t="s">
        <v>395</v>
      </c>
      <c r="D108" s="10" t="s">
        <v>316</v>
      </c>
      <c r="E108" s="1">
        <v>22176.32</v>
      </c>
    </row>
    <row r="109" spans="1:5" x14ac:dyDescent="0.4">
      <c r="D109" s="11" t="s">
        <v>12</v>
      </c>
      <c r="E109" s="1">
        <v>22176.32</v>
      </c>
    </row>
    <row r="110" spans="1:5" x14ac:dyDescent="0.4">
      <c r="D110" s="39" t="s">
        <v>398</v>
      </c>
      <c r="E110" s="1">
        <v>22176.32</v>
      </c>
    </row>
    <row r="111" spans="1:5" x14ac:dyDescent="0.4">
      <c r="B111" s="10" t="s">
        <v>399</v>
      </c>
      <c r="C111" s="10" t="s">
        <v>401</v>
      </c>
      <c r="D111" s="10" t="s">
        <v>316</v>
      </c>
      <c r="E111" s="1">
        <v>250</v>
      </c>
    </row>
    <row r="112" spans="1:5" x14ac:dyDescent="0.4">
      <c r="D112" s="11" t="s">
        <v>8</v>
      </c>
      <c r="E112" s="1">
        <v>250</v>
      </c>
    </row>
    <row r="113" spans="1:5" x14ac:dyDescent="0.4">
      <c r="D113" s="39" t="s">
        <v>400</v>
      </c>
      <c r="E113" s="1">
        <v>250</v>
      </c>
    </row>
    <row r="114" spans="1:5" x14ac:dyDescent="0.4">
      <c r="B114" s="10" t="s">
        <v>402</v>
      </c>
      <c r="C114" s="10" t="s">
        <v>322</v>
      </c>
      <c r="D114" s="10" t="s">
        <v>316</v>
      </c>
      <c r="E114" s="1">
        <v>215</v>
      </c>
    </row>
    <row r="115" spans="1:5" x14ac:dyDescent="0.4">
      <c r="D115" s="11" t="s">
        <v>1</v>
      </c>
      <c r="E115" s="1">
        <v>215</v>
      </c>
    </row>
    <row r="116" spans="1:5" x14ac:dyDescent="0.4">
      <c r="D116" s="39" t="s">
        <v>338</v>
      </c>
      <c r="E116" s="1">
        <v>215</v>
      </c>
    </row>
    <row r="117" spans="1:5" x14ac:dyDescent="0.4">
      <c r="B117" s="10" t="s">
        <v>403</v>
      </c>
      <c r="C117" s="10" t="s">
        <v>361</v>
      </c>
      <c r="D117" s="10" t="s">
        <v>316</v>
      </c>
      <c r="E117" s="1">
        <v>500</v>
      </c>
    </row>
    <row r="118" spans="1:5" x14ac:dyDescent="0.4">
      <c r="D118" s="11" t="s">
        <v>8</v>
      </c>
      <c r="E118" s="1">
        <v>500</v>
      </c>
    </row>
    <row r="119" spans="1:5" x14ac:dyDescent="0.4">
      <c r="D119" s="39" t="s">
        <v>317</v>
      </c>
      <c r="E119" s="1">
        <v>500</v>
      </c>
    </row>
    <row r="120" spans="1:5" x14ac:dyDescent="0.4">
      <c r="B120" s="10" t="s">
        <v>404</v>
      </c>
      <c r="C120" s="10" t="s">
        <v>361</v>
      </c>
      <c r="D120" s="10" t="s">
        <v>316</v>
      </c>
      <c r="E120" s="1">
        <v>2273.21</v>
      </c>
    </row>
    <row r="121" spans="1:5" x14ac:dyDescent="0.4">
      <c r="D121" s="11" t="s">
        <v>8</v>
      </c>
      <c r="E121" s="1">
        <v>2273.21</v>
      </c>
    </row>
    <row r="122" spans="1:5" x14ac:dyDescent="0.4">
      <c r="D122" s="39" t="s">
        <v>317</v>
      </c>
      <c r="E122" s="1">
        <v>2273.21</v>
      </c>
    </row>
    <row r="123" spans="1:5" x14ac:dyDescent="0.4">
      <c r="A123" s="10" t="s">
        <v>405</v>
      </c>
      <c r="B123" s="10" t="s">
        <v>406</v>
      </c>
      <c r="C123" s="10" t="s">
        <v>322</v>
      </c>
      <c r="D123" s="10" t="s">
        <v>316</v>
      </c>
      <c r="E123" s="1">
        <v>52.03</v>
      </c>
    </row>
    <row r="124" spans="1:5" x14ac:dyDescent="0.4">
      <c r="D124" s="11" t="s">
        <v>1</v>
      </c>
      <c r="E124" s="1">
        <v>52.03</v>
      </c>
    </row>
    <row r="125" spans="1:5" x14ac:dyDescent="0.4">
      <c r="D125" s="39" t="s">
        <v>407</v>
      </c>
      <c r="E125" s="1">
        <v>52.03</v>
      </c>
    </row>
    <row r="126" spans="1:5" x14ac:dyDescent="0.4">
      <c r="B126" s="10" t="s">
        <v>408</v>
      </c>
      <c r="C126" s="10" t="s">
        <v>361</v>
      </c>
      <c r="D126" s="10" t="s">
        <v>316</v>
      </c>
      <c r="E126" s="1">
        <v>249</v>
      </c>
    </row>
    <row r="127" spans="1:5" x14ac:dyDescent="0.4">
      <c r="D127" s="11" t="s">
        <v>5</v>
      </c>
      <c r="E127" s="1">
        <v>249</v>
      </c>
    </row>
    <row r="128" spans="1:5" x14ac:dyDescent="0.4">
      <c r="D128" s="39" t="s">
        <v>409</v>
      </c>
      <c r="E128" s="1">
        <v>249</v>
      </c>
    </row>
    <row r="129" spans="1:5" x14ac:dyDescent="0.4">
      <c r="B129" s="10" t="s">
        <v>410</v>
      </c>
      <c r="C129" s="10" t="s">
        <v>322</v>
      </c>
      <c r="D129" s="10" t="s">
        <v>316</v>
      </c>
      <c r="E129" s="1">
        <v>900</v>
      </c>
    </row>
    <row r="130" spans="1:5" x14ac:dyDescent="0.4">
      <c r="D130" s="11" t="s">
        <v>4</v>
      </c>
      <c r="E130" s="1">
        <v>900</v>
      </c>
    </row>
    <row r="131" spans="1:5" x14ac:dyDescent="0.4">
      <c r="D131" s="39" t="s">
        <v>386</v>
      </c>
      <c r="E131" s="1">
        <v>900</v>
      </c>
    </row>
    <row r="132" spans="1:5" x14ac:dyDescent="0.4">
      <c r="A132" s="10" t="s">
        <v>411</v>
      </c>
      <c r="B132" s="10" t="s">
        <v>412</v>
      </c>
      <c r="C132" s="10" t="s">
        <v>414</v>
      </c>
      <c r="D132" s="10" t="s">
        <v>316</v>
      </c>
      <c r="E132" s="1">
        <v>23055.09</v>
      </c>
    </row>
    <row r="133" spans="1:5" x14ac:dyDescent="0.4">
      <c r="D133" s="11" t="s">
        <v>7</v>
      </c>
      <c r="E133" s="1">
        <v>23055.09</v>
      </c>
    </row>
    <row r="134" spans="1:5" x14ac:dyDescent="0.4">
      <c r="D134" s="39" t="s">
        <v>413</v>
      </c>
      <c r="E134" s="1">
        <v>23055.09</v>
      </c>
    </row>
    <row r="135" spans="1:5" x14ac:dyDescent="0.4">
      <c r="B135" s="10" t="s">
        <v>315</v>
      </c>
      <c r="C135" s="10" t="s">
        <v>414</v>
      </c>
      <c r="D135" s="10" t="s">
        <v>316</v>
      </c>
      <c r="E135" s="1">
        <v>10600</v>
      </c>
    </row>
    <row r="136" spans="1:5" x14ac:dyDescent="0.4">
      <c r="D136" s="11" t="s">
        <v>6</v>
      </c>
      <c r="E136" s="1">
        <v>10600</v>
      </c>
    </row>
    <row r="137" spans="1:5" x14ac:dyDescent="0.4">
      <c r="D137" s="39" t="s">
        <v>415</v>
      </c>
      <c r="E137" s="1">
        <v>10600</v>
      </c>
    </row>
    <row r="138" spans="1:5" x14ac:dyDescent="0.4">
      <c r="B138" s="10" t="s">
        <v>416</v>
      </c>
      <c r="C138" s="10" t="s">
        <v>414</v>
      </c>
      <c r="D138" s="10" t="s">
        <v>316</v>
      </c>
      <c r="E138" s="1">
        <v>4930</v>
      </c>
    </row>
    <row r="139" spans="1:5" x14ac:dyDescent="0.4">
      <c r="D139" s="11" t="s">
        <v>8</v>
      </c>
      <c r="E139" s="1">
        <v>4930</v>
      </c>
    </row>
    <row r="140" spans="1:5" x14ac:dyDescent="0.4">
      <c r="D140" s="39" t="s">
        <v>317</v>
      </c>
      <c r="E140" s="1">
        <v>4930</v>
      </c>
    </row>
    <row r="141" spans="1:5" x14ac:dyDescent="0.4">
      <c r="B141" s="10" t="s">
        <v>331</v>
      </c>
      <c r="C141" s="10" t="s">
        <v>322</v>
      </c>
      <c r="D141" s="10" t="s">
        <v>316</v>
      </c>
      <c r="E141" s="1">
        <v>700</v>
      </c>
    </row>
    <row r="142" spans="1:5" x14ac:dyDescent="0.4">
      <c r="D142" s="11" t="s">
        <v>2</v>
      </c>
      <c r="E142" s="1">
        <v>700</v>
      </c>
    </row>
    <row r="143" spans="1:5" x14ac:dyDescent="0.4">
      <c r="D143" s="39" t="s">
        <v>334</v>
      </c>
      <c r="E143" s="1">
        <v>700</v>
      </c>
    </row>
    <row r="144" spans="1:5" x14ac:dyDescent="0.4">
      <c r="B144" s="10" t="s">
        <v>417</v>
      </c>
      <c r="C144" s="10" t="s">
        <v>322</v>
      </c>
      <c r="D144" s="10" t="s">
        <v>316</v>
      </c>
      <c r="E144" s="1">
        <v>235.99</v>
      </c>
    </row>
    <row r="145" spans="1:5" x14ac:dyDescent="0.4">
      <c r="D145" s="11" t="s">
        <v>2</v>
      </c>
      <c r="E145" s="1">
        <v>235.99</v>
      </c>
    </row>
    <row r="146" spans="1:5" x14ac:dyDescent="0.4">
      <c r="D146" s="39" t="s">
        <v>418</v>
      </c>
      <c r="E146" s="1">
        <v>235.99</v>
      </c>
    </row>
    <row r="147" spans="1:5" x14ac:dyDescent="0.4">
      <c r="B147" s="10" t="s">
        <v>419</v>
      </c>
      <c r="C147" s="10" t="s">
        <v>322</v>
      </c>
      <c r="D147" s="10" t="s">
        <v>316</v>
      </c>
      <c r="E147" s="1">
        <v>230.79</v>
      </c>
    </row>
    <row r="148" spans="1:5" x14ac:dyDescent="0.4">
      <c r="D148" s="11" t="s">
        <v>2</v>
      </c>
      <c r="E148" s="1">
        <v>230.79</v>
      </c>
    </row>
    <row r="149" spans="1:5" x14ac:dyDescent="0.4">
      <c r="D149" s="39" t="s">
        <v>420</v>
      </c>
      <c r="E149" s="1">
        <v>230.79</v>
      </c>
    </row>
    <row r="150" spans="1:5" x14ac:dyDescent="0.4">
      <c r="B150" s="10" t="s">
        <v>421</v>
      </c>
      <c r="C150" s="10" t="s">
        <v>322</v>
      </c>
      <c r="D150" s="10" t="s">
        <v>316</v>
      </c>
      <c r="E150" s="1">
        <v>254.99</v>
      </c>
    </row>
    <row r="151" spans="1:5" x14ac:dyDescent="0.4">
      <c r="D151" s="11" t="s">
        <v>3</v>
      </c>
      <c r="E151" s="1">
        <v>254.99</v>
      </c>
    </row>
    <row r="152" spans="1:5" x14ac:dyDescent="0.4">
      <c r="D152" s="39" t="s">
        <v>343</v>
      </c>
      <c r="E152" s="1">
        <v>254.99</v>
      </c>
    </row>
    <row r="153" spans="1:5" x14ac:dyDescent="0.4">
      <c r="B153" s="10" t="s">
        <v>422</v>
      </c>
      <c r="C153" s="10" t="s">
        <v>322</v>
      </c>
      <c r="D153" s="10" t="s">
        <v>316</v>
      </c>
      <c r="E153" s="1">
        <v>792.92</v>
      </c>
    </row>
    <row r="154" spans="1:5" x14ac:dyDescent="0.4">
      <c r="D154" s="11" t="s">
        <v>4</v>
      </c>
      <c r="E154" s="1">
        <v>792.92</v>
      </c>
    </row>
    <row r="155" spans="1:5" x14ac:dyDescent="0.4">
      <c r="D155" s="39" t="s">
        <v>423</v>
      </c>
      <c r="E155" s="1">
        <v>792.92</v>
      </c>
    </row>
    <row r="156" spans="1:5" x14ac:dyDescent="0.4">
      <c r="B156" s="10" t="s">
        <v>424</v>
      </c>
      <c r="C156" s="10" t="s">
        <v>322</v>
      </c>
      <c r="D156" s="10" t="s">
        <v>316</v>
      </c>
      <c r="E156" s="1">
        <v>200</v>
      </c>
    </row>
    <row r="157" spans="1:5" x14ac:dyDescent="0.4">
      <c r="D157" s="11" t="s">
        <v>4</v>
      </c>
      <c r="E157" s="1">
        <v>200</v>
      </c>
    </row>
    <row r="158" spans="1:5" x14ac:dyDescent="0.4">
      <c r="D158" s="39" t="s">
        <v>425</v>
      </c>
      <c r="E158" s="1">
        <v>200</v>
      </c>
    </row>
    <row r="159" spans="1:5" x14ac:dyDescent="0.4">
      <c r="A159" s="10" t="s">
        <v>659</v>
      </c>
      <c r="B159" s="10" t="s">
        <v>394</v>
      </c>
      <c r="C159" s="10" t="s">
        <v>414</v>
      </c>
      <c r="D159" s="10" t="s">
        <v>316</v>
      </c>
      <c r="E159" s="1">
        <v>2000</v>
      </c>
    </row>
    <row r="160" spans="1:5" x14ac:dyDescent="0.4">
      <c r="D160" s="11" t="s">
        <v>7</v>
      </c>
      <c r="E160" s="1">
        <v>2000</v>
      </c>
    </row>
    <row r="161" spans="1:5" x14ac:dyDescent="0.4">
      <c r="D161" s="39" t="s">
        <v>413</v>
      </c>
      <c r="E161" s="1">
        <v>2000</v>
      </c>
    </row>
    <row r="162" spans="1:5" x14ac:dyDescent="0.4">
      <c r="B162" s="10" t="s">
        <v>320</v>
      </c>
      <c r="C162" s="10" t="s">
        <v>322</v>
      </c>
      <c r="D162" s="10" t="s">
        <v>316</v>
      </c>
      <c r="E162" s="1">
        <v>400</v>
      </c>
    </row>
    <row r="163" spans="1:5" x14ac:dyDescent="0.4">
      <c r="D163" s="11" t="s">
        <v>1</v>
      </c>
      <c r="E163" s="1">
        <v>400</v>
      </c>
    </row>
    <row r="164" spans="1:5" x14ac:dyDescent="0.4">
      <c r="D164" s="39" t="s">
        <v>660</v>
      </c>
      <c r="E164" s="1">
        <v>400</v>
      </c>
    </row>
    <row r="165" spans="1:5" x14ac:dyDescent="0.4">
      <c r="B165" s="10" t="s">
        <v>661</v>
      </c>
      <c r="C165" s="10" t="s">
        <v>329</v>
      </c>
      <c r="D165" s="10" t="s">
        <v>316</v>
      </c>
      <c r="E165" s="1">
        <v>0</v>
      </c>
    </row>
    <row r="166" spans="1:5" x14ac:dyDescent="0.4">
      <c r="D166" s="11" t="s">
        <v>3</v>
      </c>
      <c r="E166" s="1">
        <v>0</v>
      </c>
    </row>
    <row r="167" spans="1:5" x14ac:dyDescent="0.4">
      <c r="D167" s="39" t="s">
        <v>343</v>
      </c>
      <c r="E167" s="1">
        <v>0</v>
      </c>
    </row>
    <row r="168" spans="1:5" x14ac:dyDescent="0.4">
      <c r="B168" s="10" t="s">
        <v>662</v>
      </c>
      <c r="C168" s="10" t="s">
        <v>322</v>
      </c>
      <c r="D168" s="10" t="s">
        <v>316</v>
      </c>
      <c r="E168" s="1">
        <v>4243.6000000000004</v>
      </c>
    </row>
    <row r="169" spans="1:5" x14ac:dyDescent="0.4">
      <c r="D169" s="11" t="s">
        <v>3</v>
      </c>
      <c r="E169" s="1">
        <v>4243.6000000000004</v>
      </c>
    </row>
    <row r="170" spans="1:5" x14ac:dyDescent="0.4">
      <c r="D170" s="39" t="s">
        <v>343</v>
      </c>
      <c r="E170" s="1">
        <v>4243.6000000000004</v>
      </c>
    </row>
    <row r="171" spans="1:5" x14ac:dyDescent="0.4">
      <c r="A171" s="10" t="s">
        <v>426</v>
      </c>
      <c r="B171" s="10" t="s">
        <v>427</v>
      </c>
      <c r="C171" s="10" t="s">
        <v>322</v>
      </c>
      <c r="D171" s="10" t="s">
        <v>316</v>
      </c>
      <c r="E171" s="1">
        <v>447.98</v>
      </c>
    </row>
    <row r="172" spans="1:5" x14ac:dyDescent="0.4">
      <c r="D172" s="11" t="s">
        <v>3</v>
      </c>
      <c r="E172" s="1">
        <v>447.98</v>
      </c>
    </row>
    <row r="173" spans="1:5" x14ac:dyDescent="0.4">
      <c r="D173" s="39" t="s">
        <v>428</v>
      </c>
      <c r="E173" s="1">
        <v>223.99</v>
      </c>
    </row>
    <row r="174" spans="1:5" x14ac:dyDescent="0.4">
      <c r="D174" s="39" t="s">
        <v>429</v>
      </c>
      <c r="E174" s="1">
        <v>223.99</v>
      </c>
    </row>
    <row r="175" spans="1:5" x14ac:dyDescent="0.4">
      <c r="B175" s="10" t="s">
        <v>430</v>
      </c>
      <c r="C175" s="10" t="s">
        <v>322</v>
      </c>
      <c r="D175" s="10" t="s">
        <v>316</v>
      </c>
      <c r="E175" s="1">
        <v>39.49</v>
      </c>
    </row>
    <row r="176" spans="1:5" x14ac:dyDescent="0.4">
      <c r="D176" s="11" t="s">
        <v>2</v>
      </c>
      <c r="E176" s="1">
        <v>39.49</v>
      </c>
    </row>
    <row r="177" spans="1:5" x14ac:dyDescent="0.4">
      <c r="D177" s="39" t="s">
        <v>418</v>
      </c>
      <c r="E177" s="1">
        <v>39.49</v>
      </c>
    </row>
    <row r="178" spans="1:5" x14ac:dyDescent="0.4">
      <c r="B178" s="10" t="s">
        <v>431</v>
      </c>
      <c r="C178" s="10" t="s">
        <v>395</v>
      </c>
      <c r="D178" s="10" t="s">
        <v>316</v>
      </c>
      <c r="E178" s="1">
        <v>39.49</v>
      </c>
    </row>
    <row r="179" spans="1:5" x14ac:dyDescent="0.4">
      <c r="D179" s="11" t="s">
        <v>2</v>
      </c>
      <c r="E179" s="1">
        <v>39.49</v>
      </c>
    </row>
    <row r="180" spans="1:5" x14ac:dyDescent="0.4">
      <c r="D180" s="39" t="s">
        <v>334</v>
      </c>
      <c r="E180" s="1">
        <v>39.49</v>
      </c>
    </row>
    <row r="181" spans="1:5" x14ac:dyDescent="0.4">
      <c r="B181" s="10" t="s">
        <v>432</v>
      </c>
      <c r="C181" s="10" t="s">
        <v>395</v>
      </c>
      <c r="D181" s="10" t="s">
        <v>316</v>
      </c>
      <c r="E181" s="1">
        <v>4765.22</v>
      </c>
    </row>
    <row r="182" spans="1:5" x14ac:dyDescent="0.4">
      <c r="D182" s="11" t="s">
        <v>5</v>
      </c>
      <c r="E182" s="1">
        <v>4765.22</v>
      </c>
    </row>
    <row r="183" spans="1:5" x14ac:dyDescent="0.4">
      <c r="D183" s="39" t="s">
        <v>359</v>
      </c>
      <c r="E183" s="1">
        <v>4765.22</v>
      </c>
    </row>
    <row r="184" spans="1:5" x14ac:dyDescent="0.4">
      <c r="A184" s="10" t="s">
        <v>433</v>
      </c>
      <c r="B184" s="10" t="s">
        <v>394</v>
      </c>
      <c r="C184" s="10" t="s">
        <v>395</v>
      </c>
      <c r="D184" s="10" t="s">
        <v>316</v>
      </c>
      <c r="E184" s="1">
        <v>4485</v>
      </c>
    </row>
    <row r="185" spans="1:5" x14ac:dyDescent="0.4">
      <c r="D185" s="11" t="s">
        <v>4</v>
      </c>
      <c r="E185" s="1">
        <v>2265</v>
      </c>
    </row>
    <row r="186" spans="1:5" x14ac:dyDescent="0.4">
      <c r="D186" s="39" t="s">
        <v>386</v>
      </c>
      <c r="E186" s="1">
        <v>2265</v>
      </c>
    </row>
    <row r="187" spans="1:5" x14ac:dyDescent="0.4">
      <c r="D187" s="11" t="s">
        <v>7</v>
      </c>
      <c r="E187" s="1">
        <v>2220</v>
      </c>
    </row>
    <row r="188" spans="1:5" x14ac:dyDescent="0.4">
      <c r="D188" s="39" t="s">
        <v>413</v>
      </c>
      <c r="E188" s="1">
        <v>2220</v>
      </c>
    </row>
    <row r="189" spans="1:5" x14ac:dyDescent="0.4">
      <c r="B189" s="10" t="s">
        <v>434</v>
      </c>
      <c r="C189" s="10" t="s">
        <v>361</v>
      </c>
      <c r="D189" s="10" t="s">
        <v>316</v>
      </c>
      <c r="E189" s="1">
        <v>250</v>
      </c>
    </row>
    <row r="190" spans="1:5" x14ac:dyDescent="0.4">
      <c r="D190" s="11" t="s">
        <v>12</v>
      </c>
      <c r="E190" s="1">
        <v>250</v>
      </c>
    </row>
    <row r="191" spans="1:5" x14ac:dyDescent="0.4">
      <c r="D191" s="39" t="s">
        <v>398</v>
      </c>
      <c r="E191" s="1">
        <v>250</v>
      </c>
    </row>
    <row r="192" spans="1:5" x14ac:dyDescent="0.4">
      <c r="B192" s="10" t="s">
        <v>435</v>
      </c>
      <c r="C192" s="10" t="s">
        <v>361</v>
      </c>
      <c r="D192" s="10" t="s">
        <v>316</v>
      </c>
      <c r="E192" s="1">
        <v>7000</v>
      </c>
    </row>
    <row r="193" spans="1:5" x14ac:dyDescent="0.4">
      <c r="D193" s="11" t="s">
        <v>12</v>
      </c>
      <c r="E193" s="1">
        <v>7000</v>
      </c>
    </row>
    <row r="194" spans="1:5" x14ac:dyDescent="0.4">
      <c r="D194" s="39" t="s">
        <v>398</v>
      </c>
      <c r="E194" s="1">
        <v>7000</v>
      </c>
    </row>
    <row r="195" spans="1:5" x14ac:dyDescent="0.4">
      <c r="A195" s="10" t="s">
        <v>436</v>
      </c>
      <c r="B195" s="10" t="s">
        <v>437</v>
      </c>
      <c r="C195" s="10" t="s">
        <v>322</v>
      </c>
      <c r="D195" s="10" t="s">
        <v>316</v>
      </c>
      <c r="E195" s="1">
        <v>312</v>
      </c>
    </row>
    <row r="196" spans="1:5" x14ac:dyDescent="0.4">
      <c r="D196" s="11" t="s">
        <v>3</v>
      </c>
      <c r="E196" s="1">
        <v>312</v>
      </c>
    </row>
    <row r="197" spans="1:5" x14ac:dyDescent="0.4">
      <c r="D197" s="39" t="s">
        <v>428</v>
      </c>
      <c r="E197" s="1">
        <v>312</v>
      </c>
    </row>
    <row r="198" spans="1:5" x14ac:dyDescent="0.4">
      <c r="A198" s="10" t="s">
        <v>438</v>
      </c>
      <c r="B198" s="10" t="s">
        <v>439</v>
      </c>
      <c r="C198" s="10" t="s">
        <v>361</v>
      </c>
      <c r="D198" s="10" t="s">
        <v>316</v>
      </c>
      <c r="E198" s="1">
        <v>2800</v>
      </c>
    </row>
    <row r="199" spans="1:5" x14ac:dyDescent="0.4">
      <c r="D199" s="11" t="s">
        <v>7</v>
      </c>
      <c r="E199" s="1">
        <v>2800</v>
      </c>
    </row>
    <row r="200" spans="1:5" x14ac:dyDescent="0.4">
      <c r="D200" s="39" t="s">
        <v>440</v>
      </c>
      <c r="E200" s="1">
        <v>2800</v>
      </c>
    </row>
    <row r="201" spans="1:5" x14ac:dyDescent="0.4">
      <c r="B201" s="10" t="s">
        <v>441</v>
      </c>
      <c r="C201" s="10" t="s">
        <v>395</v>
      </c>
      <c r="D201" s="10" t="s">
        <v>316</v>
      </c>
      <c r="E201" s="1">
        <v>2690</v>
      </c>
    </row>
    <row r="202" spans="1:5" x14ac:dyDescent="0.4">
      <c r="D202" s="11" t="s">
        <v>7</v>
      </c>
      <c r="E202" s="1">
        <v>2690</v>
      </c>
    </row>
    <row r="203" spans="1:5" x14ac:dyDescent="0.4">
      <c r="D203" s="39" t="s">
        <v>440</v>
      </c>
      <c r="E203" s="1">
        <v>2690</v>
      </c>
    </row>
    <row r="204" spans="1:5" x14ac:dyDescent="0.4">
      <c r="B204" s="10" t="s">
        <v>442</v>
      </c>
      <c r="C204" s="10" t="s">
        <v>329</v>
      </c>
      <c r="D204" s="10" t="s">
        <v>316</v>
      </c>
      <c r="E204" s="1">
        <v>0</v>
      </c>
    </row>
    <row r="205" spans="1:5" x14ac:dyDescent="0.4">
      <c r="D205" s="11" t="s">
        <v>5</v>
      </c>
      <c r="E205" s="1">
        <v>0</v>
      </c>
    </row>
    <row r="206" spans="1:5" x14ac:dyDescent="0.4">
      <c r="D206" s="39" t="s">
        <v>359</v>
      </c>
      <c r="E206" s="1">
        <v>0</v>
      </c>
    </row>
    <row r="207" spans="1:5" x14ac:dyDescent="0.4">
      <c r="B207" s="10" t="s">
        <v>443</v>
      </c>
      <c r="C207" s="10" t="s">
        <v>322</v>
      </c>
      <c r="D207" s="10" t="s">
        <v>316</v>
      </c>
      <c r="E207" s="1">
        <v>3000</v>
      </c>
    </row>
    <row r="208" spans="1:5" x14ac:dyDescent="0.4">
      <c r="D208" s="11" t="s">
        <v>3</v>
      </c>
      <c r="E208" s="1">
        <v>3000</v>
      </c>
    </row>
    <row r="209" spans="2:5" x14ac:dyDescent="0.4">
      <c r="D209" s="39" t="s">
        <v>343</v>
      </c>
      <c r="E209" s="1">
        <v>3000</v>
      </c>
    </row>
    <row r="210" spans="2:5" x14ac:dyDescent="0.4">
      <c r="B210" s="10" t="s">
        <v>444</v>
      </c>
      <c r="C210" s="10" t="s">
        <v>322</v>
      </c>
      <c r="D210" s="10" t="s">
        <v>316</v>
      </c>
      <c r="E210" s="1">
        <v>175</v>
      </c>
    </row>
    <row r="211" spans="2:5" x14ac:dyDescent="0.4">
      <c r="D211" s="11" t="s">
        <v>5</v>
      </c>
      <c r="E211" s="1">
        <v>175</v>
      </c>
    </row>
    <row r="212" spans="2:5" x14ac:dyDescent="0.4">
      <c r="D212" s="39" t="s">
        <v>359</v>
      </c>
      <c r="E212" s="1">
        <v>175</v>
      </c>
    </row>
    <row r="213" spans="2:5" x14ac:dyDescent="0.4">
      <c r="B213" s="10" t="s">
        <v>445</v>
      </c>
      <c r="C213" s="10" t="s">
        <v>361</v>
      </c>
      <c r="D213" s="10" t="s">
        <v>316</v>
      </c>
      <c r="E213" s="1">
        <v>4450.41</v>
      </c>
    </row>
    <row r="214" spans="2:5" x14ac:dyDescent="0.4">
      <c r="D214" s="11" t="s">
        <v>5</v>
      </c>
      <c r="E214" s="1">
        <v>4450.41</v>
      </c>
    </row>
    <row r="215" spans="2:5" x14ac:dyDescent="0.4">
      <c r="D215" s="39" t="s">
        <v>359</v>
      </c>
      <c r="E215" s="1">
        <v>4450.41</v>
      </c>
    </row>
    <row r="216" spans="2:5" x14ac:dyDescent="0.4">
      <c r="B216" s="10" t="s">
        <v>446</v>
      </c>
      <c r="C216" s="10" t="s">
        <v>361</v>
      </c>
      <c r="D216" s="10" t="s">
        <v>316</v>
      </c>
      <c r="E216" s="1">
        <v>5000</v>
      </c>
    </row>
    <row r="217" spans="2:5" x14ac:dyDescent="0.4">
      <c r="D217" s="11" t="s">
        <v>5</v>
      </c>
      <c r="E217" s="1">
        <v>5000</v>
      </c>
    </row>
    <row r="218" spans="2:5" x14ac:dyDescent="0.4">
      <c r="D218" s="39" t="s">
        <v>359</v>
      </c>
      <c r="E218" s="1">
        <v>5000</v>
      </c>
    </row>
    <row r="219" spans="2:5" x14ac:dyDescent="0.4">
      <c r="B219" s="10" t="s">
        <v>447</v>
      </c>
      <c r="C219" s="10" t="s">
        <v>361</v>
      </c>
      <c r="D219" s="10" t="s">
        <v>316</v>
      </c>
      <c r="E219" s="1">
        <v>3654.88</v>
      </c>
    </row>
    <row r="220" spans="2:5" x14ac:dyDescent="0.4">
      <c r="D220" s="11" t="s">
        <v>5</v>
      </c>
      <c r="E220" s="1">
        <v>3654.88</v>
      </c>
    </row>
    <row r="221" spans="2:5" x14ac:dyDescent="0.4">
      <c r="D221" s="39" t="s">
        <v>359</v>
      </c>
      <c r="E221" s="1">
        <v>3654.88</v>
      </c>
    </row>
    <row r="222" spans="2:5" x14ac:dyDescent="0.4">
      <c r="B222" s="10" t="s">
        <v>448</v>
      </c>
      <c r="C222" s="10" t="s">
        <v>318</v>
      </c>
      <c r="D222" s="10" t="s">
        <v>316</v>
      </c>
      <c r="E222" s="1">
        <v>0</v>
      </c>
    </row>
    <row r="223" spans="2:5" x14ac:dyDescent="0.4">
      <c r="D223" s="11" t="s">
        <v>6</v>
      </c>
      <c r="E223" s="1">
        <v>0</v>
      </c>
    </row>
    <row r="224" spans="2:5" x14ac:dyDescent="0.4">
      <c r="D224" s="39" t="s">
        <v>415</v>
      </c>
      <c r="E224" s="1">
        <v>0</v>
      </c>
    </row>
    <row r="225" spans="1:5" x14ac:dyDescent="0.4">
      <c r="B225" s="10" t="s">
        <v>449</v>
      </c>
      <c r="C225" s="10" t="s">
        <v>395</v>
      </c>
      <c r="D225" s="10" t="s">
        <v>316</v>
      </c>
      <c r="E225" s="1">
        <v>1920</v>
      </c>
    </row>
    <row r="226" spans="1:5" x14ac:dyDescent="0.4">
      <c r="D226" s="11" t="s">
        <v>5</v>
      </c>
      <c r="E226" s="1">
        <v>1920</v>
      </c>
    </row>
    <row r="227" spans="1:5" x14ac:dyDescent="0.4">
      <c r="D227" s="39" t="s">
        <v>359</v>
      </c>
      <c r="E227" s="1">
        <v>1920</v>
      </c>
    </row>
    <row r="228" spans="1:5" x14ac:dyDescent="0.4">
      <c r="B228" s="10" t="s">
        <v>450</v>
      </c>
      <c r="C228" s="10" t="s">
        <v>322</v>
      </c>
      <c r="D228" s="10" t="s">
        <v>316</v>
      </c>
      <c r="E228" s="1">
        <v>200</v>
      </c>
    </row>
    <row r="229" spans="1:5" x14ac:dyDescent="0.4">
      <c r="D229" s="11" t="s">
        <v>4</v>
      </c>
      <c r="E229" s="1">
        <v>200</v>
      </c>
    </row>
    <row r="230" spans="1:5" x14ac:dyDescent="0.4">
      <c r="D230" s="39" t="s">
        <v>371</v>
      </c>
      <c r="E230" s="1">
        <v>200</v>
      </c>
    </row>
    <row r="231" spans="1:5" x14ac:dyDescent="0.4">
      <c r="A231" s="10" t="s">
        <v>251</v>
      </c>
      <c r="B231" s="10" t="s">
        <v>368</v>
      </c>
      <c r="C231" s="10" t="s">
        <v>414</v>
      </c>
      <c r="D231" s="10" t="s">
        <v>316</v>
      </c>
      <c r="E231" s="1">
        <v>25000</v>
      </c>
    </row>
    <row r="232" spans="1:5" x14ac:dyDescent="0.4">
      <c r="D232" s="11" t="s">
        <v>6</v>
      </c>
      <c r="E232" s="1">
        <v>25000</v>
      </c>
    </row>
    <row r="233" spans="1:5" x14ac:dyDescent="0.4">
      <c r="D233" s="39" t="s">
        <v>451</v>
      </c>
      <c r="E233" s="1">
        <v>25000</v>
      </c>
    </row>
    <row r="234" spans="1:5" x14ac:dyDescent="0.4">
      <c r="B234" s="10" t="s">
        <v>437</v>
      </c>
      <c r="C234" s="10" t="s">
        <v>318</v>
      </c>
      <c r="D234" s="10" t="s">
        <v>316</v>
      </c>
      <c r="E234" s="1">
        <v>160.44</v>
      </c>
    </row>
    <row r="235" spans="1:5" x14ac:dyDescent="0.4">
      <c r="D235" s="11" t="s">
        <v>6</v>
      </c>
      <c r="E235" s="1">
        <v>160.44</v>
      </c>
    </row>
    <row r="236" spans="1:5" x14ac:dyDescent="0.4">
      <c r="D236" s="39" t="s">
        <v>452</v>
      </c>
      <c r="E236" s="1">
        <v>160.44</v>
      </c>
    </row>
    <row r="237" spans="1:5" x14ac:dyDescent="0.4">
      <c r="B237" s="10" t="s">
        <v>453</v>
      </c>
      <c r="C237" s="10" t="s">
        <v>322</v>
      </c>
      <c r="D237" s="10" t="s">
        <v>316</v>
      </c>
      <c r="E237" s="1">
        <v>1056.27</v>
      </c>
    </row>
    <row r="238" spans="1:5" x14ac:dyDescent="0.4">
      <c r="D238" s="11" t="s">
        <v>1</v>
      </c>
      <c r="E238" s="1">
        <v>1056.27</v>
      </c>
    </row>
    <row r="239" spans="1:5" x14ac:dyDescent="0.4">
      <c r="D239" s="39" t="s">
        <v>454</v>
      </c>
      <c r="E239" s="1">
        <v>1056.27</v>
      </c>
    </row>
    <row r="240" spans="1:5" x14ac:dyDescent="0.4">
      <c r="B240" s="10" t="s">
        <v>455</v>
      </c>
      <c r="C240" s="10" t="s">
        <v>322</v>
      </c>
      <c r="D240" s="10" t="s">
        <v>316</v>
      </c>
      <c r="E240" s="1">
        <v>250</v>
      </c>
    </row>
    <row r="241" spans="2:5" x14ac:dyDescent="0.4">
      <c r="D241" s="11" t="s">
        <v>1</v>
      </c>
      <c r="E241" s="1">
        <v>250</v>
      </c>
    </row>
    <row r="242" spans="2:5" x14ac:dyDescent="0.4">
      <c r="D242" s="39" t="s">
        <v>456</v>
      </c>
      <c r="E242" s="1">
        <v>250</v>
      </c>
    </row>
    <row r="243" spans="2:5" x14ac:dyDescent="0.4">
      <c r="B243" s="10" t="s">
        <v>457</v>
      </c>
      <c r="C243" s="10" t="s">
        <v>322</v>
      </c>
      <c r="D243" s="10" t="s">
        <v>316</v>
      </c>
      <c r="E243" s="1">
        <v>2730</v>
      </c>
    </row>
    <row r="244" spans="2:5" x14ac:dyDescent="0.4">
      <c r="D244" s="11" t="s">
        <v>1</v>
      </c>
      <c r="E244" s="1">
        <v>2730</v>
      </c>
    </row>
    <row r="245" spans="2:5" x14ac:dyDescent="0.4">
      <c r="D245" s="39" t="s">
        <v>378</v>
      </c>
      <c r="E245" s="1">
        <v>2730</v>
      </c>
    </row>
    <row r="246" spans="2:5" x14ac:dyDescent="0.4">
      <c r="B246" s="10" t="s">
        <v>458</v>
      </c>
      <c r="C246" s="10" t="s">
        <v>322</v>
      </c>
      <c r="D246" s="10" t="s">
        <v>316</v>
      </c>
      <c r="E246" s="1">
        <v>1538.19</v>
      </c>
    </row>
    <row r="247" spans="2:5" x14ac:dyDescent="0.4">
      <c r="D247" s="11" t="s">
        <v>1</v>
      </c>
      <c r="E247" s="1">
        <v>1538.19</v>
      </c>
    </row>
    <row r="248" spans="2:5" x14ac:dyDescent="0.4">
      <c r="D248" s="39" t="s">
        <v>378</v>
      </c>
      <c r="E248" s="1">
        <v>1538.19</v>
      </c>
    </row>
    <row r="249" spans="2:5" x14ac:dyDescent="0.4">
      <c r="B249" s="10" t="s">
        <v>459</v>
      </c>
      <c r="C249" s="10" t="s">
        <v>322</v>
      </c>
      <c r="D249" s="10" t="s">
        <v>316</v>
      </c>
      <c r="E249" s="1">
        <v>79.959999999999994</v>
      </c>
    </row>
    <row r="250" spans="2:5" x14ac:dyDescent="0.4">
      <c r="D250" s="11" t="s">
        <v>1</v>
      </c>
      <c r="E250" s="1">
        <v>79.959999999999994</v>
      </c>
    </row>
    <row r="251" spans="2:5" x14ac:dyDescent="0.4">
      <c r="D251" s="39" t="s">
        <v>460</v>
      </c>
      <c r="E251" s="1">
        <v>79.959999999999994</v>
      </c>
    </row>
    <row r="252" spans="2:5" x14ac:dyDescent="0.4">
      <c r="B252" s="10" t="s">
        <v>461</v>
      </c>
      <c r="C252" s="10" t="s">
        <v>322</v>
      </c>
      <c r="D252" s="10" t="s">
        <v>316</v>
      </c>
      <c r="E252" s="1">
        <v>1047</v>
      </c>
    </row>
    <row r="253" spans="2:5" x14ac:dyDescent="0.4">
      <c r="D253" s="11" t="s">
        <v>1</v>
      </c>
      <c r="E253" s="1">
        <v>1047</v>
      </c>
    </row>
    <row r="254" spans="2:5" x14ac:dyDescent="0.4">
      <c r="D254" s="39" t="s">
        <v>460</v>
      </c>
      <c r="E254" s="1">
        <v>1047</v>
      </c>
    </row>
    <row r="255" spans="2:5" x14ac:dyDescent="0.4">
      <c r="B255" s="10" t="s">
        <v>430</v>
      </c>
      <c r="C255" s="10" t="s">
        <v>322</v>
      </c>
      <c r="D255" s="10" t="s">
        <v>316</v>
      </c>
      <c r="E255" s="1">
        <v>170.7</v>
      </c>
    </row>
    <row r="256" spans="2:5" x14ac:dyDescent="0.4">
      <c r="D256" s="11" t="s">
        <v>1</v>
      </c>
      <c r="E256" s="1">
        <v>170.7</v>
      </c>
    </row>
    <row r="257" spans="2:5" x14ac:dyDescent="0.4">
      <c r="D257" s="39" t="s">
        <v>462</v>
      </c>
      <c r="E257" s="1">
        <v>170.7</v>
      </c>
    </row>
    <row r="258" spans="2:5" x14ac:dyDescent="0.4">
      <c r="B258" s="10" t="s">
        <v>463</v>
      </c>
      <c r="C258" s="10" t="s">
        <v>322</v>
      </c>
      <c r="D258" s="10" t="s">
        <v>316</v>
      </c>
      <c r="E258" s="1">
        <v>571.14</v>
      </c>
    </row>
    <row r="259" spans="2:5" x14ac:dyDescent="0.4">
      <c r="D259" s="11" t="s">
        <v>1</v>
      </c>
      <c r="E259" s="1">
        <v>193.2</v>
      </c>
    </row>
    <row r="260" spans="2:5" x14ac:dyDescent="0.4">
      <c r="D260" s="39" t="s">
        <v>464</v>
      </c>
      <c r="E260" s="1">
        <v>193.2</v>
      </c>
    </row>
    <row r="261" spans="2:5" x14ac:dyDescent="0.4">
      <c r="D261" s="11" t="s">
        <v>2</v>
      </c>
      <c r="E261" s="1">
        <v>377.94</v>
      </c>
    </row>
    <row r="262" spans="2:5" x14ac:dyDescent="0.4">
      <c r="D262" s="39" t="s">
        <v>465</v>
      </c>
      <c r="E262" s="1">
        <v>377.94</v>
      </c>
    </row>
    <row r="263" spans="2:5" x14ac:dyDescent="0.4">
      <c r="B263" s="10" t="s">
        <v>466</v>
      </c>
      <c r="C263" s="10" t="s">
        <v>322</v>
      </c>
      <c r="D263" s="10" t="s">
        <v>316</v>
      </c>
      <c r="E263" s="1">
        <v>7200</v>
      </c>
    </row>
    <row r="264" spans="2:5" x14ac:dyDescent="0.4">
      <c r="D264" s="11" t="s">
        <v>1</v>
      </c>
      <c r="E264" s="1">
        <v>7200</v>
      </c>
    </row>
    <row r="265" spans="2:5" x14ac:dyDescent="0.4">
      <c r="D265" s="39" t="s">
        <v>373</v>
      </c>
      <c r="E265" s="1">
        <v>7200</v>
      </c>
    </row>
    <row r="266" spans="2:5" x14ac:dyDescent="0.4">
      <c r="B266" s="10" t="s">
        <v>467</v>
      </c>
      <c r="C266" s="10" t="s">
        <v>322</v>
      </c>
      <c r="D266" s="10" t="s">
        <v>316</v>
      </c>
      <c r="E266" s="1">
        <v>490</v>
      </c>
    </row>
    <row r="267" spans="2:5" x14ac:dyDescent="0.4">
      <c r="D267" s="11" t="s">
        <v>1</v>
      </c>
      <c r="E267" s="1">
        <v>490</v>
      </c>
    </row>
    <row r="268" spans="2:5" x14ac:dyDescent="0.4">
      <c r="D268" s="39" t="s">
        <v>468</v>
      </c>
      <c r="E268" s="1">
        <v>490</v>
      </c>
    </row>
    <row r="269" spans="2:5" x14ac:dyDescent="0.4">
      <c r="B269" s="10" t="s">
        <v>469</v>
      </c>
      <c r="C269" s="10" t="s">
        <v>322</v>
      </c>
      <c r="D269" s="10" t="s">
        <v>316</v>
      </c>
      <c r="E269" s="1">
        <v>1583.56</v>
      </c>
    </row>
    <row r="270" spans="2:5" x14ac:dyDescent="0.4">
      <c r="D270" s="11" t="s">
        <v>1</v>
      </c>
      <c r="E270" s="1">
        <v>1583.56</v>
      </c>
    </row>
    <row r="271" spans="2:5" x14ac:dyDescent="0.4">
      <c r="D271" s="39" t="s">
        <v>468</v>
      </c>
      <c r="E271" s="1">
        <v>1583.56</v>
      </c>
    </row>
    <row r="272" spans="2:5" x14ac:dyDescent="0.4">
      <c r="B272" s="10" t="s">
        <v>470</v>
      </c>
      <c r="C272" s="10" t="s">
        <v>322</v>
      </c>
      <c r="D272" s="10" t="s">
        <v>316</v>
      </c>
      <c r="E272" s="1">
        <v>770</v>
      </c>
    </row>
    <row r="273" spans="2:5" x14ac:dyDescent="0.4">
      <c r="D273" s="11" t="s">
        <v>1</v>
      </c>
      <c r="E273" s="1">
        <v>770</v>
      </c>
    </row>
    <row r="274" spans="2:5" x14ac:dyDescent="0.4">
      <c r="D274" s="39" t="s">
        <v>468</v>
      </c>
      <c r="E274" s="1">
        <v>770</v>
      </c>
    </row>
    <row r="275" spans="2:5" x14ac:dyDescent="0.4">
      <c r="B275" s="10" t="s">
        <v>471</v>
      </c>
      <c r="C275" s="10" t="s">
        <v>322</v>
      </c>
      <c r="D275" s="10" t="s">
        <v>316</v>
      </c>
      <c r="E275" s="1">
        <v>3766.66</v>
      </c>
    </row>
    <row r="276" spans="2:5" x14ac:dyDescent="0.4">
      <c r="D276" s="11" t="s">
        <v>1</v>
      </c>
      <c r="E276" s="1">
        <v>3766.66</v>
      </c>
    </row>
    <row r="277" spans="2:5" x14ac:dyDescent="0.4">
      <c r="D277" s="39" t="s">
        <v>468</v>
      </c>
      <c r="E277" s="1">
        <v>3766.66</v>
      </c>
    </row>
    <row r="278" spans="2:5" x14ac:dyDescent="0.4">
      <c r="B278" s="10" t="s">
        <v>472</v>
      </c>
      <c r="C278" s="10" t="s">
        <v>322</v>
      </c>
      <c r="D278" s="10" t="s">
        <v>316</v>
      </c>
      <c r="E278" s="1">
        <v>8520</v>
      </c>
    </row>
    <row r="279" spans="2:5" x14ac:dyDescent="0.4">
      <c r="D279" s="11" t="s">
        <v>4</v>
      </c>
      <c r="E279" s="1">
        <v>8520</v>
      </c>
    </row>
    <row r="280" spans="2:5" x14ac:dyDescent="0.4">
      <c r="D280" s="39" t="s">
        <v>386</v>
      </c>
      <c r="E280" s="1">
        <v>8520</v>
      </c>
    </row>
    <row r="281" spans="2:5" x14ac:dyDescent="0.4">
      <c r="B281" s="10" t="s">
        <v>473</v>
      </c>
      <c r="C281" s="10" t="s">
        <v>322</v>
      </c>
      <c r="D281" s="10" t="s">
        <v>316</v>
      </c>
      <c r="E281" s="1">
        <v>500</v>
      </c>
    </row>
    <row r="282" spans="2:5" x14ac:dyDescent="0.4">
      <c r="D282" s="11" t="s">
        <v>1</v>
      </c>
      <c r="E282" s="1">
        <v>500</v>
      </c>
    </row>
    <row r="283" spans="2:5" x14ac:dyDescent="0.4">
      <c r="D283" s="39" t="s">
        <v>468</v>
      </c>
      <c r="E283" s="1">
        <v>500</v>
      </c>
    </row>
    <row r="284" spans="2:5" x14ac:dyDescent="0.4">
      <c r="B284" s="10" t="s">
        <v>474</v>
      </c>
      <c r="C284" s="10" t="s">
        <v>322</v>
      </c>
      <c r="D284" s="10" t="s">
        <v>316</v>
      </c>
      <c r="E284" s="1">
        <v>2295.7800000000002</v>
      </c>
    </row>
    <row r="285" spans="2:5" x14ac:dyDescent="0.4">
      <c r="D285" s="11" t="s">
        <v>1</v>
      </c>
      <c r="E285" s="1">
        <v>2295.7800000000002</v>
      </c>
    </row>
    <row r="286" spans="2:5" x14ac:dyDescent="0.4">
      <c r="D286" s="39" t="s">
        <v>373</v>
      </c>
      <c r="E286" s="1">
        <v>2295.7800000000002</v>
      </c>
    </row>
    <row r="287" spans="2:5" x14ac:dyDescent="0.4">
      <c r="B287" s="10" t="s">
        <v>475</v>
      </c>
      <c r="C287" s="10" t="s">
        <v>395</v>
      </c>
      <c r="D287" s="10" t="s">
        <v>316</v>
      </c>
      <c r="E287" s="1">
        <v>85.35</v>
      </c>
    </row>
    <row r="288" spans="2:5" x14ac:dyDescent="0.4">
      <c r="D288" s="11" t="s">
        <v>2</v>
      </c>
      <c r="E288" s="1">
        <v>85.35</v>
      </c>
    </row>
    <row r="289" spans="2:5" x14ac:dyDescent="0.4">
      <c r="D289" s="39" t="s">
        <v>465</v>
      </c>
      <c r="E289" s="1">
        <v>85.35</v>
      </c>
    </row>
    <row r="290" spans="2:5" x14ac:dyDescent="0.4">
      <c r="B290" s="10" t="s">
        <v>476</v>
      </c>
      <c r="C290" s="10" t="s">
        <v>322</v>
      </c>
      <c r="D290" s="10" t="s">
        <v>316</v>
      </c>
      <c r="E290" s="1">
        <v>7008.98</v>
      </c>
    </row>
    <row r="291" spans="2:5" x14ac:dyDescent="0.4">
      <c r="D291" s="11" t="s">
        <v>2</v>
      </c>
      <c r="E291" s="1">
        <v>7008.98</v>
      </c>
    </row>
    <row r="292" spans="2:5" x14ac:dyDescent="0.4">
      <c r="D292" s="39" t="s">
        <v>477</v>
      </c>
      <c r="E292" s="1">
        <v>7008.98</v>
      </c>
    </row>
    <row r="293" spans="2:5" x14ac:dyDescent="0.4">
      <c r="B293" s="10" t="s">
        <v>478</v>
      </c>
      <c r="C293" s="10" t="s">
        <v>322</v>
      </c>
      <c r="D293" s="10" t="s">
        <v>316</v>
      </c>
      <c r="E293" s="1">
        <v>460.49</v>
      </c>
    </row>
    <row r="294" spans="2:5" x14ac:dyDescent="0.4">
      <c r="D294" s="11" t="s">
        <v>2</v>
      </c>
      <c r="E294" s="1">
        <v>460.49</v>
      </c>
    </row>
    <row r="295" spans="2:5" x14ac:dyDescent="0.4">
      <c r="D295" s="39" t="s">
        <v>477</v>
      </c>
      <c r="E295" s="1">
        <v>460.49</v>
      </c>
    </row>
    <row r="296" spans="2:5" x14ac:dyDescent="0.4">
      <c r="B296" s="10" t="s">
        <v>479</v>
      </c>
      <c r="C296" s="10" t="s">
        <v>322</v>
      </c>
      <c r="D296" s="10" t="s">
        <v>316</v>
      </c>
      <c r="E296" s="1">
        <v>105</v>
      </c>
    </row>
    <row r="297" spans="2:5" x14ac:dyDescent="0.4">
      <c r="D297" s="11" t="s">
        <v>2</v>
      </c>
      <c r="E297" s="1">
        <v>105</v>
      </c>
    </row>
    <row r="298" spans="2:5" x14ac:dyDescent="0.4">
      <c r="D298" s="39" t="s">
        <v>477</v>
      </c>
      <c r="E298" s="1">
        <v>105</v>
      </c>
    </row>
    <row r="299" spans="2:5" x14ac:dyDescent="0.4">
      <c r="B299" s="10" t="s">
        <v>480</v>
      </c>
      <c r="C299" s="10" t="s">
        <v>322</v>
      </c>
      <c r="D299" s="10" t="s">
        <v>316</v>
      </c>
      <c r="E299" s="1">
        <v>845.81</v>
      </c>
    </row>
    <row r="300" spans="2:5" x14ac:dyDescent="0.4">
      <c r="D300" s="11" t="s">
        <v>2</v>
      </c>
      <c r="E300" s="1">
        <v>845.81</v>
      </c>
    </row>
    <row r="301" spans="2:5" x14ac:dyDescent="0.4">
      <c r="D301" s="39" t="s">
        <v>481</v>
      </c>
      <c r="E301" s="1">
        <v>845.81</v>
      </c>
    </row>
    <row r="302" spans="2:5" x14ac:dyDescent="0.4">
      <c r="B302" s="10" t="s">
        <v>482</v>
      </c>
      <c r="C302" s="10" t="s">
        <v>329</v>
      </c>
      <c r="D302" s="10" t="s">
        <v>316</v>
      </c>
      <c r="E302" s="1">
        <v>419.96</v>
      </c>
    </row>
    <row r="303" spans="2:5" x14ac:dyDescent="0.4">
      <c r="D303" s="11" t="s">
        <v>5</v>
      </c>
      <c r="E303" s="1">
        <v>419.96</v>
      </c>
    </row>
    <row r="304" spans="2:5" x14ac:dyDescent="0.4">
      <c r="D304" s="39" t="s">
        <v>483</v>
      </c>
      <c r="E304" s="1">
        <v>419.96</v>
      </c>
    </row>
    <row r="305" spans="2:5" x14ac:dyDescent="0.4">
      <c r="B305" s="10" t="s">
        <v>484</v>
      </c>
      <c r="C305" s="10" t="s">
        <v>395</v>
      </c>
      <c r="D305" s="10" t="s">
        <v>316</v>
      </c>
      <c r="E305" s="1">
        <v>2998.8</v>
      </c>
    </row>
    <row r="306" spans="2:5" x14ac:dyDescent="0.4">
      <c r="D306" s="11" t="s">
        <v>2</v>
      </c>
      <c r="E306" s="1">
        <v>2998.8</v>
      </c>
    </row>
    <row r="307" spans="2:5" x14ac:dyDescent="0.4">
      <c r="D307" s="39" t="s">
        <v>328</v>
      </c>
      <c r="E307" s="1">
        <v>2998.8</v>
      </c>
    </row>
    <row r="308" spans="2:5" x14ac:dyDescent="0.4">
      <c r="B308" s="10" t="s">
        <v>485</v>
      </c>
      <c r="C308" s="10" t="s">
        <v>322</v>
      </c>
      <c r="D308" s="10" t="s">
        <v>316</v>
      </c>
      <c r="E308" s="1">
        <v>1214.25</v>
      </c>
    </row>
    <row r="309" spans="2:5" x14ac:dyDescent="0.4">
      <c r="D309" s="11" t="s">
        <v>2</v>
      </c>
      <c r="E309" s="1">
        <v>1214.25</v>
      </c>
    </row>
    <row r="310" spans="2:5" x14ac:dyDescent="0.4">
      <c r="D310" s="39" t="s">
        <v>486</v>
      </c>
      <c r="E310" s="1">
        <v>1214.25</v>
      </c>
    </row>
    <row r="311" spans="2:5" x14ac:dyDescent="0.4">
      <c r="B311" s="10" t="s">
        <v>487</v>
      </c>
      <c r="C311" s="10" t="s">
        <v>322</v>
      </c>
      <c r="D311" s="10" t="s">
        <v>316</v>
      </c>
      <c r="E311" s="1">
        <v>161.88999999999999</v>
      </c>
    </row>
    <row r="312" spans="2:5" x14ac:dyDescent="0.4">
      <c r="D312" s="11" t="s">
        <v>2</v>
      </c>
      <c r="E312" s="1">
        <v>161.88999999999999</v>
      </c>
    </row>
    <row r="313" spans="2:5" x14ac:dyDescent="0.4">
      <c r="D313" s="39" t="s">
        <v>486</v>
      </c>
      <c r="E313" s="1">
        <v>161.88999999999999</v>
      </c>
    </row>
    <row r="314" spans="2:5" x14ac:dyDescent="0.4">
      <c r="B314" s="10" t="s">
        <v>488</v>
      </c>
      <c r="C314" s="10" t="s">
        <v>322</v>
      </c>
      <c r="D314" s="10" t="s">
        <v>316</v>
      </c>
      <c r="E314" s="1">
        <v>316.8</v>
      </c>
    </row>
    <row r="315" spans="2:5" x14ac:dyDescent="0.4">
      <c r="D315" s="11" t="s">
        <v>2</v>
      </c>
      <c r="E315" s="1">
        <v>316.8</v>
      </c>
    </row>
    <row r="316" spans="2:5" x14ac:dyDescent="0.4">
      <c r="D316" s="39" t="s">
        <v>489</v>
      </c>
      <c r="E316" s="1">
        <v>316.8</v>
      </c>
    </row>
    <row r="317" spans="2:5" x14ac:dyDescent="0.4">
      <c r="B317" s="10" t="s">
        <v>490</v>
      </c>
      <c r="C317" s="10" t="s">
        <v>322</v>
      </c>
      <c r="D317" s="10" t="s">
        <v>316</v>
      </c>
      <c r="E317" s="1">
        <v>64.39</v>
      </c>
    </row>
    <row r="318" spans="2:5" x14ac:dyDescent="0.4">
      <c r="D318" s="11" t="s">
        <v>2</v>
      </c>
      <c r="E318" s="1">
        <v>64.39</v>
      </c>
    </row>
    <row r="319" spans="2:5" x14ac:dyDescent="0.4">
      <c r="D319" s="39" t="s">
        <v>489</v>
      </c>
      <c r="E319" s="1">
        <v>64.39</v>
      </c>
    </row>
    <row r="320" spans="2:5" x14ac:dyDescent="0.4">
      <c r="B320" s="10" t="s">
        <v>491</v>
      </c>
      <c r="C320" s="10" t="s">
        <v>322</v>
      </c>
      <c r="D320" s="10" t="s">
        <v>316</v>
      </c>
      <c r="E320" s="1">
        <v>878.61</v>
      </c>
    </row>
    <row r="321" spans="2:5" x14ac:dyDescent="0.4">
      <c r="D321" s="11" t="s">
        <v>2</v>
      </c>
      <c r="E321" s="1">
        <v>878.61</v>
      </c>
    </row>
    <row r="322" spans="2:5" x14ac:dyDescent="0.4">
      <c r="D322" s="39" t="s">
        <v>418</v>
      </c>
      <c r="E322" s="1">
        <v>878.61</v>
      </c>
    </row>
    <row r="323" spans="2:5" x14ac:dyDescent="0.4">
      <c r="B323" s="10" t="s">
        <v>492</v>
      </c>
      <c r="C323" s="10" t="s">
        <v>395</v>
      </c>
      <c r="D323" s="10" t="s">
        <v>316</v>
      </c>
      <c r="E323" s="1">
        <v>249.99</v>
      </c>
    </row>
    <row r="324" spans="2:5" x14ac:dyDescent="0.4">
      <c r="D324" s="11" t="s">
        <v>2</v>
      </c>
      <c r="E324" s="1">
        <v>249.99</v>
      </c>
    </row>
    <row r="325" spans="2:5" x14ac:dyDescent="0.4">
      <c r="D325" s="39" t="s">
        <v>418</v>
      </c>
      <c r="E325" s="1">
        <v>249.99</v>
      </c>
    </row>
    <row r="326" spans="2:5" x14ac:dyDescent="0.4">
      <c r="B326" s="10" t="s">
        <v>493</v>
      </c>
      <c r="C326" s="10" t="s">
        <v>322</v>
      </c>
      <c r="D326" s="10" t="s">
        <v>316</v>
      </c>
      <c r="E326" s="1">
        <v>108.78</v>
      </c>
    </row>
    <row r="327" spans="2:5" x14ac:dyDescent="0.4">
      <c r="D327" s="11" t="s">
        <v>2</v>
      </c>
      <c r="E327" s="1">
        <v>108.78</v>
      </c>
    </row>
    <row r="328" spans="2:5" x14ac:dyDescent="0.4">
      <c r="D328" s="39" t="s">
        <v>418</v>
      </c>
      <c r="E328" s="1">
        <v>108.78</v>
      </c>
    </row>
    <row r="329" spans="2:5" x14ac:dyDescent="0.4">
      <c r="B329" s="10" t="s">
        <v>494</v>
      </c>
      <c r="C329" s="10" t="s">
        <v>414</v>
      </c>
      <c r="D329" s="10" t="s">
        <v>316</v>
      </c>
      <c r="E329" s="1">
        <v>7750</v>
      </c>
    </row>
    <row r="330" spans="2:5" x14ac:dyDescent="0.4">
      <c r="D330" s="11" t="s">
        <v>6</v>
      </c>
      <c r="E330" s="1">
        <v>7750</v>
      </c>
    </row>
    <row r="331" spans="2:5" x14ac:dyDescent="0.4">
      <c r="D331" s="39" t="s">
        <v>415</v>
      </c>
      <c r="E331" s="1">
        <v>7750</v>
      </c>
    </row>
    <row r="332" spans="2:5" x14ac:dyDescent="0.4">
      <c r="B332" s="10" t="s">
        <v>495</v>
      </c>
      <c r="C332" s="10" t="s">
        <v>322</v>
      </c>
      <c r="D332" s="10" t="s">
        <v>316</v>
      </c>
      <c r="E332" s="1">
        <v>7900</v>
      </c>
    </row>
    <row r="333" spans="2:5" x14ac:dyDescent="0.4">
      <c r="D333" s="11" t="s">
        <v>2</v>
      </c>
      <c r="E333" s="1">
        <v>7900</v>
      </c>
    </row>
    <row r="334" spans="2:5" x14ac:dyDescent="0.4">
      <c r="D334" s="39" t="s">
        <v>328</v>
      </c>
      <c r="E334" s="1">
        <v>7900</v>
      </c>
    </row>
    <row r="335" spans="2:5" x14ac:dyDescent="0.4">
      <c r="B335" s="10" t="s">
        <v>496</v>
      </c>
      <c r="C335" s="10" t="s">
        <v>329</v>
      </c>
      <c r="D335" s="10" t="s">
        <v>316</v>
      </c>
      <c r="E335" s="1">
        <v>0</v>
      </c>
    </row>
    <row r="336" spans="2:5" x14ac:dyDescent="0.4">
      <c r="D336" s="11" t="s">
        <v>2</v>
      </c>
      <c r="E336" s="1">
        <v>0</v>
      </c>
    </row>
    <row r="337" spans="2:5" x14ac:dyDescent="0.4">
      <c r="D337" s="39" t="s">
        <v>328</v>
      </c>
      <c r="E337" s="1">
        <v>0</v>
      </c>
    </row>
    <row r="338" spans="2:5" x14ac:dyDescent="0.4">
      <c r="B338" s="10" t="s">
        <v>497</v>
      </c>
      <c r="C338" s="10" t="s">
        <v>329</v>
      </c>
      <c r="D338" s="10" t="s">
        <v>316</v>
      </c>
      <c r="E338" s="1">
        <v>0</v>
      </c>
    </row>
    <row r="339" spans="2:5" x14ac:dyDescent="0.4">
      <c r="D339" s="11" t="s">
        <v>5</v>
      </c>
      <c r="E339" s="1">
        <v>0</v>
      </c>
    </row>
    <row r="340" spans="2:5" x14ac:dyDescent="0.4">
      <c r="D340" s="39" t="s">
        <v>498</v>
      </c>
      <c r="E340" s="1">
        <v>0</v>
      </c>
    </row>
    <row r="341" spans="2:5" x14ac:dyDescent="0.4">
      <c r="B341" s="10" t="s">
        <v>499</v>
      </c>
      <c r="C341" s="10" t="s">
        <v>322</v>
      </c>
      <c r="D341" s="10" t="s">
        <v>316</v>
      </c>
      <c r="E341" s="1">
        <v>860.84</v>
      </c>
    </row>
    <row r="342" spans="2:5" x14ac:dyDescent="0.4">
      <c r="D342" s="11" t="s">
        <v>2</v>
      </c>
      <c r="E342" s="1">
        <v>860.84</v>
      </c>
    </row>
    <row r="343" spans="2:5" x14ac:dyDescent="0.4">
      <c r="D343" s="39" t="s">
        <v>500</v>
      </c>
      <c r="E343" s="1">
        <v>860.84</v>
      </c>
    </row>
    <row r="344" spans="2:5" x14ac:dyDescent="0.4">
      <c r="B344" s="10" t="s">
        <v>501</v>
      </c>
      <c r="C344" s="10" t="s">
        <v>318</v>
      </c>
      <c r="D344" s="10" t="s">
        <v>316</v>
      </c>
      <c r="E344" s="1">
        <v>10140</v>
      </c>
    </row>
    <row r="345" spans="2:5" x14ac:dyDescent="0.4">
      <c r="D345" s="11" t="s">
        <v>5</v>
      </c>
      <c r="E345" s="1">
        <v>10140</v>
      </c>
    </row>
    <row r="346" spans="2:5" x14ac:dyDescent="0.4">
      <c r="D346" s="39" t="s">
        <v>359</v>
      </c>
      <c r="E346" s="1">
        <v>10140</v>
      </c>
    </row>
    <row r="347" spans="2:5" x14ac:dyDescent="0.4">
      <c r="B347" s="10" t="s">
        <v>502</v>
      </c>
      <c r="C347" s="10" t="s">
        <v>322</v>
      </c>
      <c r="D347" s="10" t="s">
        <v>316</v>
      </c>
      <c r="E347" s="1">
        <v>119</v>
      </c>
    </row>
    <row r="348" spans="2:5" x14ac:dyDescent="0.4">
      <c r="D348" s="11" t="s">
        <v>2</v>
      </c>
      <c r="E348" s="1">
        <v>119</v>
      </c>
    </row>
    <row r="349" spans="2:5" x14ac:dyDescent="0.4">
      <c r="D349" s="39" t="s">
        <v>321</v>
      </c>
      <c r="E349" s="1">
        <v>119</v>
      </c>
    </row>
    <row r="350" spans="2:5" x14ac:dyDescent="0.4">
      <c r="B350" s="10" t="s">
        <v>503</v>
      </c>
      <c r="C350" s="10" t="s">
        <v>322</v>
      </c>
      <c r="D350" s="10" t="s">
        <v>316</v>
      </c>
      <c r="E350" s="1">
        <v>430.42</v>
      </c>
    </row>
    <row r="351" spans="2:5" x14ac:dyDescent="0.4">
      <c r="D351" s="11" t="s">
        <v>2</v>
      </c>
      <c r="E351" s="1">
        <v>430.42</v>
      </c>
    </row>
    <row r="352" spans="2:5" x14ac:dyDescent="0.4">
      <c r="D352" s="39" t="s">
        <v>321</v>
      </c>
      <c r="E352" s="1">
        <v>430.42</v>
      </c>
    </row>
    <row r="353" spans="2:5" x14ac:dyDescent="0.4">
      <c r="B353" s="10" t="s">
        <v>504</v>
      </c>
      <c r="C353" s="10" t="s">
        <v>322</v>
      </c>
      <c r="D353" s="10" t="s">
        <v>316</v>
      </c>
      <c r="E353" s="1">
        <v>1666.95</v>
      </c>
    </row>
    <row r="354" spans="2:5" x14ac:dyDescent="0.4">
      <c r="D354" s="11" t="s">
        <v>2</v>
      </c>
      <c r="E354" s="1">
        <v>1666.95</v>
      </c>
    </row>
    <row r="355" spans="2:5" x14ac:dyDescent="0.4">
      <c r="D355" s="39" t="s">
        <v>321</v>
      </c>
      <c r="E355" s="1">
        <v>1666.95</v>
      </c>
    </row>
    <row r="356" spans="2:5" x14ac:dyDescent="0.4">
      <c r="B356" s="10" t="s">
        <v>505</v>
      </c>
      <c r="C356" s="10" t="s">
        <v>322</v>
      </c>
      <c r="D356" s="10" t="s">
        <v>316</v>
      </c>
      <c r="E356" s="1">
        <v>2500</v>
      </c>
    </row>
    <row r="357" spans="2:5" x14ac:dyDescent="0.4">
      <c r="D357" s="11" t="s">
        <v>2</v>
      </c>
      <c r="E357" s="1">
        <v>2500</v>
      </c>
    </row>
    <row r="358" spans="2:5" x14ac:dyDescent="0.4">
      <c r="D358" s="39" t="s">
        <v>328</v>
      </c>
      <c r="E358" s="1">
        <v>2500</v>
      </c>
    </row>
    <row r="359" spans="2:5" x14ac:dyDescent="0.4">
      <c r="B359" s="10" t="s">
        <v>506</v>
      </c>
      <c r="C359" s="10" t="s">
        <v>322</v>
      </c>
      <c r="D359" s="10" t="s">
        <v>316</v>
      </c>
      <c r="E359" s="1">
        <v>7818</v>
      </c>
    </row>
    <row r="360" spans="2:5" x14ac:dyDescent="0.4">
      <c r="D360" s="11" t="s">
        <v>2</v>
      </c>
      <c r="E360" s="1">
        <v>7818</v>
      </c>
    </row>
    <row r="361" spans="2:5" x14ac:dyDescent="0.4">
      <c r="D361" s="39" t="s">
        <v>507</v>
      </c>
      <c r="E361" s="1">
        <v>7818</v>
      </c>
    </row>
    <row r="362" spans="2:5" x14ac:dyDescent="0.4">
      <c r="B362" s="10" t="s">
        <v>508</v>
      </c>
      <c r="C362" s="10" t="s">
        <v>361</v>
      </c>
      <c r="D362" s="10" t="s">
        <v>316</v>
      </c>
      <c r="E362" s="1">
        <v>96</v>
      </c>
    </row>
    <row r="363" spans="2:5" x14ac:dyDescent="0.4">
      <c r="D363" s="11" t="s">
        <v>3</v>
      </c>
      <c r="E363" s="1">
        <v>96</v>
      </c>
    </row>
    <row r="364" spans="2:5" x14ac:dyDescent="0.4">
      <c r="D364" s="39" t="s">
        <v>509</v>
      </c>
      <c r="E364" s="1">
        <v>96</v>
      </c>
    </row>
    <row r="365" spans="2:5" x14ac:dyDescent="0.4">
      <c r="B365" s="10" t="s">
        <v>510</v>
      </c>
      <c r="C365" s="10" t="s">
        <v>395</v>
      </c>
      <c r="D365" s="10" t="s">
        <v>316</v>
      </c>
      <c r="E365" s="1">
        <v>319.83999999999997</v>
      </c>
    </row>
    <row r="366" spans="2:5" x14ac:dyDescent="0.4">
      <c r="D366" s="11" t="s">
        <v>2</v>
      </c>
      <c r="E366" s="1">
        <v>319.83999999999997</v>
      </c>
    </row>
    <row r="367" spans="2:5" x14ac:dyDescent="0.4">
      <c r="D367" s="39" t="s">
        <v>328</v>
      </c>
      <c r="E367" s="1">
        <v>319.83999999999997</v>
      </c>
    </row>
    <row r="368" spans="2:5" x14ac:dyDescent="0.4">
      <c r="B368" s="10" t="s">
        <v>511</v>
      </c>
      <c r="C368" s="10" t="s">
        <v>322</v>
      </c>
      <c r="D368" s="10" t="s">
        <v>316</v>
      </c>
      <c r="E368" s="1">
        <v>35.99</v>
      </c>
    </row>
    <row r="369" spans="2:5" x14ac:dyDescent="0.4">
      <c r="D369" s="11" t="s">
        <v>2</v>
      </c>
      <c r="E369" s="1">
        <v>35.99</v>
      </c>
    </row>
    <row r="370" spans="2:5" x14ac:dyDescent="0.4">
      <c r="D370" s="39" t="s">
        <v>512</v>
      </c>
      <c r="E370" s="1">
        <v>35.99</v>
      </c>
    </row>
    <row r="371" spans="2:5" x14ac:dyDescent="0.4">
      <c r="B371" s="10" t="s">
        <v>513</v>
      </c>
      <c r="C371" s="10" t="s">
        <v>322</v>
      </c>
      <c r="D371" s="10" t="s">
        <v>316</v>
      </c>
      <c r="E371" s="1">
        <v>310.44</v>
      </c>
    </row>
    <row r="372" spans="2:5" x14ac:dyDescent="0.4">
      <c r="D372" s="11" t="s">
        <v>3</v>
      </c>
      <c r="E372" s="1">
        <v>310.44</v>
      </c>
    </row>
    <row r="373" spans="2:5" x14ac:dyDescent="0.4">
      <c r="D373" s="39" t="s">
        <v>514</v>
      </c>
      <c r="E373" s="1">
        <v>310.44</v>
      </c>
    </row>
    <row r="374" spans="2:5" x14ac:dyDescent="0.4">
      <c r="B374" s="10" t="s">
        <v>515</v>
      </c>
      <c r="C374" s="10" t="s">
        <v>322</v>
      </c>
      <c r="D374" s="10" t="s">
        <v>316</v>
      </c>
      <c r="E374" s="1">
        <v>95</v>
      </c>
    </row>
    <row r="375" spans="2:5" x14ac:dyDescent="0.4">
      <c r="D375" s="11" t="s">
        <v>3</v>
      </c>
      <c r="E375" s="1">
        <v>95</v>
      </c>
    </row>
    <row r="376" spans="2:5" x14ac:dyDescent="0.4">
      <c r="D376" s="39" t="s">
        <v>516</v>
      </c>
      <c r="E376" s="1">
        <v>95</v>
      </c>
    </row>
    <row r="377" spans="2:5" x14ac:dyDescent="0.4">
      <c r="B377" s="10" t="s">
        <v>517</v>
      </c>
      <c r="C377" s="10" t="s">
        <v>318</v>
      </c>
      <c r="D377" s="10" t="s">
        <v>316</v>
      </c>
      <c r="E377" s="1">
        <v>310</v>
      </c>
    </row>
    <row r="378" spans="2:5" x14ac:dyDescent="0.4">
      <c r="D378" s="11" t="s">
        <v>5</v>
      </c>
      <c r="E378" s="1">
        <v>310</v>
      </c>
    </row>
    <row r="379" spans="2:5" x14ac:dyDescent="0.4">
      <c r="D379" s="39" t="s">
        <v>359</v>
      </c>
      <c r="E379" s="1">
        <v>310</v>
      </c>
    </row>
    <row r="380" spans="2:5" x14ac:dyDescent="0.4">
      <c r="B380" s="10" t="s">
        <v>518</v>
      </c>
      <c r="C380" s="10" t="s">
        <v>322</v>
      </c>
      <c r="D380" s="10" t="s">
        <v>316</v>
      </c>
      <c r="E380" s="1">
        <v>10154.530000000001</v>
      </c>
    </row>
    <row r="381" spans="2:5" x14ac:dyDescent="0.4">
      <c r="D381" s="11" t="s">
        <v>5</v>
      </c>
      <c r="E381" s="1">
        <v>10154.530000000001</v>
      </c>
    </row>
    <row r="382" spans="2:5" x14ac:dyDescent="0.4">
      <c r="D382" s="39" t="s">
        <v>359</v>
      </c>
      <c r="E382" s="1">
        <v>10154.530000000001</v>
      </c>
    </row>
    <row r="383" spans="2:5" x14ac:dyDescent="0.4">
      <c r="B383" s="10" t="s">
        <v>519</v>
      </c>
      <c r="C383" s="10" t="s">
        <v>322</v>
      </c>
      <c r="D383" s="10" t="s">
        <v>316</v>
      </c>
      <c r="E383" s="1">
        <v>420</v>
      </c>
    </row>
    <row r="384" spans="2:5" x14ac:dyDescent="0.4">
      <c r="D384" s="11" t="s">
        <v>3</v>
      </c>
      <c r="E384" s="1">
        <v>420</v>
      </c>
    </row>
    <row r="385" spans="2:5" x14ac:dyDescent="0.4">
      <c r="D385" s="39" t="s">
        <v>520</v>
      </c>
      <c r="E385" s="1">
        <v>420</v>
      </c>
    </row>
    <row r="386" spans="2:5" x14ac:dyDescent="0.4">
      <c r="B386" s="10" t="s">
        <v>521</v>
      </c>
      <c r="C386" s="10" t="s">
        <v>322</v>
      </c>
      <c r="D386" s="10" t="s">
        <v>316</v>
      </c>
      <c r="E386" s="1">
        <v>479.98</v>
      </c>
    </row>
    <row r="387" spans="2:5" x14ac:dyDescent="0.4">
      <c r="D387" s="11" t="s">
        <v>3</v>
      </c>
      <c r="E387" s="1">
        <v>239.99</v>
      </c>
    </row>
    <row r="388" spans="2:5" x14ac:dyDescent="0.4">
      <c r="D388" s="39" t="s">
        <v>343</v>
      </c>
      <c r="E388" s="1">
        <v>239.99</v>
      </c>
    </row>
    <row r="389" spans="2:5" x14ac:dyDescent="0.4">
      <c r="D389" s="11" t="s">
        <v>4</v>
      </c>
      <c r="E389" s="1">
        <v>239.99</v>
      </c>
    </row>
    <row r="390" spans="2:5" x14ac:dyDescent="0.4">
      <c r="D390" s="39" t="s">
        <v>423</v>
      </c>
      <c r="E390" s="1">
        <v>239.99</v>
      </c>
    </row>
    <row r="391" spans="2:5" x14ac:dyDescent="0.4">
      <c r="B391" s="10" t="s">
        <v>522</v>
      </c>
      <c r="C391" s="10" t="s">
        <v>322</v>
      </c>
      <c r="D391" s="10" t="s">
        <v>316</v>
      </c>
      <c r="E391" s="1">
        <v>297</v>
      </c>
    </row>
    <row r="392" spans="2:5" x14ac:dyDescent="0.4">
      <c r="D392" s="11" t="s">
        <v>3</v>
      </c>
      <c r="E392" s="1">
        <v>297</v>
      </c>
    </row>
    <row r="393" spans="2:5" x14ac:dyDescent="0.4">
      <c r="D393" s="39" t="s">
        <v>343</v>
      </c>
      <c r="E393" s="1">
        <v>297</v>
      </c>
    </row>
    <row r="394" spans="2:5" x14ac:dyDescent="0.4">
      <c r="B394" s="10" t="s">
        <v>523</v>
      </c>
      <c r="C394" s="10" t="s">
        <v>322</v>
      </c>
      <c r="D394" s="10" t="s">
        <v>316</v>
      </c>
      <c r="E394" s="1">
        <v>735</v>
      </c>
    </row>
    <row r="395" spans="2:5" x14ac:dyDescent="0.4">
      <c r="D395" s="11" t="s">
        <v>4</v>
      </c>
      <c r="E395" s="1">
        <v>735</v>
      </c>
    </row>
    <row r="396" spans="2:5" x14ac:dyDescent="0.4">
      <c r="D396" s="39" t="s">
        <v>386</v>
      </c>
      <c r="E396" s="1">
        <v>735</v>
      </c>
    </row>
    <row r="397" spans="2:5" x14ac:dyDescent="0.4">
      <c r="B397" s="10" t="s">
        <v>524</v>
      </c>
      <c r="C397" s="10" t="s">
        <v>395</v>
      </c>
      <c r="D397" s="10" t="s">
        <v>316</v>
      </c>
      <c r="E397" s="1">
        <v>2579.4</v>
      </c>
    </row>
    <row r="398" spans="2:5" x14ac:dyDescent="0.4">
      <c r="D398" s="11" t="s">
        <v>3</v>
      </c>
      <c r="E398" s="1">
        <v>2579.4</v>
      </c>
    </row>
    <row r="399" spans="2:5" x14ac:dyDescent="0.4">
      <c r="D399" s="39" t="s">
        <v>343</v>
      </c>
      <c r="E399" s="1">
        <v>2579.4</v>
      </c>
    </row>
    <row r="400" spans="2:5" x14ac:dyDescent="0.4">
      <c r="B400" s="10" t="s">
        <v>525</v>
      </c>
      <c r="C400" s="10" t="s">
        <v>322</v>
      </c>
      <c r="D400" s="10" t="s">
        <v>316</v>
      </c>
      <c r="E400" s="1">
        <v>179</v>
      </c>
    </row>
    <row r="401" spans="2:5" x14ac:dyDescent="0.4">
      <c r="D401" s="11" t="s">
        <v>3</v>
      </c>
      <c r="E401" s="1">
        <v>179</v>
      </c>
    </row>
    <row r="402" spans="2:5" x14ac:dyDescent="0.4">
      <c r="D402" s="39" t="s">
        <v>343</v>
      </c>
      <c r="E402" s="1">
        <v>179</v>
      </c>
    </row>
    <row r="403" spans="2:5" x14ac:dyDescent="0.4">
      <c r="B403" s="10" t="s">
        <v>526</v>
      </c>
      <c r="C403" s="10" t="s">
        <v>361</v>
      </c>
      <c r="D403" s="10" t="s">
        <v>316</v>
      </c>
      <c r="E403" s="1">
        <v>1830</v>
      </c>
    </row>
    <row r="404" spans="2:5" x14ac:dyDescent="0.4">
      <c r="D404" s="11" t="s">
        <v>5</v>
      </c>
      <c r="E404" s="1">
        <v>1830</v>
      </c>
    </row>
    <row r="405" spans="2:5" x14ac:dyDescent="0.4">
      <c r="D405" s="39" t="s">
        <v>359</v>
      </c>
      <c r="E405" s="1">
        <v>1830</v>
      </c>
    </row>
    <row r="406" spans="2:5" x14ac:dyDescent="0.4">
      <c r="B406" s="10" t="s">
        <v>527</v>
      </c>
      <c r="C406" s="10" t="s">
        <v>322</v>
      </c>
      <c r="D406" s="10" t="s">
        <v>316</v>
      </c>
      <c r="E406" s="1">
        <v>107.99</v>
      </c>
    </row>
    <row r="407" spans="2:5" x14ac:dyDescent="0.4">
      <c r="D407" s="11" t="s">
        <v>3</v>
      </c>
      <c r="E407" s="1">
        <v>107.99</v>
      </c>
    </row>
    <row r="408" spans="2:5" x14ac:dyDescent="0.4">
      <c r="D408" s="39" t="s">
        <v>429</v>
      </c>
      <c r="E408" s="1">
        <v>107.99</v>
      </c>
    </row>
    <row r="409" spans="2:5" x14ac:dyDescent="0.4">
      <c r="B409" s="10" t="s">
        <v>528</v>
      </c>
      <c r="C409" s="10" t="s">
        <v>395</v>
      </c>
      <c r="D409" s="10" t="s">
        <v>316</v>
      </c>
      <c r="E409" s="1">
        <v>3075.3</v>
      </c>
    </row>
    <row r="410" spans="2:5" x14ac:dyDescent="0.4">
      <c r="D410" s="11" t="s">
        <v>3</v>
      </c>
      <c r="E410" s="1">
        <v>3075.3</v>
      </c>
    </row>
    <row r="411" spans="2:5" x14ac:dyDescent="0.4">
      <c r="D411" s="39" t="s">
        <v>529</v>
      </c>
      <c r="E411" s="1">
        <v>3075.3</v>
      </c>
    </row>
    <row r="412" spans="2:5" x14ac:dyDescent="0.4">
      <c r="B412" s="10" t="s">
        <v>530</v>
      </c>
      <c r="C412" s="10" t="s">
        <v>322</v>
      </c>
      <c r="D412" s="10" t="s">
        <v>316</v>
      </c>
      <c r="E412" s="1">
        <v>165.06</v>
      </c>
    </row>
    <row r="413" spans="2:5" x14ac:dyDescent="0.4">
      <c r="D413" s="11" t="s">
        <v>3</v>
      </c>
      <c r="E413" s="1">
        <v>165.06</v>
      </c>
    </row>
    <row r="414" spans="2:5" x14ac:dyDescent="0.4">
      <c r="D414" s="39" t="s">
        <v>529</v>
      </c>
      <c r="E414" s="1">
        <v>165.06</v>
      </c>
    </row>
    <row r="415" spans="2:5" x14ac:dyDescent="0.4">
      <c r="B415" s="10" t="s">
        <v>531</v>
      </c>
      <c r="C415" s="10" t="s">
        <v>322</v>
      </c>
      <c r="D415" s="10" t="s">
        <v>316</v>
      </c>
      <c r="E415" s="1">
        <v>3241.9</v>
      </c>
    </row>
    <row r="416" spans="2:5" x14ac:dyDescent="0.4">
      <c r="D416" s="11" t="s">
        <v>3</v>
      </c>
      <c r="E416" s="1">
        <v>3241.9</v>
      </c>
    </row>
    <row r="417" spans="2:5" x14ac:dyDescent="0.4">
      <c r="D417" s="39" t="s">
        <v>529</v>
      </c>
      <c r="E417" s="1">
        <v>3241.9</v>
      </c>
    </row>
    <row r="418" spans="2:5" x14ac:dyDescent="0.4">
      <c r="B418" s="10" t="s">
        <v>532</v>
      </c>
      <c r="C418" s="10" t="s">
        <v>322</v>
      </c>
      <c r="D418" s="10" t="s">
        <v>316</v>
      </c>
      <c r="E418" s="1">
        <v>576</v>
      </c>
    </row>
    <row r="419" spans="2:5" x14ac:dyDescent="0.4">
      <c r="D419" s="11" t="s">
        <v>4</v>
      </c>
      <c r="E419" s="1">
        <v>576</v>
      </c>
    </row>
    <row r="420" spans="2:5" x14ac:dyDescent="0.4">
      <c r="D420" s="39" t="s">
        <v>533</v>
      </c>
      <c r="E420" s="1">
        <v>576</v>
      </c>
    </row>
    <row r="421" spans="2:5" x14ac:dyDescent="0.4">
      <c r="B421" s="10" t="s">
        <v>534</v>
      </c>
      <c r="C421" s="10" t="s">
        <v>322</v>
      </c>
      <c r="D421" s="10" t="s">
        <v>316</v>
      </c>
      <c r="E421" s="1">
        <v>1537.65</v>
      </c>
    </row>
    <row r="422" spans="2:5" x14ac:dyDescent="0.4">
      <c r="D422" s="11" t="s">
        <v>4</v>
      </c>
      <c r="E422" s="1">
        <v>1537.65</v>
      </c>
    </row>
    <row r="423" spans="2:5" x14ac:dyDescent="0.4">
      <c r="D423" s="39" t="s">
        <v>535</v>
      </c>
      <c r="E423" s="1">
        <v>1537.65</v>
      </c>
    </row>
    <row r="424" spans="2:5" x14ac:dyDescent="0.4">
      <c r="B424" s="10" t="s">
        <v>536</v>
      </c>
      <c r="C424" s="10" t="s">
        <v>322</v>
      </c>
      <c r="D424" s="10" t="s">
        <v>316</v>
      </c>
      <c r="E424" s="1">
        <v>1225</v>
      </c>
    </row>
    <row r="425" spans="2:5" x14ac:dyDescent="0.4">
      <c r="D425" s="11" t="s">
        <v>4</v>
      </c>
      <c r="E425" s="1">
        <v>1225</v>
      </c>
    </row>
    <row r="426" spans="2:5" x14ac:dyDescent="0.4">
      <c r="D426" s="39" t="s">
        <v>537</v>
      </c>
      <c r="E426" s="1">
        <v>1225</v>
      </c>
    </row>
    <row r="427" spans="2:5" x14ac:dyDescent="0.4">
      <c r="B427" s="10" t="s">
        <v>538</v>
      </c>
      <c r="C427" s="10" t="s">
        <v>539</v>
      </c>
      <c r="D427" s="10" t="s">
        <v>316</v>
      </c>
      <c r="E427" s="1">
        <v>636</v>
      </c>
    </row>
    <row r="428" spans="2:5" x14ac:dyDescent="0.4">
      <c r="D428" s="11" t="s">
        <v>5</v>
      </c>
      <c r="E428" s="1">
        <v>636</v>
      </c>
    </row>
    <row r="429" spans="2:5" x14ac:dyDescent="0.4">
      <c r="D429" s="39" t="s">
        <v>359</v>
      </c>
      <c r="E429" s="1">
        <v>636</v>
      </c>
    </row>
    <row r="430" spans="2:5" x14ac:dyDescent="0.4">
      <c r="B430" s="10" t="s">
        <v>540</v>
      </c>
      <c r="C430" s="10" t="s">
        <v>361</v>
      </c>
      <c r="D430" s="10" t="s">
        <v>316</v>
      </c>
      <c r="E430" s="1">
        <v>0</v>
      </c>
    </row>
    <row r="431" spans="2:5" x14ac:dyDescent="0.4">
      <c r="D431" s="11" t="s">
        <v>4</v>
      </c>
      <c r="E431" s="1">
        <v>0</v>
      </c>
    </row>
    <row r="432" spans="2:5" x14ac:dyDescent="0.4">
      <c r="D432" s="39" t="s">
        <v>386</v>
      </c>
      <c r="E432" s="1">
        <v>0</v>
      </c>
    </row>
    <row r="433" spans="2:5" x14ac:dyDescent="0.4">
      <c r="B433" s="10" t="s">
        <v>541</v>
      </c>
      <c r="C433" s="10" t="s">
        <v>322</v>
      </c>
      <c r="D433" s="10" t="s">
        <v>316</v>
      </c>
      <c r="E433" s="1">
        <v>465</v>
      </c>
    </row>
    <row r="434" spans="2:5" x14ac:dyDescent="0.4">
      <c r="D434" s="11" t="s">
        <v>4</v>
      </c>
      <c r="E434" s="1">
        <v>465</v>
      </c>
    </row>
    <row r="435" spans="2:5" x14ac:dyDescent="0.4">
      <c r="D435" s="39" t="s">
        <v>542</v>
      </c>
      <c r="E435" s="1">
        <v>465</v>
      </c>
    </row>
    <row r="436" spans="2:5" x14ac:dyDescent="0.4">
      <c r="B436" s="10" t="s">
        <v>543</v>
      </c>
      <c r="C436" s="10" t="s">
        <v>539</v>
      </c>
      <c r="D436" s="10" t="s">
        <v>316</v>
      </c>
      <c r="E436" s="1">
        <v>0</v>
      </c>
    </row>
    <row r="437" spans="2:5" x14ac:dyDescent="0.4">
      <c r="D437" s="11" t="s">
        <v>5</v>
      </c>
      <c r="E437" s="1">
        <v>0</v>
      </c>
    </row>
    <row r="438" spans="2:5" x14ac:dyDescent="0.4">
      <c r="D438" s="39" t="s">
        <v>359</v>
      </c>
      <c r="E438" s="1">
        <v>0</v>
      </c>
    </row>
    <row r="439" spans="2:5" x14ac:dyDescent="0.4">
      <c r="B439" s="10" t="s">
        <v>544</v>
      </c>
      <c r="C439" s="10" t="s">
        <v>318</v>
      </c>
      <c r="D439" s="10" t="s">
        <v>316</v>
      </c>
      <c r="E439" s="1">
        <v>500</v>
      </c>
    </row>
    <row r="440" spans="2:5" x14ac:dyDescent="0.4">
      <c r="D440" s="11" t="s">
        <v>5</v>
      </c>
      <c r="E440" s="1">
        <v>500</v>
      </c>
    </row>
    <row r="441" spans="2:5" x14ac:dyDescent="0.4">
      <c r="D441" s="39" t="s">
        <v>359</v>
      </c>
      <c r="E441" s="1">
        <v>500</v>
      </c>
    </row>
    <row r="442" spans="2:5" x14ac:dyDescent="0.4">
      <c r="B442" s="10" t="s">
        <v>545</v>
      </c>
      <c r="C442" s="10" t="s">
        <v>322</v>
      </c>
      <c r="D442" s="10" t="s">
        <v>316</v>
      </c>
      <c r="E442" s="1">
        <v>177.62</v>
      </c>
    </row>
    <row r="443" spans="2:5" x14ac:dyDescent="0.4">
      <c r="D443" s="11" t="s">
        <v>4</v>
      </c>
      <c r="E443" s="1">
        <v>177.62</v>
      </c>
    </row>
    <row r="444" spans="2:5" x14ac:dyDescent="0.4">
      <c r="D444" s="39" t="s">
        <v>542</v>
      </c>
      <c r="E444" s="1">
        <v>177.62</v>
      </c>
    </row>
    <row r="445" spans="2:5" x14ac:dyDescent="0.4">
      <c r="B445" s="10" t="s">
        <v>546</v>
      </c>
      <c r="C445" s="10" t="s">
        <v>322</v>
      </c>
      <c r="D445" s="10" t="s">
        <v>316</v>
      </c>
      <c r="E445" s="1">
        <v>179.97</v>
      </c>
    </row>
    <row r="446" spans="2:5" x14ac:dyDescent="0.4">
      <c r="D446" s="11" t="s">
        <v>4</v>
      </c>
      <c r="E446" s="1">
        <v>179.97</v>
      </c>
    </row>
    <row r="447" spans="2:5" x14ac:dyDescent="0.4">
      <c r="D447" s="39" t="s">
        <v>423</v>
      </c>
      <c r="E447" s="1">
        <v>179.97</v>
      </c>
    </row>
    <row r="448" spans="2:5" x14ac:dyDescent="0.4">
      <c r="B448" s="10" t="s">
        <v>547</v>
      </c>
      <c r="C448" s="10" t="s">
        <v>322</v>
      </c>
      <c r="D448" s="10" t="s">
        <v>316</v>
      </c>
      <c r="E448" s="1">
        <v>1469.74</v>
      </c>
    </row>
    <row r="449" spans="2:5" x14ac:dyDescent="0.4">
      <c r="D449" s="11" t="s">
        <v>4</v>
      </c>
      <c r="E449" s="1">
        <v>1469.74</v>
      </c>
    </row>
    <row r="450" spans="2:5" x14ac:dyDescent="0.4">
      <c r="D450" s="39" t="s">
        <v>542</v>
      </c>
      <c r="E450" s="1">
        <v>1469.74</v>
      </c>
    </row>
    <row r="451" spans="2:5" x14ac:dyDescent="0.4">
      <c r="B451" s="10" t="s">
        <v>548</v>
      </c>
      <c r="C451" s="10" t="s">
        <v>322</v>
      </c>
      <c r="D451" s="10" t="s">
        <v>316</v>
      </c>
      <c r="E451" s="1">
        <v>1280.49</v>
      </c>
    </row>
    <row r="452" spans="2:5" x14ac:dyDescent="0.4">
      <c r="D452" s="11" t="s">
        <v>4</v>
      </c>
      <c r="E452" s="1">
        <v>1280.49</v>
      </c>
    </row>
    <row r="453" spans="2:5" x14ac:dyDescent="0.4">
      <c r="D453" s="39" t="s">
        <v>549</v>
      </c>
      <c r="E453" s="1">
        <v>1280.49</v>
      </c>
    </row>
    <row r="454" spans="2:5" x14ac:dyDescent="0.4">
      <c r="B454" s="10" t="s">
        <v>550</v>
      </c>
      <c r="C454" s="10" t="s">
        <v>361</v>
      </c>
      <c r="D454" s="10" t="s">
        <v>316</v>
      </c>
      <c r="E454" s="1">
        <v>2289.5</v>
      </c>
    </row>
    <row r="455" spans="2:5" x14ac:dyDescent="0.4">
      <c r="D455" s="11" t="s">
        <v>5</v>
      </c>
      <c r="E455" s="1">
        <v>2289.5</v>
      </c>
    </row>
    <row r="456" spans="2:5" x14ac:dyDescent="0.4">
      <c r="D456" s="39" t="s">
        <v>359</v>
      </c>
      <c r="E456" s="1">
        <v>2289.5</v>
      </c>
    </row>
    <row r="457" spans="2:5" x14ac:dyDescent="0.4">
      <c r="B457" s="10" t="s">
        <v>551</v>
      </c>
      <c r="C457" s="10" t="s">
        <v>322</v>
      </c>
      <c r="D457" s="10" t="s">
        <v>316</v>
      </c>
      <c r="E457" s="1">
        <v>559.57000000000005</v>
      </c>
    </row>
    <row r="458" spans="2:5" x14ac:dyDescent="0.4">
      <c r="D458" s="11" t="s">
        <v>4</v>
      </c>
      <c r="E458" s="1">
        <v>559.57000000000005</v>
      </c>
    </row>
    <row r="459" spans="2:5" x14ac:dyDescent="0.4">
      <c r="D459" s="39" t="s">
        <v>552</v>
      </c>
      <c r="E459" s="1">
        <v>559.57000000000005</v>
      </c>
    </row>
    <row r="460" spans="2:5" x14ac:dyDescent="0.4">
      <c r="B460" s="10" t="s">
        <v>553</v>
      </c>
      <c r="C460" s="10" t="s">
        <v>361</v>
      </c>
      <c r="D460" s="10" t="s">
        <v>316</v>
      </c>
      <c r="E460" s="1">
        <v>0</v>
      </c>
    </row>
    <row r="461" spans="2:5" x14ac:dyDescent="0.4">
      <c r="D461" s="11" t="s">
        <v>5</v>
      </c>
      <c r="E461" s="1">
        <v>0</v>
      </c>
    </row>
    <row r="462" spans="2:5" x14ac:dyDescent="0.4">
      <c r="D462" s="39" t="s">
        <v>359</v>
      </c>
      <c r="E462" s="1">
        <v>0</v>
      </c>
    </row>
    <row r="463" spans="2:5" x14ac:dyDescent="0.4">
      <c r="B463" s="10" t="s">
        <v>554</v>
      </c>
      <c r="C463" s="10" t="s">
        <v>322</v>
      </c>
      <c r="D463" s="10" t="s">
        <v>316</v>
      </c>
      <c r="E463" s="1">
        <v>2869.58</v>
      </c>
    </row>
    <row r="464" spans="2:5" x14ac:dyDescent="0.4">
      <c r="D464" s="11" t="s">
        <v>4</v>
      </c>
      <c r="E464" s="1">
        <v>2869.58</v>
      </c>
    </row>
    <row r="465" spans="1:5" x14ac:dyDescent="0.4">
      <c r="D465" s="39" t="s">
        <v>555</v>
      </c>
      <c r="E465" s="1">
        <v>2869.58</v>
      </c>
    </row>
    <row r="466" spans="1:5" x14ac:dyDescent="0.4">
      <c r="B466" s="10" t="s">
        <v>556</v>
      </c>
      <c r="C466" s="10" t="s">
        <v>329</v>
      </c>
      <c r="D466" s="10" t="s">
        <v>316</v>
      </c>
      <c r="E466" s="1">
        <v>4307.7</v>
      </c>
    </row>
    <row r="467" spans="1:5" x14ac:dyDescent="0.4">
      <c r="D467" s="11" t="s">
        <v>4</v>
      </c>
      <c r="E467" s="1">
        <v>4307.7</v>
      </c>
    </row>
    <row r="468" spans="1:5" x14ac:dyDescent="0.4">
      <c r="D468" s="39" t="s">
        <v>557</v>
      </c>
      <c r="E468" s="1">
        <v>4307.7</v>
      </c>
    </row>
    <row r="469" spans="1:5" x14ac:dyDescent="0.4">
      <c r="B469" s="10" t="s">
        <v>558</v>
      </c>
      <c r="C469" s="10" t="s">
        <v>322</v>
      </c>
      <c r="D469" s="10" t="s">
        <v>316</v>
      </c>
      <c r="E469" s="1">
        <v>0</v>
      </c>
    </row>
    <row r="470" spans="1:5" x14ac:dyDescent="0.4">
      <c r="D470" s="11" t="s">
        <v>5</v>
      </c>
      <c r="E470" s="1">
        <v>0</v>
      </c>
    </row>
    <row r="471" spans="1:5" x14ac:dyDescent="0.4">
      <c r="D471" s="39" t="s">
        <v>359</v>
      </c>
      <c r="E471" s="1">
        <v>0</v>
      </c>
    </row>
    <row r="472" spans="1:5" x14ac:dyDescent="0.4">
      <c r="B472" s="10" t="s">
        <v>559</v>
      </c>
      <c r="C472" s="10" t="s">
        <v>395</v>
      </c>
      <c r="D472" s="10" t="s">
        <v>316</v>
      </c>
      <c r="E472" s="1">
        <v>9037.56</v>
      </c>
    </row>
    <row r="473" spans="1:5" x14ac:dyDescent="0.4">
      <c r="D473" s="11" t="s">
        <v>5</v>
      </c>
      <c r="E473" s="1">
        <v>9037.56</v>
      </c>
    </row>
    <row r="474" spans="1:5" x14ac:dyDescent="0.4">
      <c r="D474" s="39" t="s">
        <v>359</v>
      </c>
      <c r="E474" s="1">
        <v>9037.56</v>
      </c>
    </row>
    <row r="475" spans="1:5" x14ac:dyDescent="0.4">
      <c r="A475" s="10" t="s">
        <v>560</v>
      </c>
      <c r="B475" s="10" t="s">
        <v>368</v>
      </c>
      <c r="C475" s="10" t="s">
        <v>539</v>
      </c>
      <c r="D475" s="10" t="s">
        <v>316</v>
      </c>
      <c r="E475" s="1">
        <v>5000</v>
      </c>
    </row>
    <row r="476" spans="1:5" x14ac:dyDescent="0.4">
      <c r="D476" s="11" t="s">
        <v>10</v>
      </c>
      <c r="E476" s="1">
        <v>5000</v>
      </c>
    </row>
    <row r="477" spans="1:5" x14ac:dyDescent="0.4">
      <c r="D477" s="39" t="s">
        <v>561</v>
      </c>
      <c r="E477" s="1">
        <v>5000</v>
      </c>
    </row>
    <row r="478" spans="1:5" x14ac:dyDescent="0.4">
      <c r="B478" s="10" t="s">
        <v>562</v>
      </c>
      <c r="C478" s="10" t="s">
        <v>361</v>
      </c>
      <c r="D478" s="10" t="s">
        <v>316</v>
      </c>
      <c r="E478" s="1">
        <v>7000</v>
      </c>
    </row>
    <row r="479" spans="1:5" x14ac:dyDescent="0.4">
      <c r="D479" s="11" t="s">
        <v>5</v>
      </c>
      <c r="E479" s="1">
        <v>7000</v>
      </c>
    </row>
    <row r="480" spans="1:5" x14ac:dyDescent="0.4">
      <c r="D480" s="39" t="s">
        <v>483</v>
      </c>
      <c r="E480" s="1">
        <v>7000</v>
      </c>
    </row>
    <row r="481" spans="1:5" x14ac:dyDescent="0.4">
      <c r="B481" s="10" t="s">
        <v>434</v>
      </c>
      <c r="C481" s="10" t="s">
        <v>361</v>
      </c>
      <c r="D481" s="10" t="s">
        <v>316</v>
      </c>
      <c r="E481" s="1">
        <v>250</v>
      </c>
    </row>
    <row r="482" spans="1:5" x14ac:dyDescent="0.4">
      <c r="D482" s="11" t="s">
        <v>6</v>
      </c>
      <c r="E482" s="1">
        <v>250</v>
      </c>
    </row>
    <row r="483" spans="1:5" x14ac:dyDescent="0.4">
      <c r="D483" s="39" t="s">
        <v>415</v>
      </c>
      <c r="E483" s="1">
        <v>250</v>
      </c>
    </row>
    <row r="484" spans="1:5" x14ac:dyDescent="0.4">
      <c r="B484" s="10" t="s">
        <v>475</v>
      </c>
      <c r="C484" s="10" t="s">
        <v>329</v>
      </c>
      <c r="D484" s="10" t="s">
        <v>316</v>
      </c>
      <c r="E484" s="1">
        <v>76.510000000000005</v>
      </c>
    </row>
    <row r="485" spans="1:5" x14ac:dyDescent="0.4">
      <c r="D485" s="11" t="s">
        <v>2</v>
      </c>
      <c r="E485" s="1">
        <v>76.510000000000005</v>
      </c>
    </row>
    <row r="486" spans="1:5" x14ac:dyDescent="0.4">
      <c r="D486" s="39" t="s">
        <v>500</v>
      </c>
      <c r="E486" s="1">
        <v>76.510000000000005</v>
      </c>
    </row>
    <row r="487" spans="1:5" x14ac:dyDescent="0.4">
      <c r="A487" s="10" t="s">
        <v>563</v>
      </c>
      <c r="B487" s="10" t="s">
        <v>564</v>
      </c>
      <c r="C487" s="10" t="s">
        <v>322</v>
      </c>
      <c r="D487" s="10" t="s">
        <v>316</v>
      </c>
      <c r="E487" s="1">
        <v>1365.51</v>
      </c>
    </row>
    <row r="488" spans="1:5" x14ac:dyDescent="0.4">
      <c r="D488" s="11" t="s">
        <v>1</v>
      </c>
      <c r="E488" s="1">
        <v>1365.51</v>
      </c>
    </row>
    <row r="489" spans="1:5" x14ac:dyDescent="0.4">
      <c r="D489" s="39" t="s">
        <v>373</v>
      </c>
      <c r="E489" s="1">
        <v>1365.51</v>
      </c>
    </row>
    <row r="490" spans="1:5" x14ac:dyDescent="0.4">
      <c r="A490" s="10" t="s">
        <v>565</v>
      </c>
      <c r="B490" s="10" t="s">
        <v>320</v>
      </c>
      <c r="C490" s="10" t="s">
        <v>322</v>
      </c>
      <c r="D490" s="10" t="s">
        <v>316</v>
      </c>
      <c r="E490" s="1">
        <v>400</v>
      </c>
    </row>
    <row r="491" spans="1:5" x14ac:dyDescent="0.4">
      <c r="D491" s="11" t="s">
        <v>1</v>
      </c>
      <c r="E491" s="1">
        <v>400</v>
      </c>
    </row>
    <row r="492" spans="1:5" x14ac:dyDescent="0.4">
      <c r="D492" s="39" t="s">
        <v>392</v>
      </c>
      <c r="E492" s="1">
        <v>400</v>
      </c>
    </row>
    <row r="493" spans="1:5" x14ac:dyDescent="0.4">
      <c r="B493" s="10" t="s">
        <v>566</v>
      </c>
      <c r="C493" s="10" t="s">
        <v>395</v>
      </c>
      <c r="D493" s="10" t="s">
        <v>316</v>
      </c>
      <c r="E493" s="1">
        <v>12164.15</v>
      </c>
    </row>
    <row r="494" spans="1:5" x14ac:dyDescent="0.4">
      <c r="D494" s="11" t="s">
        <v>5</v>
      </c>
      <c r="E494" s="1">
        <v>12164.15</v>
      </c>
    </row>
    <row r="495" spans="1:5" x14ac:dyDescent="0.4">
      <c r="D495" s="39" t="s">
        <v>359</v>
      </c>
      <c r="E495" s="1">
        <v>12164.15</v>
      </c>
    </row>
    <row r="496" spans="1:5" x14ac:dyDescent="0.4">
      <c r="B496" s="10" t="s">
        <v>567</v>
      </c>
      <c r="C496" s="10" t="s">
        <v>395</v>
      </c>
      <c r="D496" s="10" t="s">
        <v>316</v>
      </c>
      <c r="E496" s="1">
        <v>0</v>
      </c>
    </row>
    <row r="497" spans="1:5" x14ac:dyDescent="0.4">
      <c r="D497" s="11" t="s">
        <v>1</v>
      </c>
      <c r="E497" s="1">
        <v>0</v>
      </c>
    </row>
    <row r="498" spans="1:5" x14ac:dyDescent="0.4">
      <c r="D498" s="39" t="s">
        <v>373</v>
      </c>
      <c r="E498" s="1">
        <v>0</v>
      </c>
    </row>
    <row r="499" spans="1:5" x14ac:dyDescent="0.4">
      <c r="A499" s="10" t="s">
        <v>568</v>
      </c>
      <c r="B499" s="10" t="s">
        <v>368</v>
      </c>
      <c r="C499" s="10" t="s">
        <v>318</v>
      </c>
      <c r="D499" s="10" t="s">
        <v>316</v>
      </c>
      <c r="E499" s="1">
        <v>3000</v>
      </c>
    </row>
    <row r="500" spans="1:5" x14ac:dyDescent="0.4">
      <c r="D500" s="11" t="s">
        <v>6</v>
      </c>
      <c r="E500" s="1">
        <v>3000</v>
      </c>
    </row>
    <row r="501" spans="1:5" x14ac:dyDescent="0.4">
      <c r="D501" s="39" t="s">
        <v>569</v>
      </c>
      <c r="E501" s="1">
        <v>3000</v>
      </c>
    </row>
    <row r="502" spans="1:5" x14ac:dyDescent="0.4">
      <c r="B502" s="10" t="s">
        <v>390</v>
      </c>
      <c r="C502" s="10" t="s">
        <v>329</v>
      </c>
      <c r="D502" s="10" t="s">
        <v>316</v>
      </c>
      <c r="E502" s="1">
        <v>695</v>
      </c>
    </row>
    <row r="503" spans="1:5" x14ac:dyDescent="0.4">
      <c r="D503" s="11" t="s">
        <v>3</v>
      </c>
      <c r="E503" s="1">
        <v>695</v>
      </c>
    </row>
    <row r="504" spans="1:5" x14ac:dyDescent="0.4">
      <c r="D504" s="39" t="s">
        <v>343</v>
      </c>
      <c r="E504" s="1">
        <v>695</v>
      </c>
    </row>
    <row r="505" spans="1:5" x14ac:dyDescent="0.4">
      <c r="B505" s="10" t="s">
        <v>570</v>
      </c>
      <c r="C505" s="10" t="s">
        <v>322</v>
      </c>
      <c r="D505" s="10" t="s">
        <v>316</v>
      </c>
      <c r="E505" s="1">
        <v>825</v>
      </c>
    </row>
    <row r="506" spans="1:5" x14ac:dyDescent="0.4">
      <c r="D506" s="11" t="s">
        <v>2</v>
      </c>
      <c r="E506" s="1">
        <v>825</v>
      </c>
    </row>
    <row r="507" spans="1:5" x14ac:dyDescent="0.4">
      <c r="D507" s="39" t="s">
        <v>489</v>
      </c>
      <c r="E507" s="1">
        <v>825</v>
      </c>
    </row>
    <row r="508" spans="1:5" x14ac:dyDescent="0.4">
      <c r="B508" s="10" t="s">
        <v>571</v>
      </c>
      <c r="C508" s="10" t="s">
        <v>329</v>
      </c>
      <c r="D508" s="10" t="s">
        <v>316</v>
      </c>
      <c r="E508" s="1">
        <v>1775.37</v>
      </c>
    </row>
    <row r="509" spans="1:5" x14ac:dyDescent="0.4">
      <c r="D509" s="11" t="s">
        <v>4</v>
      </c>
      <c r="E509" s="1">
        <v>1775.37</v>
      </c>
    </row>
    <row r="510" spans="1:5" x14ac:dyDescent="0.4">
      <c r="D510" s="39" t="s">
        <v>386</v>
      </c>
      <c r="E510" s="1">
        <v>1775.37</v>
      </c>
    </row>
    <row r="511" spans="1:5" x14ac:dyDescent="0.4">
      <c r="A511" s="10" t="s">
        <v>197</v>
      </c>
      <c r="B511" s="10" t="s">
        <v>572</v>
      </c>
      <c r="C511" s="10" t="s">
        <v>573</v>
      </c>
      <c r="D511" s="10" t="s">
        <v>316</v>
      </c>
      <c r="E511" s="1">
        <v>5000</v>
      </c>
    </row>
    <row r="512" spans="1:5" x14ac:dyDescent="0.4">
      <c r="D512" s="11" t="s">
        <v>12</v>
      </c>
      <c r="E512" s="1">
        <v>5000</v>
      </c>
    </row>
    <row r="513" spans="2:5" x14ac:dyDescent="0.4">
      <c r="D513" s="39" t="s">
        <v>398</v>
      </c>
      <c r="E513" s="1">
        <v>5000</v>
      </c>
    </row>
    <row r="514" spans="2:5" x14ac:dyDescent="0.4">
      <c r="B514" s="10" t="s">
        <v>574</v>
      </c>
      <c r="C514" s="10" t="s">
        <v>573</v>
      </c>
      <c r="D514" s="10" t="s">
        <v>316</v>
      </c>
      <c r="E514" s="1">
        <v>10000</v>
      </c>
    </row>
    <row r="515" spans="2:5" x14ac:dyDescent="0.4">
      <c r="D515" s="11" t="s">
        <v>12</v>
      </c>
      <c r="E515" s="1">
        <v>10000</v>
      </c>
    </row>
    <row r="516" spans="2:5" x14ac:dyDescent="0.4">
      <c r="D516" s="39" t="s">
        <v>398</v>
      </c>
      <c r="E516" s="1">
        <v>10000</v>
      </c>
    </row>
    <row r="517" spans="2:5" x14ac:dyDescent="0.4">
      <c r="B517" s="10" t="s">
        <v>575</v>
      </c>
      <c r="C517" s="10" t="s">
        <v>322</v>
      </c>
      <c r="D517" s="10" t="s">
        <v>316</v>
      </c>
      <c r="E517" s="1">
        <v>770.99</v>
      </c>
    </row>
    <row r="518" spans="2:5" x14ac:dyDescent="0.4">
      <c r="D518" s="11" t="s">
        <v>2</v>
      </c>
      <c r="E518" s="1">
        <v>770.99</v>
      </c>
    </row>
    <row r="519" spans="2:5" x14ac:dyDescent="0.4">
      <c r="D519" s="39" t="s">
        <v>418</v>
      </c>
      <c r="E519" s="1">
        <v>770.99</v>
      </c>
    </row>
    <row r="520" spans="2:5" x14ac:dyDescent="0.4">
      <c r="B520" s="10" t="s">
        <v>576</v>
      </c>
      <c r="C520" s="10" t="s">
        <v>322</v>
      </c>
      <c r="D520" s="10" t="s">
        <v>316</v>
      </c>
      <c r="E520" s="1">
        <v>186.99</v>
      </c>
    </row>
    <row r="521" spans="2:5" x14ac:dyDescent="0.4">
      <c r="D521" s="11" t="s">
        <v>1</v>
      </c>
      <c r="E521" s="1">
        <v>186.99</v>
      </c>
    </row>
    <row r="522" spans="2:5" x14ac:dyDescent="0.4">
      <c r="D522" s="39" t="s">
        <v>468</v>
      </c>
      <c r="E522" s="1">
        <v>186.99</v>
      </c>
    </row>
    <row r="523" spans="2:5" x14ac:dyDescent="0.4">
      <c r="B523" s="10" t="s">
        <v>577</v>
      </c>
      <c r="C523" s="10" t="s">
        <v>322</v>
      </c>
      <c r="D523" s="10" t="s">
        <v>316</v>
      </c>
      <c r="E523" s="1">
        <v>4650</v>
      </c>
    </row>
    <row r="524" spans="2:5" x14ac:dyDescent="0.4">
      <c r="D524" s="11" t="s">
        <v>12</v>
      </c>
      <c r="E524" s="1">
        <v>4650</v>
      </c>
    </row>
    <row r="525" spans="2:5" x14ac:dyDescent="0.4">
      <c r="D525" s="39" t="s">
        <v>398</v>
      </c>
      <c r="E525" s="1">
        <v>4650</v>
      </c>
    </row>
    <row r="526" spans="2:5" x14ac:dyDescent="0.4">
      <c r="B526" s="10" t="s">
        <v>578</v>
      </c>
      <c r="C526" s="10" t="s">
        <v>361</v>
      </c>
      <c r="D526" s="10" t="s">
        <v>316</v>
      </c>
      <c r="E526" s="1">
        <v>200</v>
      </c>
    </row>
    <row r="527" spans="2:5" x14ac:dyDescent="0.4">
      <c r="D527" s="11" t="s">
        <v>12</v>
      </c>
      <c r="E527" s="1">
        <v>200</v>
      </c>
    </row>
    <row r="528" spans="2:5" x14ac:dyDescent="0.4">
      <c r="D528" s="39" t="s">
        <v>398</v>
      </c>
      <c r="E528" s="1">
        <v>200</v>
      </c>
    </row>
    <row r="529" spans="2:5" x14ac:dyDescent="0.4">
      <c r="B529" s="10" t="s">
        <v>579</v>
      </c>
      <c r="C529" s="10" t="s">
        <v>322</v>
      </c>
      <c r="D529" s="10" t="s">
        <v>316</v>
      </c>
      <c r="E529" s="1">
        <v>399.98</v>
      </c>
    </row>
    <row r="530" spans="2:5" x14ac:dyDescent="0.4">
      <c r="D530" s="11" t="s">
        <v>3</v>
      </c>
      <c r="E530" s="1">
        <v>399.98</v>
      </c>
    </row>
    <row r="531" spans="2:5" x14ac:dyDescent="0.4">
      <c r="D531" s="39" t="s">
        <v>520</v>
      </c>
      <c r="E531" s="1">
        <v>399.98</v>
      </c>
    </row>
    <row r="532" spans="2:5" x14ac:dyDescent="0.4">
      <c r="B532" s="10" t="s">
        <v>580</v>
      </c>
      <c r="C532" s="10" t="s">
        <v>322</v>
      </c>
      <c r="D532" s="10" t="s">
        <v>316</v>
      </c>
      <c r="E532" s="1">
        <v>2345.91</v>
      </c>
    </row>
    <row r="533" spans="2:5" x14ac:dyDescent="0.4">
      <c r="D533" s="11" t="s">
        <v>1</v>
      </c>
      <c r="E533" s="1">
        <v>2345.91</v>
      </c>
    </row>
    <row r="534" spans="2:5" x14ac:dyDescent="0.4">
      <c r="D534" s="39" t="s">
        <v>454</v>
      </c>
      <c r="E534" s="1">
        <v>2345.91</v>
      </c>
    </row>
    <row r="535" spans="2:5" x14ac:dyDescent="0.4">
      <c r="B535" s="10" t="s">
        <v>581</v>
      </c>
      <c r="C535" s="10" t="s">
        <v>322</v>
      </c>
      <c r="D535" s="10" t="s">
        <v>316</v>
      </c>
      <c r="E535" s="1">
        <v>549.95000000000005</v>
      </c>
    </row>
    <row r="536" spans="2:5" x14ac:dyDescent="0.4">
      <c r="D536" s="11" t="s">
        <v>1</v>
      </c>
      <c r="E536" s="1">
        <v>549.95000000000005</v>
      </c>
    </row>
    <row r="537" spans="2:5" x14ac:dyDescent="0.4">
      <c r="D537" s="39" t="s">
        <v>582</v>
      </c>
      <c r="E537" s="1">
        <v>549.95000000000005</v>
      </c>
    </row>
    <row r="538" spans="2:5" x14ac:dyDescent="0.4">
      <c r="B538" s="10" t="s">
        <v>583</v>
      </c>
      <c r="C538" s="10" t="s">
        <v>322</v>
      </c>
      <c r="D538" s="10" t="s">
        <v>316</v>
      </c>
      <c r="E538" s="1">
        <v>1735.91</v>
      </c>
    </row>
    <row r="539" spans="2:5" x14ac:dyDescent="0.4">
      <c r="D539" s="11" t="s">
        <v>2</v>
      </c>
      <c r="E539" s="1">
        <v>1735.91</v>
      </c>
    </row>
    <row r="540" spans="2:5" x14ac:dyDescent="0.4">
      <c r="D540" s="39" t="s">
        <v>328</v>
      </c>
      <c r="E540" s="1">
        <v>1735.91</v>
      </c>
    </row>
    <row r="541" spans="2:5" x14ac:dyDescent="0.4">
      <c r="B541" s="10" t="s">
        <v>584</v>
      </c>
      <c r="C541" s="10" t="s">
        <v>322</v>
      </c>
      <c r="D541" s="10" t="s">
        <v>316</v>
      </c>
      <c r="E541" s="1">
        <v>359.99</v>
      </c>
    </row>
    <row r="542" spans="2:5" x14ac:dyDescent="0.4">
      <c r="D542" s="11" t="s">
        <v>2</v>
      </c>
      <c r="E542" s="1">
        <v>359.99</v>
      </c>
    </row>
    <row r="543" spans="2:5" x14ac:dyDescent="0.4">
      <c r="D543" s="39" t="s">
        <v>585</v>
      </c>
      <c r="E543" s="1">
        <v>359.99</v>
      </c>
    </row>
    <row r="544" spans="2:5" x14ac:dyDescent="0.4">
      <c r="B544" s="10" t="s">
        <v>586</v>
      </c>
      <c r="C544" s="10" t="s">
        <v>322</v>
      </c>
      <c r="D544" s="10" t="s">
        <v>316</v>
      </c>
      <c r="E544" s="1">
        <v>41.95</v>
      </c>
    </row>
    <row r="545" spans="2:5" x14ac:dyDescent="0.4">
      <c r="D545" s="11" t="s">
        <v>2</v>
      </c>
      <c r="E545" s="1">
        <v>41.95</v>
      </c>
    </row>
    <row r="546" spans="2:5" x14ac:dyDescent="0.4">
      <c r="D546" s="39" t="s">
        <v>418</v>
      </c>
      <c r="E546" s="1">
        <v>41.95</v>
      </c>
    </row>
    <row r="547" spans="2:5" x14ac:dyDescent="0.4">
      <c r="B547" s="10" t="s">
        <v>587</v>
      </c>
      <c r="C547" s="10" t="s">
        <v>322</v>
      </c>
      <c r="D547" s="10" t="s">
        <v>316</v>
      </c>
      <c r="E547" s="1">
        <v>97.35</v>
      </c>
    </row>
    <row r="548" spans="2:5" x14ac:dyDescent="0.4">
      <c r="D548" s="11" t="s">
        <v>2</v>
      </c>
      <c r="E548" s="1">
        <v>97.35</v>
      </c>
    </row>
    <row r="549" spans="2:5" x14ac:dyDescent="0.4">
      <c r="D549" s="39" t="s">
        <v>328</v>
      </c>
      <c r="E549" s="1">
        <v>97.35</v>
      </c>
    </row>
    <row r="550" spans="2:5" x14ac:dyDescent="0.4">
      <c r="B550" s="10" t="s">
        <v>588</v>
      </c>
      <c r="C550" s="10" t="s">
        <v>322</v>
      </c>
      <c r="D550" s="10" t="s">
        <v>316</v>
      </c>
      <c r="E550" s="1">
        <v>2345.91</v>
      </c>
    </row>
    <row r="551" spans="2:5" x14ac:dyDescent="0.4">
      <c r="D551" s="11" t="s">
        <v>3</v>
      </c>
      <c r="E551" s="1">
        <v>2345.91</v>
      </c>
    </row>
    <row r="552" spans="2:5" x14ac:dyDescent="0.4">
      <c r="D552" s="39" t="s">
        <v>429</v>
      </c>
      <c r="E552" s="1">
        <v>2345.91</v>
      </c>
    </row>
    <row r="553" spans="2:5" x14ac:dyDescent="0.4">
      <c r="B553" s="10" t="s">
        <v>589</v>
      </c>
      <c r="C553" s="10" t="s">
        <v>395</v>
      </c>
      <c r="D553" s="10" t="s">
        <v>316</v>
      </c>
      <c r="E553" s="1">
        <v>2400.91</v>
      </c>
    </row>
    <row r="554" spans="2:5" x14ac:dyDescent="0.4">
      <c r="D554" s="11" t="s">
        <v>4</v>
      </c>
      <c r="E554" s="1">
        <v>2400.91</v>
      </c>
    </row>
    <row r="555" spans="2:5" x14ac:dyDescent="0.4">
      <c r="D555" s="39" t="s">
        <v>533</v>
      </c>
      <c r="E555" s="1">
        <v>2400.91</v>
      </c>
    </row>
    <row r="556" spans="2:5" x14ac:dyDescent="0.4">
      <c r="B556" s="10" t="s">
        <v>590</v>
      </c>
      <c r="C556" s="10" t="s">
        <v>322</v>
      </c>
      <c r="D556" s="10" t="s">
        <v>316</v>
      </c>
      <c r="E556" s="1">
        <v>1557.99</v>
      </c>
    </row>
    <row r="557" spans="2:5" x14ac:dyDescent="0.4">
      <c r="D557" s="11" t="s">
        <v>4</v>
      </c>
      <c r="E557" s="1">
        <v>1557.99</v>
      </c>
    </row>
    <row r="558" spans="2:5" x14ac:dyDescent="0.4">
      <c r="D558" s="39" t="s">
        <v>537</v>
      </c>
      <c r="E558" s="1">
        <v>1557.99</v>
      </c>
    </row>
    <row r="559" spans="2:5" x14ac:dyDescent="0.4">
      <c r="B559" s="10" t="s">
        <v>591</v>
      </c>
      <c r="C559" s="10" t="s">
        <v>322</v>
      </c>
      <c r="D559" s="10" t="s">
        <v>316</v>
      </c>
      <c r="E559" s="1">
        <v>15.99</v>
      </c>
    </row>
    <row r="560" spans="2:5" x14ac:dyDescent="0.4">
      <c r="D560" s="11" t="s">
        <v>4</v>
      </c>
      <c r="E560" s="1">
        <v>15.99</v>
      </c>
    </row>
    <row r="561" spans="1:5" x14ac:dyDescent="0.4">
      <c r="D561" s="39" t="s">
        <v>592</v>
      </c>
      <c r="E561" s="1">
        <v>15.99</v>
      </c>
    </row>
    <row r="562" spans="1:5" x14ac:dyDescent="0.4">
      <c r="B562" s="10" t="s">
        <v>593</v>
      </c>
      <c r="C562" s="10" t="s">
        <v>322</v>
      </c>
      <c r="D562" s="10" t="s">
        <v>316</v>
      </c>
      <c r="E562" s="1">
        <v>61.66</v>
      </c>
    </row>
    <row r="563" spans="1:5" x14ac:dyDescent="0.4">
      <c r="D563" s="11" t="s">
        <v>4</v>
      </c>
      <c r="E563" s="1">
        <v>61.66</v>
      </c>
    </row>
    <row r="564" spans="1:5" x14ac:dyDescent="0.4">
      <c r="D564" s="39" t="s">
        <v>371</v>
      </c>
      <c r="E564" s="1">
        <v>61.66</v>
      </c>
    </row>
    <row r="565" spans="1:5" x14ac:dyDescent="0.4">
      <c r="A565" s="10" t="s">
        <v>594</v>
      </c>
      <c r="B565" s="10" t="s">
        <v>368</v>
      </c>
      <c r="C565" s="10" t="s">
        <v>395</v>
      </c>
      <c r="D565" s="10" t="s">
        <v>316</v>
      </c>
      <c r="E565" s="1">
        <v>1209</v>
      </c>
    </row>
    <row r="566" spans="1:5" x14ac:dyDescent="0.4">
      <c r="D566" s="11" t="s">
        <v>3</v>
      </c>
      <c r="E566" s="1">
        <v>1209</v>
      </c>
    </row>
    <row r="567" spans="1:5" x14ac:dyDescent="0.4">
      <c r="D567" s="39" t="s">
        <v>529</v>
      </c>
      <c r="E567" s="1">
        <v>1209</v>
      </c>
    </row>
    <row r="568" spans="1:5" x14ac:dyDescent="0.4">
      <c r="B568" s="10" t="s">
        <v>320</v>
      </c>
      <c r="C568" s="10" t="s">
        <v>322</v>
      </c>
      <c r="D568" s="10" t="s">
        <v>316</v>
      </c>
      <c r="E568" s="1">
        <v>1078</v>
      </c>
    </row>
    <row r="569" spans="1:5" x14ac:dyDescent="0.4">
      <c r="D569" s="11" t="s">
        <v>2</v>
      </c>
      <c r="E569" s="1">
        <v>1078</v>
      </c>
    </row>
    <row r="570" spans="1:5" x14ac:dyDescent="0.4">
      <c r="D570" s="39" t="s">
        <v>585</v>
      </c>
      <c r="E570" s="1">
        <v>1078</v>
      </c>
    </row>
    <row r="571" spans="1:5" x14ac:dyDescent="0.4">
      <c r="B571" s="10" t="s">
        <v>595</v>
      </c>
      <c r="C571" s="10" t="s">
        <v>322</v>
      </c>
      <c r="D571" s="10" t="s">
        <v>316</v>
      </c>
      <c r="E571" s="1">
        <v>475.99</v>
      </c>
    </row>
    <row r="572" spans="1:5" x14ac:dyDescent="0.4">
      <c r="D572" s="11" t="s">
        <v>3</v>
      </c>
      <c r="E572" s="1">
        <v>475.99</v>
      </c>
    </row>
    <row r="573" spans="1:5" x14ac:dyDescent="0.4">
      <c r="D573" s="39" t="s">
        <v>428</v>
      </c>
      <c r="E573" s="1">
        <v>475.99</v>
      </c>
    </row>
    <row r="574" spans="1:5" x14ac:dyDescent="0.4">
      <c r="A574" s="10" t="s">
        <v>596</v>
      </c>
      <c r="B574" s="10" t="s">
        <v>368</v>
      </c>
      <c r="C574" s="10" t="s">
        <v>414</v>
      </c>
      <c r="D574" s="10" t="s">
        <v>316</v>
      </c>
      <c r="E574" s="1">
        <v>3000</v>
      </c>
    </row>
    <row r="575" spans="1:5" x14ac:dyDescent="0.4">
      <c r="D575" s="11" t="s">
        <v>369</v>
      </c>
      <c r="E575" s="1">
        <v>3000</v>
      </c>
    </row>
    <row r="576" spans="1:5" x14ac:dyDescent="0.4">
      <c r="D576" s="39" t="s">
        <v>597</v>
      </c>
      <c r="E576" s="1">
        <v>3000</v>
      </c>
    </row>
    <row r="577" spans="1:5" x14ac:dyDescent="0.4">
      <c r="B577" s="10" t="s">
        <v>598</v>
      </c>
      <c r="C577" s="10" t="s">
        <v>395</v>
      </c>
      <c r="D577" s="10" t="s">
        <v>316</v>
      </c>
      <c r="E577" s="1">
        <v>465</v>
      </c>
    </row>
    <row r="578" spans="1:5" x14ac:dyDescent="0.4">
      <c r="D578" s="11" t="s">
        <v>5</v>
      </c>
      <c r="E578" s="1">
        <v>465</v>
      </c>
    </row>
    <row r="579" spans="1:5" x14ac:dyDescent="0.4">
      <c r="D579" s="39" t="s">
        <v>359</v>
      </c>
      <c r="E579" s="1">
        <v>465</v>
      </c>
    </row>
    <row r="580" spans="1:5" x14ac:dyDescent="0.4">
      <c r="A580" s="10" t="s">
        <v>654</v>
      </c>
      <c r="B580" s="10" t="s">
        <v>655</v>
      </c>
      <c r="C580" s="10" t="s">
        <v>395</v>
      </c>
      <c r="D580" s="10" t="s">
        <v>316</v>
      </c>
      <c r="E580" s="1">
        <v>2436.98</v>
      </c>
    </row>
    <row r="581" spans="1:5" x14ac:dyDescent="0.4">
      <c r="D581" s="11" t="s">
        <v>3</v>
      </c>
      <c r="E581" s="1">
        <v>2436.98</v>
      </c>
    </row>
    <row r="582" spans="1:5" x14ac:dyDescent="0.4">
      <c r="D582" s="39" t="s">
        <v>656</v>
      </c>
      <c r="E582" s="1">
        <v>2436.98</v>
      </c>
    </row>
    <row r="583" spans="1:5" x14ac:dyDescent="0.4">
      <c r="B583" s="10" t="s">
        <v>657</v>
      </c>
      <c r="C583" s="10" t="s">
        <v>361</v>
      </c>
      <c r="D583" s="10" t="s">
        <v>316</v>
      </c>
      <c r="E583" s="1">
        <v>0</v>
      </c>
    </row>
    <row r="584" spans="1:5" x14ac:dyDescent="0.4">
      <c r="D584" s="11" t="s">
        <v>5</v>
      </c>
      <c r="E584" s="1">
        <v>0</v>
      </c>
    </row>
    <row r="585" spans="1:5" x14ac:dyDescent="0.4">
      <c r="D585" s="39" t="s">
        <v>409</v>
      </c>
      <c r="E585" s="1">
        <v>0</v>
      </c>
    </row>
    <row r="586" spans="1:5" x14ac:dyDescent="0.4">
      <c r="B586" s="10" t="s">
        <v>658</v>
      </c>
      <c r="C586" s="10" t="s">
        <v>361</v>
      </c>
      <c r="D586" s="10" t="s">
        <v>316</v>
      </c>
      <c r="E586" s="1">
        <v>0</v>
      </c>
    </row>
    <row r="587" spans="1:5" x14ac:dyDescent="0.4">
      <c r="D587" s="11" t="s">
        <v>5</v>
      </c>
      <c r="E587" s="1">
        <v>0</v>
      </c>
    </row>
    <row r="588" spans="1:5" x14ac:dyDescent="0.4">
      <c r="D588" s="39" t="s">
        <v>359</v>
      </c>
      <c r="E588" s="1">
        <v>0</v>
      </c>
    </row>
    <row r="589" spans="1:5" x14ac:dyDescent="0.4">
      <c r="A589" s="10" t="s">
        <v>599</v>
      </c>
      <c r="B589" s="10" t="s">
        <v>368</v>
      </c>
      <c r="C589" s="10" t="s">
        <v>601</v>
      </c>
      <c r="D589" s="10" t="s">
        <v>316</v>
      </c>
      <c r="E589" s="1">
        <v>9000</v>
      </c>
    </row>
    <row r="590" spans="1:5" x14ac:dyDescent="0.4">
      <c r="D590" s="11" t="s">
        <v>3</v>
      </c>
      <c r="E590" s="1">
        <v>9000</v>
      </c>
    </row>
    <row r="591" spans="1:5" x14ac:dyDescent="0.4">
      <c r="D591" s="39" t="s">
        <v>600</v>
      </c>
      <c r="E591" s="1">
        <v>9000</v>
      </c>
    </row>
    <row r="592" spans="1:5" x14ac:dyDescent="0.4">
      <c r="B592" s="10" t="s">
        <v>602</v>
      </c>
      <c r="C592" s="10" t="s">
        <v>395</v>
      </c>
      <c r="D592" s="10" t="s">
        <v>316</v>
      </c>
      <c r="E592" s="1">
        <v>1248</v>
      </c>
    </row>
    <row r="593" spans="2:5" x14ac:dyDescent="0.4">
      <c r="D593" s="11" t="s">
        <v>5</v>
      </c>
      <c r="E593" s="1">
        <v>1248</v>
      </c>
    </row>
    <row r="594" spans="2:5" x14ac:dyDescent="0.4">
      <c r="D594" s="39" t="s">
        <v>364</v>
      </c>
      <c r="E594" s="1">
        <v>1248</v>
      </c>
    </row>
    <row r="595" spans="2:5" x14ac:dyDescent="0.4">
      <c r="B595" s="10" t="s">
        <v>437</v>
      </c>
      <c r="C595" s="10" t="s">
        <v>322</v>
      </c>
      <c r="D595" s="10" t="s">
        <v>316</v>
      </c>
      <c r="E595" s="1">
        <v>360</v>
      </c>
    </row>
    <row r="596" spans="2:5" x14ac:dyDescent="0.4">
      <c r="D596" s="11" t="s">
        <v>4</v>
      </c>
      <c r="E596" s="1">
        <v>360</v>
      </c>
    </row>
    <row r="597" spans="2:5" x14ac:dyDescent="0.4">
      <c r="D597" s="39" t="s">
        <v>603</v>
      </c>
      <c r="E597" s="1">
        <v>360</v>
      </c>
    </row>
    <row r="598" spans="2:5" x14ac:dyDescent="0.4">
      <c r="B598" s="10" t="s">
        <v>579</v>
      </c>
      <c r="C598" s="10" t="s">
        <v>322</v>
      </c>
      <c r="D598" s="10" t="s">
        <v>316</v>
      </c>
      <c r="E598" s="1">
        <v>230.35</v>
      </c>
    </row>
    <row r="599" spans="2:5" x14ac:dyDescent="0.4">
      <c r="D599" s="11" t="s">
        <v>4</v>
      </c>
      <c r="E599" s="1">
        <v>230.35</v>
      </c>
    </row>
    <row r="600" spans="2:5" x14ac:dyDescent="0.4">
      <c r="D600" s="39" t="s">
        <v>371</v>
      </c>
      <c r="E600" s="1">
        <v>230.35</v>
      </c>
    </row>
    <row r="601" spans="2:5" x14ac:dyDescent="0.4">
      <c r="B601" s="10" t="s">
        <v>604</v>
      </c>
      <c r="C601" s="10" t="s">
        <v>322</v>
      </c>
      <c r="D601" s="10" t="s">
        <v>316</v>
      </c>
      <c r="E601" s="1">
        <v>172.12</v>
      </c>
    </row>
    <row r="602" spans="2:5" x14ac:dyDescent="0.4">
      <c r="D602" s="11" t="s">
        <v>2</v>
      </c>
      <c r="E602" s="1">
        <v>172.12</v>
      </c>
    </row>
    <row r="603" spans="2:5" x14ac:dyDescent="0.4">
      <c r="D603" s="39" t="s">
        <v>465</v>
      </c>
      <c r="E603" s="1">
        <v>172.12</v>
      </c>
    </row>
    <row r="604" spans="2:5" x14ac:dyDescent="0.4">
      <c r="B604" s="10" t="s">
        <v>605</v>
      </c>
      <c r="C604" s="10" t="s">
        <v>395</v>
      </c>
      <c r="D604" s="10" t="s">
        <v>316</v>
      </c>
      <c r="E604" s="1">
        <v>1452.98</v>
      </c>
    </row>
    <row r="605" spans="2:5" x14ac:dyDescent="0.4">
      <c r="D605" s="11" t="s">
        <v>2</v>
      </c>
      <c r="E605" s="1">
        <v>1452.98</v>
      </c>
    </row>
    <row r="606" spans="2:5" x14ac:dyDescent="0.4">
      <c r="D606" s="39" t="s">
        <v>328</v>
      </c>
      <c r="E606" s="1">
        <v>1452.98</v>
      </c>
    </row>
    <row r="607" spans="2:5" x14ac:dyDescent="0.4">
      <c r="B607" s="10" t="s">
        <v>606</v>
      </c>
      <c r="C607" s="10" t="s">
        <v>361</v>
      </c>
      <c r="D607" s="10" t="s">
        <v>316</v>
      </c>
      <c r="E607" s="1">
        <v>14.95</v>
      </c>
    </row>
    <row r="608" spans="2:5" x14ac:dyDescent="0.4">
      <c r="D608" s="11" t="s">
        <v>5</v>
      </c>
      <c r="E608" s="1">
        <v>14.95</v>
      </c>
    </row>
    <row r="609" spans="1:5" x14ac:dyDescent="0.4">
      <c r="D609" s="39" t="s">
        <v>364</v>
      </c>
      <c r="E609" s="1">
        <v>14.95</v>
      </c>
    </row>
    <row r="610" spans="1:5" x14ac:dyDescent="0.4">
      <c r="A610" s="10" t="s">
        <v>607</v>
      </c>
      <c r="B610" s="10" t="s">
        <v>388</v>
      </c>
      <c r="C610" s="10" t="s">
        <v>322</v>
      </c>
      <c r="D610" s="10" t="s">
        <v>316</v>
      </c>
      <c r="E610" s="1">
        <v>181.48</v>
      </c>
    </row>
    <row r="611" spans="1:5" x14ac:dyDescent="0.4">
      <c r="D611" s="11" t="s">
        <v>4</v>
      </c>
      <c r="E611" s="1">
        <v>181.48</v>
      </c>
    </row>
    <row r="612" spans="1:5" x14ac:dyDescent="0.4">
      <c r="D612" s="39" t="s">
        <v>603</v>
      </c>
      <c r="E612" s="1">
        <v>181.48</v>
      </c>
    </row>
    <row r="613" spans="1:5" x14ac:dyDescent="0.4">
      <c r="A613" s="10" t="s">
        <v>608</v>
      </c>
      <c r="B613" s="10" t="s">
        <v>368</v>
      </c>
      <c r="C613" s="10" t="s">
        <v>414</v>
      </c>
      <c r="D613" s="10" t="s">
        <v>316</v>
      </c>
      <c r="E613" s="1">
        <v>2000</v>
      </c>
    </row>
    <row r="614" spans="1:5" x14ac:dyDescent="0.4">
      <c r="D614" s="11" t="s">
        <v>8</v>
      </c>
      <c r="E614" s="1">
        <v>2000</v>
      </c>
    </row>
    <row r="615" spans="1:5" x14ac:dyDescent="0.4">
      <c r="D615" s="39" t="s">
        <v>400</v>
      </c>
      <c r="E615" s="1">
        <v>2000</v>
      </c>
    </row>
    <row r="616" spans="1:5" x14ac:dyDescent="0.4">
      <c r="B616" s="10" t="s">
        <v>609</v>
      </c>
      <c r="C616" s="10" t="s">
        <v>322</v>
      </c>
      <c r="D616" s="10" t="s">
        <v>316</v>
      </c>
      <c r="E616" s="1">
        <v>8000</v>
      </c>
    </row>
    <row r="617" spans="1:5" x14ac:dyDescent="0.4">
      <c r="D617" s="11" t="s">
        <v>3</v>
      </c>
      <c r="E617" s="1">
        <v>8000</v>
      </c>
    </row>
    <row r="618" spans="1:5" x14ac:dyDescent="0.4">
      <c r="D618" s="39" t="s">
        <v>343</v>
      </c>
      <c r="E618" s="1">
        <v>8000</v>
      </c>
    </row>
    <row r="619" spans="1:5" x14ac:dyDescent="0.4">
      <c r="B619" s="10" t="s">
        <v>610</v>
      </c>
      <c r="C619" s="10" t="s">
        <v>401</v>
      </c>
      <c r="D619" s="10" t="s">
        <v>316</v>
      </c>
      <c r="E619" s="1">
        <v>500</v>
      </c>
    </row>
    <row r="620" spans="1:5" x14ac:dyDescent="0.4">
      <c r="D620" s="11" t="s">
        <v>5</v>
      </c>
      <c r="E620" s="1">
        <v>500</v>
      </c>
    </row>
    <row r="621" spans="1:5" x14ac:dyDescent="0.4">
      <c r="D621" s="39" t="s">
        <v>359</v>
      </c>
      <c r="E621" s="1">
        <v>500</v>
      </c>
    </row>
    <row r="622" spans="1:5" x14ac:dyDescent="0.4">
      <c r="B622" s="10" t="s">
        <v>611</v>
      </c>
      <c r="C622" s="10" t="s">
        <v>322</v>
      </c>
      <c r="D622" s="10" t="s">
        <v>316</v>
      </c>
      <c r="E622" s="1">
        <v>89.45</v>
      </c>
    </row>
    <row r="623" spans="1:5" x14ac:dyDescent="0.4">
      <c r="D623" s="11" t="s">
        <v>1</v>
      </c>
      <c r="E623" s="1">
        <v>89.45</v>
      </c>
    </row>
    <row r="624" spans="1:5" x14ac:dyDescent="0.4">
      <c r="D624" s="39" t="s">
        <v>376</v>
      </c>
      <c r="E624" s="1">
        <v>89.45</v>
      </c>
    </row>
    <row r="625" spans="2:5" x14ac:dyDescent="0.4">
      <c r="B625" s="10" t="s">
        <v>612</v>
      </c>
      <c r="C625" s="10" t="s">
        <v>322</v>
      </c>
      <c r="D625" s="10" t="s">
        <v>316</v>
      </c>
      <c r="E625" s="1">
        <v>7279.46</v>
      </c>
    </row>
    <row r="626" spans="2:5" x14ac:dyDescent="0.4">
      <c r="D626" s="11" t="s">
        <v>3</v>
      </c>
      <c r="E626" s="1">
        <v>7279.46</v>
      </c>
    </row>
    <row r="627" spans="2:5" x14ac:dyDescent="0.4">
      <c r="D627" s="39" t="s">
        <v>516</v>
      </c>
      <c r="E627" s="1">
        <v>7279.46</v>
      </c>
    </row>
    <row r="628" spans="2:5" x14ac:dyDescent="0.4">
      <c r="B628" s="10" t="s">
        <v>613</v>
      </c>
      <c r="C628" s="10" t="s">
        <v>322</v>
      </c>
      <c r="D628" s="10" t="s">
        <v>316</v>
      </c>
      <c r="E628" s="1">
        <v>262.99</v>
      </c>
    </row>
    <row r="629" spans="2:5" x14ac:dyDescent="0.4">
      <c r="D629" s="11" t="s">
        <v>3</v>
      </c>
      <c r="E629" s="1">
        <v>262.99</v>
      </c>
    </row>
    <row r="630" spans="2:5" x14ac:dyDescent="0.4">
      <c r="D630" s="39" t="s">
        <v>343</v>
      </c>
      <c r="E630" s="1">
        <v>262.99</v>
      </c>
    </row>
    <row r="631" spans="2:5" x14ac:dyDescent="0.4">
      <c r="B631" s="10" t="s">
        <v>614</v>
      </c>
      <c r="C631" s="10" t="s">
        <v>395</v>
      </c>
      <c r="D631" s="10" t="s">
        <v>316</v>
      </c>
      <c r="E631" s="1">
        <v>1625</v>
      </c>
    </row>
    <row r="632" spans="2:5" x14ac:dyDescent="0.4">
      <c r="D632" s="11" t="s">
        <v>4</v>
      </c>
      <c r="E632" s="1">
        <v>1625</v>
      </c>
    </row>
    <row r="633" spans="2:5" x14ac:dyDescent="0.4">
      <c r="D633" s="39" t="s">
        <v>386</v>
      </c>
      <c r="E633" s="1">
        <v>1625</v>
      </c>
    </row>
    <row r="634" spans="2:5" x14ac:dyDescent="0.4">
      <c r="B634" s="10" t="s">
        <v>615</v>
      </c>
      <c r="C634" s="10" t="s">
        <v>322</v>
      </c>
      <c r="D634" s="10" t="s">
        <v>316</v>
      </c>
      <c r="E634" s="1">
        <v>321.29000000000002</v>
      </c>
    </row>
    <row r="635" spans="2:5" x14ac:dyDescent="0.4">
      <c r="D635" s="11" t="s">
        <v>3</v>
      </c>
      <c r="E635" s="1">
        <v>321.29000000000002</v>
      </c>
    </row>
    <row r="636" spans="2:5" x14ac:dyDescent="0.4">
      <c r="D636" s="39" t="s">
        <v>616</v>
      </c>
      <c r="E636" s="1">
        <v>321.29000000000002</v>
      </c>
    </row>
    <row r="637" spans="2:5" x14ac:dyDescent="0.4">
      <c r="B637" s="10" t="s">
        <v>617</v>
      </c>
      <c r="C637" s="10" t="s">
        <v>401</v>
      </c>
      <c r="D637" s="10" t="s">
        <v>316</v>
      </c>
      <c r="E637" s="1">
        <v>349.25</v>
      </c>
    </row>
    <row r="638" spans="2:5" x14ac:dyDescent="0.4">
      <c r="D638" s="11" t="s">
        <v>3</v>
      </c>
      <c r="E638" s="1">
        <v>349.25</v>
      </c>
    </row>
    <row r="639" spans="2:5" x14ac:dyDescent="0.4">
      <c r="D639" s="39" t="s">
        <v>429</v>
      </c>
      <c r="E639" s="1">
        <v>349.25</v>
      </c>
    </row>
    <row r="640" spans="2:5" x14ac:dyDescent="0.4">
      <c r="B640" s="10" t="s">
        <v>618</v>
      </c>
      <c r="C640" s="10" t="s">
        <v>361</v>
      </c>
      <c r="D640" s="10" t="s">
        <v>316</v>
      </c>
      <c r="E640" s="1">
        <v>0</v>
      </c>
    </row>
    <row r="641" spans="1:5" x14ac:dyDescent="0.4">
      <c r="D641" s="11" t="s">
        <v>11</v>
      </c>
      <c r="E641" s="1">
        <v>0</v>
      </c>
    </row>
    <row r="642" spans="1:5" x14ac:dyDescent="0.4">
      <c r="D642" s="39" t="s">
        <v>619</v>
      </c>
      <c r="E642" s="1">
        <v>0</v>
      </c>
    </row>
    <row r="643" spans="1:5" x14ac:dyDescent="0.4">
      <c r="B643" s="10" t="s">
        <v>620</v>
      </c>
      <c r="C643" s="10" t="s">
        <v>322</v>
      </c>
      <c r="D643" s="10" t="s">
        <v>316</v>
      </c>
      <c r="E643" s="1">
        <v>707.19</v>
      </c>
    </row>
    <row r="644" spans="1:5" x14ac:dyDescent="0.4">
      <c r="D644" s="11" t="s">
        <v>4</v>
      </c>
      <c r="E644" s="1">
        <v>707.19</v>
      </c>
    </row>
    <row r="645" spans="1:5" x14ac:dyDescent="0.4">
      <c r="D645" s="39" t="s">
        <v>621</v>
      </c>
      <c r="E645" s="1">
        <v>707.19</v>
      </c>
    </row>
    <row r="646" spans="1:5" x14ac:dyDescent="0.4">
      <c r="A646" s="10" t="s">
        <v>622</v>
      </c>
      <c r="B646" s="10" t="s">
        <v>623</v>
      </c>
      <c r="C646" s="10" t="s">
        <v>318</v>
      </c>
      <c r="D646" s="10" t="s">
        <v>316</v>
      </c>
      <c r="E646" s="1">
        <v>0</v>
      </c>
    </row>
    <row r="647" spans="1:5" x14ac:dyDescent="0.4">
      <c r="D647" s="11" t="s">
        <v>5</v>
      </c>
      <c r="E647" s="1">
        <v>0</v>
      </c>
    </row>
    <row r="648" spans="1:5" x14ac:dyDescent="0.4">
      <c r="D648" s="39" t="s">
        <v>359</v>
      </c>
      <c r="E648" s="1">
        <v>0</v>
      </c>
    </row>
    <row r="649" spans="1:5" x14ac:dyDescent="0.4">
      <c r="B649" s="10" t="s">
        <v>624</v>
      </c>
      <c r="C649" s="10" t="s">
        <v>573</v>
      </c>
      <c r="D649" s="10" t="s">
        <v>316</v>
      </c>
      <c r="E649" s="1">
        <v>1792.39</v>
      </c>
    </row>
    <row r="650" spans="1:5" x14ac:dyDescent="0.4">
      <c r="D650" s="11" t="s">
        <v>3</v>
      </c>
      <c r="E650" s="1">
        <v>1792.39</v>
      </c>
    </row>
    <row r="651" spans="1:5" x14ac:dyDescent="0.4">
      <c r="D651" s="39" t="s">
        <v>343</v>
      </c>
      <c r="E651" s="1">
        <v>1792.39</v>
      </c>
    </row>
    <row r="652" spans="1:5" x14ac:dyDescent="0.4">
      <c r="B652" s="10" t="s">
        <v>625</v>
      </c>
      <c r="C652" s="10" t="s">
        <v>329</v>
      </c>
      <c r="D652" s="10" t="s">
        <v>316</v>
      </c>
      <c r="E652" s="1">
        <v>0</v>
      </c>
    </row>
    <row r="653" spans="1:5" x14ac:dyDescent="0.4">
      <c r="D653" s="11" t="s">
        <v>2</v>
      </c>
      <c r="E653" s="1">
        <v>0</v>
      </c>
    </row>
    <row r="654" spans="1:5" x14ac:dyDescent="0.4">
      <c r="D654" s="39" t="s">
        <v>328</v>
      </c>
      <c r="E654" s="1">
        <v>0</v>
      </c>
    </row>
    <row r="655" spans="1:5" x14ac:dyDescent="0.4">
      <c r="B655" s="10" t="s">
        <v>626</v>
      </c>
      <c r="C655" s="10" t="s">
        <v>395</v>
      </c>
      <c r="D655" s="10" t="s">
        <v>316</v>
      </c>
      <c r="E655" s="1">
        <v>4406</v>
      </c>
    </row>
    <row r="656" spans="1:5" x14ac:dyDescent="0.4">
      <c r="D656" s="11" t="s">
        <v>3</v>
      </c>
      <c r="E656" s="1">
        <v>4406</v>
      </c>
    </row>
    <row r="657" spans="1:5" x14ac:dyDescent="0.4">
      <c r="D657" s="39" t="s">
        <v>343</v>
      </c>
      <c r="E657" s="1">
        <v>4406</v>
      </c>
    </row>
    <row r="658" spans="1:5" x14ac:dyDescent="0.4">
      <c r="B658" s="10" t="s">
        <v>627</v>
      </c>
      <c r="C658" s="10" t="s">
        <v>361</v>
      </c>
      <c r="D658" s="10" t="s">
        <v>316</v>
      </c>
      <c r="E658" s="1">
        <v>0</v>
      </c>
    </row>
    <row r="659" spans="1:5" x14ac:dyDescent="0.4">
      <c r="D659" s="11" t="s">
        <v>5</v>
      </c>
      <c r="E659" s="1">
        <v>0</v>
      </c>
    </row>
    <row r="660" spans="1:5" x14ac:dyDescent="0.4">
      <c r="D660" s="39" t="s">
        <v>359</v>
      </c>
      <c r="E660" s="1">
        <v>0</v>
      </c>
    </row>
    <row r="661" spans="1:5" x14ac:dyDescent="0.4">
      <c r="A661" s="10" t="s">
        <v>628</v>
      </c>
      <c r="B661" s="10" t="s">
        <v>629</v>
      </c>
      <c r="C661" s="10" t="s">
        <v>630</v>
      </c>
      <c r="D661" s="10" t="s">
        <v>316</v>
      </c>
      <c r="E661" s="1">
        <v>892.84</v>
      </c>
    </row>
    <row r="662" spans="1:5" x14ac:dyDescent="0.4">
      <c r="D662" s="11" t="s">
        <v>6</v>
      </c>
      <c r="E662" s="1">
        <v>892.84</v>
      </c>
    </row>
    <row r="663" spans="1:5" x14ac:dyDescent="0.4">
      <c r="D663" s="39" t="s">
        <v>451</v>
      </c>
      <c r="E663" s="1">
        <v>892.84</v>
      </c>
    </row>
    <row r="664" spans="1:5" x14ac:dyDescent="0.4">
      <c r="B664" s="10" t="s">
        <v>631</v>
      </c>
      <c r="C664" s="10" t="s">
        <v>361</v>
      </c>
      <c r="D664" s="10" t="s">
        <v>316</v>
      </c>
      <c r="E664" s="1">
        <v>10000</v>
      </c>
    </row>
    <row r="665" spans="1:5" x14ac:dyDescent="0.4">
      <c r="D665" s="11" t="s">
        <v>12</v>
      </c>
      <c r="E665" s="1">
        <v>10000</v>
      </c>
    </row>
    <row r="666" spans="1:5" x14ac:dyDescent="0.4">
      <c r="D666" s="39" t="s">
        <v>398</v>
      </c>
      <c r="E666" s="1">
        <v>10000</v>
      </c>
    </row>
    <row r="667" spans="1:5" x14ac:dyDescent="0.4">
      <c r="B667" s="10" t="s">
        <v>632</v>
      </c>
      <c r="C667" s="10" t="s">
        <v>322</v>
      </c>
      <c r="D667" s="10" t="s">
        <v>316</v>
      </c>
      <c r="E667" s="1">
        <v>1482</v>
      </c>
    </row>
    <row r="668" spans="1:5" x14ac:dyDescent="0.4">
      <c r="D668" s="11" t="s">
        <v>1</v>
      </c>
      <c r="E668" s="1">
        <v>1482</v>
      </c>
    </row>
    <row r="669" spans="1:5" x14ac:dyDescent="0.4">
      <c r="D669" s="39" t="s">
        <v>454</v>
      </c>
      <c r="E669" s="1">
        <v>1482</v>
      </c>
    </row>
    <row r="670" spans="1:5" x14ac:dyDescent="0.4">
      <c r="B670" s="10" t="s">
        <v>633</v>
      </c>
      <c r="C670" s="10" t="s">
        <v>322</v>
      </c>
      <c r="D670" s="10" t="s">
        <v>316</v>
      </c>
      <c r="E670" s="1">
        <v>310</v>
      </c>
    </row>
    <row r="671" spans="1:5" x14ac:dyDescent="0.4">
      <c r="D671" s="11" t="s">
        <v>1</v>
      </c>
      <c r="E671" s="1">
        <v>310</v>
      </c>
    </row>
    <row r="672" spans="1:5" x14ac:dyDescent="0.4">
      <c r="D672" s="39" t="s">
        <v>468</v>
      </c>
      <c r="E672" s="1">
        <v>310</v>
      </c>
    </row>
    <row r="673" spans="1:5" x14ac:dyDescent="0.4">
      <c r="B673" s="10" t="s">
        <v>634</v>
      </c>
      <c r="C673" s="10" t="s">
        <v>322</v>
      </c>
      <c r="D673" s="10" t="s">
        <v>316</v>
      </c>
      <c r="E673" s="1">
        <v>486</v>
      </c>
    </row>
    <row r="674" spans="1:5" x14ac:dyDescent="0.4">
      <c r="D674" s="11" t="s">
        <v>3</v>
      </c>
      <c r="E674" s="1">
        <v>486</v>
      </c>
    </row>
    <row r="675" spans="1:5" x14ac:dyDescent="0.4">
      <c r="D675" s="39" t="s">
        <v>428</v>
      </c>
      <c r="E675" s="1">
        <v>486</v>
      </c>
    </row>
    <row r="676" spans="1:5" x14ac:dyDescent="0.4">
      <c r="A676" s="10" t="s">
        <v>635</v>
      </c>
      <c r="B676" s="10" t="s">
        <v>320</v>
      </c>
      <c r="C676" s="10" t="s">
        <v>322</v>
      </c>
      <c r="D676" s="10" t="s">
        <v>316</v>
      </c>
      <c r="E676" s="1">
        <v>539</v>
      </c>
    </row>
    <row r="677" spans="1:5" x14ac:dyDescent="0.4">
      <c r="D677" s="11" t="s">
        <v>5</v>
      </c>
      <c r="E677" s="1">
        <v>539</v>
      </c>
    </row>
    <row r="678" spans="1:5" x14ac:dyDescent="0.4">
      <c r="D678" s="39" t="s">
        <v>359</v>
      </c>
      <c r="E678" s="1">
        <v>539</v>
      </c>
    </row>
    <row r="679" spans="1:5" x14ac:dyDescent="0.4">
      <c r="B679" s="10" t="s">
        <v>382</v>
      </c>
      <c r="C679" s="10" t="s">
        <v>322</v>
      </c>
      <c r="D679" s="10" t="s">
        <v>316</v>
      </c>
      <c r="E679" s="1">
        <v>705</v>
      </c>
    </row>
    <row r="680" spans="1:5" x14ac:dyDescent="0.4">
      <c r="D680" s="11" t="s">
        <v>4</v>
      </c>
      <c r="E680" s="1">
        <v>705</v>
      </c>
    </row>
    <row r="681" spans="1:5" x14ac:dyDescent="0.4">
      <c r="D681" s="39" t="s">
        <v>533</v>
      </c>
      <c r="E681" s="1">
        <v>705</v>
      </c>
    </row>
    <row r="682" spans="1:5" x14ac:dyDescent="0.4">
      <c r="B682" s="10" t="s">
        <v>636</v>
      </c>
      <c r="C682" s="10" t="s">
        <v>322</v>
      </c>
      <c r="D682" s="10" t="s">
        <v>316</v>
      </c>
      <c r="E682" s="1">
        <v>558</v>
      </c>
    </row>
    <row r="683" spans="1:5" x14ac:dyDescent="0.4">
      <c r="D683" s="11" t="s">
        <v>3</v>
      </c>
      <c r="E683" s="1">
        <v>558</v>
      </c>
    </row>
    <row r="684" spans="1:5" x14ac:dyDescent="0.4">
      <c r="D684" s="39" t="s">
        <v>324</v>
      </c>
      <c r="E684" s="1">
        <v>558</v>
      </c>
    </row>
    <row r="685" spans="1:5" x14ac:dyDescent="0.4">
      <c r="B685" s="10" t="s">
        <v>637</v>
      </c>
      <c r="C685" s="10" t="s">
        <v>322</v>
      </c>
      <c r="D685" s="10" t="s">
        <v>316</v>
      </c>
      <c r="E685" s="1">
        <v>64.150000000000006</v>
      </c>
    </row>
    <row r="686" spans="1:5" x14ac:dyDescent="0.4">
      <c r="D686" s="11" t="s">
        <v>1</v>
      </c>
      <c r="E686" s="1">
        <v>64.150000000000006</v>
      </c>
    </row>
    <row r="687" spans="1:5" x14ac:dyDescent="0.4">
      <c r="D687" s="39" t="s">
        <v>392</v>
      </c>
      <c r="E687" s="1">
        <v>64.150000000000006</v>
      </c>
    </row>
    <row r="688" spans="1:5" x14ac:dyDescent="0.4">
      <c r="B688" s="10" t="s">
        <v>638</v>
      </c>
      <c r="C688" s="10" t="s">
        <v>329</v>
      </c>
      <c r="D688" s="10" t="s">
        <v>316</v>
      </c>
      <c r="E688" s="1">
        <v>200</v>
      </c>
    </row>
    <row r="689" spans="1:5" x14ac:dyDescent="0.4">
      <c r="D689" s="11" t="s">
        <v>3</v>
      </c>
      <c r="E689" s="1">
        <v>200</v>
      </c>
    </row>
    <row r="690" spans="1:5" x14ac:dyDescent="0.4">
      <c r="D690" s="39" t="s">
        <v>343</v>
      </c>
      <c r="E690" s="1">
        <v>200</v>
      </c>
    </row>
    <row r="691" spans="1:5" x14ac:dyDescent="0.4">
      <c r="B691" s="10" t="s">
        <v>639</v>
      </c>
      <c r="C691" s="10" t="s">
        <v>329</v>
      </c>
      <c r="D691" s="10" t="s">
        <v>316</v>
      </c>
      <c r="E691" s="1">
        <v>0</v>
      </c>
    </row>
    <row r="692" spans="1:5" x14ac:dyDescent="0.4">
      <c r="D692" s="11" t="s">
        <v>3</v>
      </c>
      <c r="E692" s="1">
        <v>0</v>
      </c>
    </row>
    <row r="693" spans="1:5" x14ac:dyDescent="0.4">
      <c r="D693" s="39" t="s">
        <v>343</v>
      </c>
      <c r="E693" s="1">
        <v>0</v>
      </c>
    </row>
    <row r="694" spans="1:5" x14ac:dyDescent="0.4">
      <c r="B694" s="10" t="s">
        <v>640</v>
      </c>
      <c r="C694" s="10" t="s">
        <v>322</v>
      </c>
      <c r="D694" s="10" t="s">
        <v>316</v>
      </c>
      <c r="E694" s="1">
        <v>1468</v>
      </c>
    </row>
    <row r="695" spans="1:5" x14ac:dyDescent="0.4">
      <c r="D695" s="11" t="s">
        <v>3</v>
      </c>
      <c r="E695" s="1">
        <v>1468</v>
      </c>
    </row>
    <row r="696" spans="1:5" x14ac:dyDescent="0.4">
      <c r="D696" s="39" t="s">
        <v>641</v>
      </c>
      <c r="E696" s="1">
        <v>1468</v>
      </c>
    </row>
    <row r="697" spans="1:5" x14ac:dyDescent="0.4">
      <c r="C697" s="10" t="s">
        <v>414</v>
      </c>
      <c r="D697" s="10" t="s">
        <v>316</v>
      </c>
      <c r="E697" s="1">
        <v>1446</v>
      </c>
    </row>
    <row r="698" spans="1:5" x14ac:dyDescent="0.4">
      <c r="D698" s="11" t="s">
        <v>5</v>
      </c>
      <c r="E698" s="1">
        <v>1446</v>
      </c>
    </row>
    <row r="699" spans="1:5" x14ac:dyDescent="0.4">
      <c r="D699" s="39" t="s">
        <v>359</v>
      </c>
      <c r="E699" s="1">
        <v>1446</v>
      </c>
    </row>
    <row r="700" spans="1:5" x14ac:dyDescent="0.4">
      <c r="B700" s="10" t="s">
        <v>642</v>
      </c>
      <c r="C700" s="10" t="s">
        <v>361</v>
      </c>
      <c r="D700" s="10" t="s">
        <v>316</v>
      </c>
      <c r="E700" s="1">
        <v>0</v>
      </c>
    </row>
    <row r="701" spans="1:5" x14ac:dyDescent="0.4">
      <c r="D701" s="11" t="s">
        <v>6</v>
      </c>
      <c r="E701" s="1">
        <v>0</v>
      </c>
    </row>
    <row r="702" spans="1:5" x14ac:dyDescent="0.4">
      <c r="D702" s="39" t="s">
        <v>415</v>
      </c>
      <c r="E702" s="1">
        <v>0</v>
      </c>
    </row>
    <row r="703" spans="1:5" x14ac:dyDescent="0.4">
      <c r="A703" s="10" t="s">
        <v>643</v>
      </c>
      <c r="B703" s="10" t="s">
        <v>368</v>
      </c>
      <c r="C703" s="10" t="s">
        <v>322</v>
      </c>
      <c r="D703" s="10" t="s">
        <v>316</v>
      </c>
      <c r="E703" s="1">
        <v>1048.56</v>
      </c>
    </row>
    <row r="704" spans="1:5" x14ac:dyDescent="0.4">
      <c r="D704" s="11" t="s">
        <v>1</v>
      </c>
      <c r="E704" s="1">
        <v>1048.56</v>
      </c>
    </row>
    <row r="705" spans="1:5" x14ac:dyDescent="0.4">
      <c r="D705" s="39" t="s">
        <v>582</v>
      </c>
      <c r="E705" s="1">
        <v>1048.56</v>
      </c>
    </row>
    <row r="706" spans="1:5" x14ac:dyDescent="0.4">
      <c r="B706" s="10" t="s">
        <v>644</v>
      </c>
      <c r="C706" s="10" t="s">
        <v>361</v>
      </c>
      <c r="D706" s="10" t="s">
        <v>316</v>
      </c>
      <c r="E706" s="1">
        <v>0</v>
      </c>
    </row>
    <row r="707" spans="1:5" x14ac:dyDescent="0.4">
      <c r="D707" s="11" t="s">
        <v>12</v>
      </c>
      <c r="E707" s="1">
        <v>0</v>
      </c>
    </row>
    <row r="708" spans="1:5" x14ac:dyDescent="0.4">
      <c r="D708" s="39" t="s">
        <v>398</v>
      </c>
      <c r="E708" s="1">
        <v>0</v>
      </c>
    </row>
    <row r="709" spans="1:5" x14ac:dyDescent="0.4">
      <c r="B709" s="10" t="s">
        <v>577</v>
      </c>
      <c r="C709" s="10" t="s">
        <v>395</v>
      </c>
      <c r="D709" s="10" t="s">
        <v>316</v>
      </c>
      <c r="E709" s="1">
        <v>0</v>
      </c>
    </row>
    <row r="710" spans="1:5" x14ac:dyDescent="0.4">
      <c r="D710" s="11" t="s">
        <v>3</v>
      </c>
      <c r="E710" s="1">
        <v>0</v>
      </c>
    </row>
    <row r="711" spans="1:5" x14ac:dyDescent="0.4">
      <c r="D711" s="39" t="s">
        <v>343</v>
      </c>
      <c r="E711" s="1">
        <v>0</v>
      </c>
    </row>
    <row r="712" spans="1:5" x14ac:dyDescent="0.4">
      <c r="A712" s="10" t="s">
        <v>645</v>
      </c>
      <c r="B712" s="10" t="s">
        <v>646</v>
      </c>
      <c r="C712" s="10" t="s">
        <v>539</v>
      </c>
      <c r="D712" s="10" t="s">
        <v>316</v>
      </c>
      <c r="E712" s="1">
        <v>1282.4000000000001</v>
      </c>
    </row>
    <row r="713" spans="1:5" x14ac:dyDescent="0.4">
      <c r="D713" s="11" t="s">
        <v>6</v>
      </c>
      <c r="E713" s="1">
        <v>1282.4000000000001</v>
      </c>
    </row>
    <row r="714" spans="1:5" x14ac:dyDescent="0.4">
      <c r="D714" s="39" t="s">
        <v>647</v>
      </c>
      <c r="E714" s="1">
        <v>1282.4000000000001</v>
      </c>
    </row>
    <row r="715" spans="1:5" x14ac:dyDescent="0.4">
      <c r="B715" s="10" t="s">
        <v>648</v>
      </c>
      <c r="C715" s="10" t="s">
        <v>539</v>
      </c>
      <c r="D715" s="10" t="s">
        <v>316</v>
      </c>
      <c r="E715" s="1">
        <v>1268.3599999999999</v>
      </c>
    </row>
    <row r="716" spans="1:5" x14ac:dyDescent="0.4">
      <c r="D716" s="11" t="s">
        <v>8</v>
      </c>
      <c r="E716" s="1">
        <v>1268.3599999999999</v>
      </c>
    </row>
    <row r="717" spans="1:5" x14ac:dyDescent="0.4">
      <c r="D717" s="39" t="s">
        <v>649</v>
      </c>
      <c r="E717" s="1">
        <v>1268.3599999999999</v>
      </c>
    </row>
    <row r="718" spans="1:5" x14ac:dyDescent="0.4">
      <c r="B718" s="10" t="s">
        <v>441</v>
      </c>
      <c r="C718" s="10" t="s">
        <v>322</v>
      </c>
      <c r="D718" s="10" t="s">
        <v>316</v>
      </c>
      <c r="E718" s="1">
        <v>5892</v>
      </c>
    </row>
    <row r="719" spans="1:5" x14ac:dyDescent="0.4">
      <c r="D719" s="11" t="s">
        <v>4</v>
      </c>
      <c r="E719" s="1">
        <v>5892</v>
      </c>
    </row>
    <row r="720" spans="1:5" x14ac:dyDescent="0.4">
      <c r="D720" s="39" t="s">
        <v>386</v>
      </c>
      <c r="E720" s="1">
        <v>5892</v>
      </c>
    </row>
    <row r="721" spans="1:5" x14ac:dyDescent="0.4">
      <c r="B721" s="10" t="s">
        <v>650</v>
      </c>
      <c r="C721" s="10" t="s">
        <v>322</v>
      </c>
      <c r="D721" s="10" t="s">
        <v>316</v>
      </c>
      <c r="E721" s="1">
        <v>1500</v>
      </c>
    </row>
    <row r="722" spans="1:5" x14ac:dyDescent="0.4">
      <c r="D722" s="11" t="s">
        <v>4</v>
      </c>
      <c r="E722" s="1">
        <v>1500</v>
      </c>
    </row>
    <row r="723" spans="1:5" x14ac:dyDescent="0.4">
      <c r="D723" s="39" t="s">
        <v>386</v>
      </c>
      <c r="E723" s="1">
        <v>1500</v>
      </c>
    </row>
    <row r="724" spans="1:5" x14ac:dyDescent="0.4">
      <c r="B724" s="10" t="s">
        <v>651</v>
      </c>
      <c r="C724" s="10" t="s">
        <v>322</v>
      </c>
      <c r="D724" s="10" t="s">
        <v>316</v>
      </c>
      <c r="E724" s="1">
        <v>500</v>
      </c>
    </row>
    <row r="725" spans="1:5" x14ac:dyDescent="0.4">
      <c r="D725" s="11" t="s">
        <v>4</v>
      </c>
      <c r="E725" s="1">
        <v>500</v>
      </c>
    </row>
    <row r="726" spans="1:5" x14ac:dyDescent="0.4">
      <c r="D726" s="39" t="s">
        <v>371</v>
      </c>
      <c r="E726" s="1">
        <v>500</v>
      </c>
    </row>
    <row r="727" spans="1:5" x14ac:dyDescent="0.4">
      <c r="A727" s="10" t="s">
        <v>652</v>
      </c>
      <c r="B727" s="10" t="s">
        <v>652</v>
      </c>
      <c r="C727" s="10" t="s">
        <v>652</v>
      </c>
      <c r="D727" s="10" t="s">
        <v>653</v>
      </c>
    </row>
    <row r="728" spans="1:5" x14ac:dyDescent="0.4">
      <c r="D728" s="11" t="s">
        <v>653</v>
      </c>
    </row>
    <row r="729" spans="1:5" x14ac:dyDescent="0.4">
      <c r="D729" s="39" t="s">
        <v>652</v>
      </c>
    </row>
    <row r="730" spans="1:5" x14ac:dyDescent="0.4">
      <c r="A730" s="10" t="s">
        <v>663</v>
      </c>
      <c r="B730" s="10" t="s">
        <v>664</v>
      </c>
      <c r="C730" s="10" t="s">
        <v>329</v>
      </c>
      <c r="D730" s="10" t="s">
        <v>316</v>
      </c>
      <c r="E730" s="1">
        <v>0</v>
      </c>
    </row>
    <row r="731" spans="1:5" x14ac:dyDescent="0.4">
      <c r="D731" s="11" t="s">
        <v>1</v>
      </c>
      <c r="E731" s="1">
        <v>0</v>
      </c>
    </row>
    <row r="732" spans="1:5" x14ac:dyDescent="0.4">
      <c r="D732" s="39" t="s">
        <v>373</v>
      </c>
      <c r="E732" s="1">
        <v>0</v>
      </c>
    </row>
    <row r="733" spans="1:5" x14ac:dyDescent="0.4">
      <c r="A733" s="10" t="s">
        <v>665</v>
      </c>
      <c r="B733" s="10" t="s">
        <v>368</v>
      </c>
      <c r="C733" s="10" t="s">
        <v>318</v>
      </c>
      <c r="D733" s="10" t="s">
        <v>316</v>
      </c>
      <c r="E733" s="1">
        <v>3600</v>
      </c>
    </row>
    <row r="734" spans="1:5" x14ac:dyDescent="0.4">
      <c r="D734" s="11" t="s">
        <v>7</v>
      </c>
      <c r="E734" s="1">
        <v>3600</v>
      </c>
    </row>
    <row r="735" spans="1:5" x14ac:dyDescent="0.4">
      <c r="D735" s="39" t="s">
        <v>440</v>
      </c>
      <c r="E735" s="1">
        <v>3600</v>
      </c>
    </row>
    <row r="736" spans="1:5" x14ac:dyDescent="0.4">
      <c r="B736" s="10" t="s">
        <v>666</v>
      </c>
      <c r="C736" s="10" t="s">
        <v>322</v>
      </c>
      <c r="D736" s="10" t="s">
        <v>316</v>
      </c>
      <c r="E736" s="1">
        <v>155</v>
      </c>
    </row>
    <row r="737" spans="1:5" x14ac:dyDescent="0.4">
      <c r="D737" s="11" t="s">
        <v>2</v>
      </c>
      <c r="E737" s="1">
        <v>155</v>
      </c>
    </row>
    <row r="738" spans="1:5" x14ac:dyDescent="0.4">
      <c r="D738" s="39" t="s">
        <v>418</v>
      </c>
      <c r="E738" s="1">
        <v>155</v>
      </c>
    </row>
    <row r="739" spans="1:5" x14ac:dyDescent="0.4">
      <c r="B739" s="10" t="s">
        <v>667</v>
      </c>
      <c r="C739" s="10" t="s">
        <v>322</v>
      </c>
      <c r="D739" s="10" t="s">
        <v>316</v>
      </c>
      <c r="E739" s="1">
        <v>310</v>
      </c>
    </row>
    <row r="740" spans="1:5" x14ac:dyDescent="0.4">
      <c r="D740" s="11" t="s">
        <v>2</v>
      </c>
      <c r="E740" s="1">
        <v>310</v>
      </c>
    </row>
    <row r="741" spans="1:5" x14ac:dyDescent="0.4">
      <c r="D741" s="39" t="s">
        <v>328</v>
      </c>
      <c r="E741" s="1">
        <v>310</v>
      </c>
    </row>
    <row r="742" spans="1:5" x14ac:dyDescent="0.4">
      <c r="A742" s="10" t="s">
        <v>668</v>
      </c>
      <c r="B742" s="10" t="s">
        <v>669</v>
      </c>
      <c r="C742" s="10" t="s">
        <v>395</v>
      </c>
      <c r="D742" s="10" t="s">
        <v>316</v>
      </c>
      <c r="E742" s="1">
        <v>22534.63</v>
      </c>
    </row>
    <row r="743" spans="1:5" x14ac:dyDescent="0.4">
      <c r="D743" s="11" t="s">
        <v>369</v>
      </c>
      <c r="E743" s="1">
        <v>22534.63</v>
      </c>
    </row>
    <row r="744" spans="1:5" x14ac:dyDescent="0.4">
      <c r="D744" s="39" t="s">
        <v>597</v>
      </c>
      <c r="E744" s="1">
        <v>22534.63</v>
      </c>
    </row>
    <row r="745" spans="1:5" x14ac:dyDescent="0.4">
      <c r="B745" s="10" t="s">
        <v>390</v>
      </c>
      <c r="C745" s="10" t="s">
        <v>322</v>
      </c>
      <c r="D745" s="10" t="s">
        <v>316</v>
      </c>
      <c r="E745" s="1">
        <v>2154.85</v>
      </c>
    </row>
    <row r="746" spans="1:5" x14ac:dyDescent="0.4">
      <c r="D746" s="11" t="s">
        <v>3</v>
      </c>
      <c r="E746" s="1">
        <v>2154.85</v>
      </c>
    </row>
    <row r="747" spans="1:5" x14ac:dyDescent="0.4">
      <c r="D747" s="39" t="s">
        <v>529</v>
      </c>
      <c r="E747" s="1">
        <v>2154.85</v>
      </c>
    </row>
    <row r="748" spans="1:5" x14ac:dyDescent="0.4">
      <c r="B748" s="10" t="s">
        <v>670</v>
      </c>
      <c r="C748" s="10" t="s">
        <v>322</v>
      </c>
      <c r="D748" s="10" t="s">
        <v>316</v>
      </c>
      <c r="E748" s="1">
        <v>51.99</v>
      </c>
    </row>
    <row r="749" spans="1:5" x14ac:dyDescent="0.4">
      <c r="D749" s="11" t="s">
        <v>4</v>
      </c>
      <c r="E749" s="1">
        <v>51.99</v>
      </c>
    </row>
    <row r="750" spans="1:5" x14ac:dyDescent="0.4">
      <c r="D750" s="39" t="s">
        <v>533</v>
      </c>
      <c r="E750" s="1">
        <v>51.99</v>
      </c>
    </row>
    <row r="751" spans="1:5" x14ac:dyDescent="0.4">
      <c r="B751" s="10" t="s">
        <v>671</v>
      </c>
      <c r="C751" s="10" t="s">
        <v>322</v>
      </c>
      <c r="D751" s="10" t="s">
        <v>316</v>
      </c>
      <c r="E751" s="1">
        <v>6225.2</v>
      </c>
    </row>
    <row r="752" spans="1:5" x14ac:dyDescent="0.4">
      <c r="D752" s="11" t="s">
        <v>4</v>
      </c>
      <c r="E752" s="1">
        <v>6225.2</v>
      </c>
    </row>
    <row r="753" spans="1:5" x14ac:dyDescent="0.4">
      <c r="D753" s="39" t="s">
        <v>672</v>
      </c>
      <c r="E753" s="1">
        <v>6225.2</v>
      </c>
    </row>
    <row r="754" spans="1:5" x14ac:dyDescent="0.4">
      <c r="A754" s="10" t="s">
        <v>673</v>
      </c>
      <c r="B754" s="10" t="s">
        <v>674</v>
      </c>
      <c r="C754" s="10" t="s">
        <v>361</v>
      </c>
      <c r="D754" s="10" t="s">
        <v>316</v>
      </c>
      <c r="E754" s="1">
        <v>10506</v>
      </c>
    </row>
    <row r="755" spans="1:5" x14ac:dyDescent="0.4">
      <c r="D755" s="11" t="s">
        <v>5</v>
      </c>
      <c r="E755" s="1">
        <v>10506</v>
      </c>
    </row>
    <row r="756" spans="1:5" x14ac:dyDescent="0.4">
      <c r="D756" s="39" t="s">
        <v>359</v>
      </c>
      <c r="E756" s="1">
        <v>10506</v>
      </c>
    </row>
    <row r="757" spans="1:5" x14ac:dyDescent="0.4">
      <c r="B757" s="10" t="s">
        <v>675</v>
      </c>
      <c r="C757" s="10" t="s">
        <v>395</v>
      </c>
      <c r="D757" s="10" t="s">
        <v>316</v>
      </c>
      <c r="E757" s="1">
        <v>12108</v>
      </c>
    </row>
    <row r="758" spans="1:5" x14ac:dyDescent="0.4">
      <c r="D758" s="11" t="s">
        <v>5</v>
      </c>
      <c r="E758" s="1">
        <v>12108</v>
      </c>
    </row>
    <row r="759" spans="1:5" x14ac:dyDescent="0.4">
      <c r="D759" s="39" t="s">
        <v>359</v>
      </c>
      <c r="E759" s="1">
        <v>12108</v>
      </c>
    </row>
    <row r="760" spans="1:5" x14ac:dyDescent="0.4">
      <c r="A760" s="10" t="s">
        <v>676</v>
      </c>
      <c r="B760" s="10" t="s">
        <v>677</v>
      </c>
      <c r="C760" s="10" t="s">
        <v>329</v>
      </c>
      <c r="D760" s="10" t="s">
        <v>316</v>
      </c>
      <c r="E760" s="1">
        <v>0</v>
      </c>
    </row>
    <row r="761" spans="1:5" x14ac:dyDescent="0.4">
      <c r="D761" s="11" t="s">
        <v>2</v>
      </c>
      <c r="E761" s="1">
        <v>0</v>
      </c>
    </row>
    <row r="762" spans="1:5" x14ac:dyDescent="0.4">
      <c r="D762" s="39" t="s">
        <v>465</v>
      </c>
      <c r="E762" s="1">
        <v>0</v>
      </c>
    </row>
    <row r="763" spans="1:5" x14ac:dyDescent="0.4">
      <c r="B763" s="10" t="s">
        <v>678</v>
      </c>
      <c r="C763" s="10" t="s">
        <v>322</v>
      </c>
      <c r="D763" s="10" t="s">
        <v>316</v>
      </c>
      <c r="E763" s="1">
        <v>481.56</v>
      </c>
    </row>
    <row r="764" spans="1:5" x14ac:dyDescent="0.4">
      <c r="D764" s="11" t="s">
        <v>4</v>
      </c>
      <c r="E764" s="1">
        <v>481.56</v>
      </c>
    </row>
    <row r="765" spans="1:5" x14ac:dyDescent="0.4">
      <c r="D765" s="39" t="s">
        <v>592</v>
      </c>
      <c r="E765" s="1">
        <v>481.56</v>
      </c>
    </row>
    <row r="766" spans="1:5" x14ac:dyDescent="0.4">
      <c r="B766" s="10" t="s">
        <v>679</v>
      </c>
      <c r="C766" s="10" t="s">
        <v>361</v>
      </c>
      <c r="D766" s="10" t="s">
        <v>316</v>
      </c>
      <c r="E766" s="1">
        <v>0</v>
      </c>
    </row>
    <row r="767" spans="1:5" x14ac:dyDescent="0.4">
      <c r="D767" s="11" t="s">
        <v>5</v>
      </c>
      <c r="E767" s="1">
        <v>0</v>
      </c>
    </row>
    <row r="768" spans="1:5" x14ac:dyDescent="0.4">
      <c r="D768" s="39" t="s">
        <v>359</v>
      </c>
      <c r="E768" s="1">
        <v>0</v>
      </c>
    </row>
    <row r="769" spans="1:5" x14ac:dyDescent="0.4">
      <c r="B769" s="10" t="s">
        <v>680</v>
      </c>
      <c r="C769" s="10" t="s">
        <v>322</v>
      </c>
      <c r="D769" s="10" t="s">
        <v>316</v>
      </c>
      <c r="E769" s="1">
        <v>620</v>
      </c>
    </row>
    <row r="770" spans="1:5" x14ac:dyDescent="0.4">
      <c r="D770" s="11" t="s">
        <v>4</v>
      </c>
      <c r="E770" s="1">
        <v>620</v>
      </c>
    </row>
    <row r="771" spans="1:5" x14ac:dyDescent="0.4">
      <c r="D771" s="39" t="s">
        <v>425</v>
      </c>
      <c r="E771" s="1">
        <v>620</v>
      </c>
    </row>
    <row r="772" spans="1:5" x14ac:dyDescent="0.4">
      <c r="A772" s="10" t="s">
        <v>681</v>
      </c>
      <c r="B772" s="10" t="s">
        <v>315</v>
      </c>
      <c r="C772" s="10" t="s">
        <v>539</v>
      </c>
      <c r="D772" s="10" t="s">
        <v>316</v>
      </c>
      <c r="E772" s="1">
        <v>9170</v>
      </c>
    </row>
    <row r="773" spans="1:5" x14ac:dyDescent="0.4">
      <c r="D773" s="11" t="s">
        <v>8</v>
      </c>
      <c r="E773" s="1">
        <v>9170</v>
      </c>
    </row>
    <row r="774" spans="1:5" x14ac:dyDescent="0.4">
      <c r="D774" s="39" t="s">
        <v>317</v>
      </c>
      <c r="E774" s="1">
        <v>9170</v>
      </c>
    </row>
    <row r="775" spans="1:5" x14ac:dyDescent="0.4">
      <c r="B775" s="10" t="s">
        <v>682</v>
      </c>
      <c r="C775" s="10" t="s">
        <v>322</v>
      </c>
      <c r="D775" s="10" t="s">
        <v>316</v>
      </c>
      <c r="E775" s="1">
        <v>4650</v>
      </c>
    </row>
    <row r="776" spans="1:5" x14ac:dyDescent="0.4">
      <c r="D776" s="11" t="s">
        <v>3</v>
      </c>
      <c r="E776" s="1">
        <v>4650</v>
      </c>
    </row>
    <row r="777" spans="1:5" x14ac:dyDescent="0.4">
      <c r="D777" s="39" t="s">
        <v>343</v>
      </c>
      <c r="E777" s="1">
        <v>4650</v>
      </c>
    </row>
    <row r="778" spans="1:5" x14ac:dyDescent="0.4">
      <c r="B778" s="10" t="s">
        <v>578</v>
      </c>
      <c r="C778" s="10" t="s">
        <v>361</v>
      </c>
      <c r="D778" s="10" t="s">
        <v>316</v>
      </c>
      <c r="E778" s="1">
        <v>350</v>
      </c>
    </row>
    <row r="779" spans="1:5" x14ac:dyDescent="0.4">
      <c r="D779" s="11" t="s">
        <v>5</v>
      </c>
      <c r="E779" s="1">
        <v>350</v>
      </c>
    </row>
    <row r="780" spans="1:5" x14ac:dyDescent="0.4">
      <c r="D780" s="39" t="s">
        <v>359</v>
      </c>
      <c r="E780" s="1">
        <v>350</v>
      </c>
    </row>
    <row r="781" spans="1:5" x14ac:dyDescent="0.4">
      <c r="B781" s="10" t="s">
        <v>683</v>
      </c>
      <c r="C781" s="10" t="s">
        <v>329</v>
      </c>
      <c r="D781" s="10" t="s">
        <v>316</v>
      </c>
      <c r="E781" s="1">
        <v>5</v>
      </c>
    </row>
    <row r="782" spans="1:5" x14ac:dyDescent="0.4">
      <c r="D782" s="11" t="s">
        <v>1</v>
      </c>
      <c r="E782" s="1">
        <v>5</v>
      </c>
    </row>
    <row r="783" spans="1:5" x14ac:dyDescent="0.4">
      <c r="D783" s="39" t="s">
        <v>392</v>
      </c>
      <c r="E783" s="1">
        <v>5</v>
      </c>
    </row>
    <row r="784" spans="1:5" x14ac:dyDescent="0.4">
      <c r="B784" s="10" t="s">
        <v>684</v>
      </c>
      <c r="C784" s="10" t="s">
        <v>322</v>
      </c>
      <c r="D784" s="10" t="s">
        <v>316</v>
      </c>
      <c r="E784" s="1">
        <v>1107.4100000000001</v>
      </c>
    </row>
    <row r="785" spans="2:5" x14ac:dyDescent="0.4">
      <c r="D785" s="11" t="s">
        <v>1</v>
      </c>
      <c r="E785" s="1">
        <v>1107.4100000000001</v>
      </c>
    </row>
    <row r="786" spans="2:5" x14ac:dyDescent="0.4">
      <c r="D786" s="39" t="s">
        <v>685</v>
      </c>
      <c r="E786" s="1">
        <v>1107.4100000000001</v>
      </c>
    </row>
    <row r="787" spans="2:5" x14ac:dyDescent="0.4">
      <c r="B787" s="10" t="s">
        <v>686</v>
      </c>
      <c r="C787" s="10" t="s">
        <v>322</v>
      </c>
      <c r="D787" s="10" t="s">
        <v>316</v>
      </c>
      <c r="E787" s="1">
        <v>875</v>
      </c>
    </row>
    <row r="788" spans="2:5" x14ac:dyDescent="0.4">
      <c r="D788" s="11" t="s">
        <v>2</v>
      </c>
      <c r="E788" s="1">
        <v>875</v>
      </c>
    </row>
    <row r="789" spans="2:5" x14ac:dyDescent="0.4">
      <c r="D789" s="39" t="s">
        <v>687</v>
      </c>
      <c r="E789" s="1">
        <v>875</v>
      </c>
    </row>
    <row r="790" spans="2:5" x14ac:dyDescent="0.4">
      <c r="B790" s="10" t="s">
        <v>510</v>
      </c>
      <c r="C790" s="10" t="s">
        <v>322</v>
      </c>
      <c r="D790" s="10" t="s">
        <v>316</v>
      </c>
      <c r="E790" s="1">
        <v>39.979999999999997</v>
      </c>
    </row>
    <row r="791" spans="2:5" x14ac:dyDescent="0.4">
      <c r="D791" s="11" t="s">
        <v>3</v>
      </c>
      <c r="E791" s="1">
        <v>39.979999999999997</v>
      </c>
    </row>
    <row r="792" spans="2:5" x14ac:dyDescent="0.4">
      <c r="D792" s="39" t="s">
        <v>641</v>
      </c>
      <c r="E792" s="1">
        <v>39.979999999999997</v>
      </c>
    </row>
    <row r="793" spans="2:5" x14ac:dyDescent="0.4">
      <c r="B793" s="10" t="s">
        <v>688</v>
      </c>
      <c r="C793" s="10" t="s">
        <v>322</v>
      </c>
      <c r="D793" s="10" t="s">
        <v>316</v>
      </c>
      <c r="E793" s="1">
        <v>725</v>
      </c>
    </row>
    <row r="794" spans="2:5" x14ac:dyDescent="0.4">
      <c r="D794" s="11" t="s">
        <v>3</v>
      </c>
      <c r="E794" s="1">
        <v>725</v>
      </c>
    </row>
    <row r="795" spans="2:5" x14ac:dyDescent="0.4">
      <c r="D795" s="39" t="s">
        <v>616</v>
      </c>
      <c r="E795" s="1">
        <v>725</v>
      </c>
    </row>
    <row r="796" spans="2:5" x14ac:dyDescent="0.4">
      <c r="B796" s="10" t="s">
        <v>689</v>
      </c>
      <c r="C796" s="10" t="s">
        <v>329</v>
      </c>
      <c r="D796" s="10" t="s">
        <v>316</v>
      </c>
      <c r="E796" s="1">
        <v>1275</v>
      </c>
    </row>
    <row r="797" spans="2:5" x14ac:dyDescent="0.4">
      <c r="D797" s="11" t="s">
        <v>4</v>
      </c>
      <c r="E797" s="1">
        <v>1275</v>
      </c>
    </row>
    <row r="798" spans="2:5" x14ac:dyDescent="0.4">
      <c r="D798" s="39" t="s">
        <v>386</v>
      </c>
      <c r="E798" s="1">
        <v>1275</v>
      </c>
    </row>
    <row r="799" spans="2:5" x14ac:dyDescent="0.4">
      <c r="B799" s="10" t="s">
        <v>690</v>
      </c>
      <c r="C799" s="10" t="s">
        <v>322</v>
      </c>
      <c r="D799" s="10" t="s">
        <v>316</v>
      </c>
      <c r="E799" s="1">
        <v>15.45</v>
      </c>
    </row>
    <row r="800" spans="2:5" x14ac:dyDescent="0.4">
      <c r="D800" s="11" t="s">
        <v>4</v>
      </c>
      <c r="E800" s="1">
        <v>15.45</v>
      </c>
    </row>
    <row r="801" spans="1:5" x14ac:dyDescent="0.4">
      <c r="D801" s="39" t="s">
        <v>389</v>
      </c>
      <c r="E801" s="1">
        <v>15.45</v>
      </c>
    </row>
    <row r="802" spans="1:5" x14ac:dyDescent="0.4">
      <c r="A802" s="10" t="s">
        <v>691</v>
      </c>
      <c r="B802" s="10" t="s">
        <v>692</v>
      </c>
      <c r="C802" s="10" t="s">
        <v>414</v>
      </c>
      <c r="D802" s="10" t="s">
        <v>316</v>
      </c>
      <c r="E802" s="1">
        <v>10000</v>
      </c>
    </row>
    <row r="803" spans="1:5" x14ac:dyDescent="0.4">
      <c r="D803" s="11" t="s">
        <v>12</v>
      </c>
      <c r="E803" s="1">
        <v>10000</v>
      </c>
    </row>
    <row r="804" spans="1:5" x14ac:dyDescent="0.4">
      <c r="D804" s="39" t="s">
        <v>398</v>
      </c>
      <c r="E804" s="1">
        <v>10000</v>
      </c>
    </row>
    <row r="805" spans="1:5" x14ac:dyDescent="0.4">
      <c r="B805" s="10" t="s">
        <v>693</v>
      </c>
      <c r="C805" s="10" t="s">
        <v>322</v>
      </c>
      <c r="D805" s="10" t="s">
        <v>316</v>
      </c>
      <c r="E805" s="1">
        <v>375</v>
      </c>
    </row>
    <row r="806" spans="1:5" x14ac:dyDescent="0.4">
      <c r="D806" s="11" t="s">
        <v>1</v>
      </c>
      <c r="E806" s="1">
        <v>375</v>
      </c>
    </row>
    <row r="807" spans="1:5" x14ac:dyDescent="0.4">
      <c r="D807" s="39" t="s">
        <v>373</v>
      </c>
      <c r="E807" s="1">
        <v>375</v>
      </c>
    </row>
    <row r="808" spans="1:5" x14ac:dyDescent="0.4">
      <c r="A808" s="10" t="s">
        <v>694</v>
      </c>
      <c r="B808" s="10" t="s">
        <v>368</v>
      </c>
      <c r="C808" s="10" t="s">
        <v>318</v>
      </c>
      <c r="D808" s="10" t="s">
        <v>316</v>
      </c>
      <c r="E808" s="1">
        <v>3220</v>
      </c>
    </row>
    <row r="809" spans="1:5" x14ac:dyDescent="0.4">
      <c r="D809" s="11" t="s">
        <v>5</v>
      </c>
      <c r="E809" s="1">
        <v>3220</v>
      </c>
    </row>
    <row r="810" spans="1:5" x14ac:dyDescent="0.4">
      <c r="D810" s="39" t="s">
        <v>695</v>
      </c>
      <c r="E810" s="1">
        <v>3220</v>
      </c>
    </row>
    <row r="811" spans="1:5" x14ac:dyDescent="0.4">
      <c r="B811" s="10" t="s">
        <v>434</v>
      </c>
      <c r="C811" s="10" t="s">
        <v>401</v>
      </c>
      <c r="D811" s="10" t="s">
        <v>316</v>
      </c>
      <c r="E811" s="1">
        <v>62.5</v>
      </c>
    </row>
    <row r="812" spans="1:5" x14ac:dyDescent="0.4">
      <c r="D812" s="11" t="s">
        <v>5</v>
      </c>
      <c r="E812" s="1">
        <v>62.5</v>
      </c>
    </row>
    <row r="813" spans="1:5" x14ac:dyDescent="0.4">
      <c r="D813" s="39" t="s">
        <v>359</v>
      </c>
      <c r="E813" s="1">
        <v>62.5</v>
      </c>
    </row>
    <row r="814" spans="1:5" x14ac:dyDescent="0.4">
      <c r="B814" s="10" t="s">
        <v>696</v>
      </c>
      <c r="C814" s="10" t="s">
        <v>329</v>
      </c>
      <c r="D814" s="10" t="s">
        <v>316</v>
      </c>
      <c r="E814" s="1">
        <v>0</v>
      </c>
    </row>
    <row r="815" spans="1:5" x14ac:dyDescent="0.4">
      <c r="D815" s="11" t="s">
        <v>2</v>
      </c>
      <c r="E815" s="1">
        <v>0</v>
      </c>
    </row>
    <row r="816" spans="1:5" x14ac:dyDescent="0.4">
      <c r="D816" s="39" t="s">
        <v>328</v>
      </c>
      <c r="E816" s="1">
        <v>0</v>
      </c>
    </row>
    <row r="817" spans="1:5" x14ac:dyDescent="0.4">
      <c r="B817" s="10" t="s">
        <v>697</v>
      </c>
      <c r="C817" s="10" t="s">
        <v>322</v>
      </c>
      <c r="D817" s="10" t="s">
        <v>316</v>
      </c>
      <c r="E817" s="1">
        <v>14621.02</v>
      </c>
    </row>
    <row r="818" spans="1:5" x14ac:dyDescent="0.4">
      <c r="D818" s="11" t="s">
        <v>4</v>
      </c>
      <c r="E818" s="1">
        <v>14621.02</v>
      </c>
    </row>
    <row r="819" spans="1:5" x14ac:dyDescent="0.4">
      <c r="D819" s="39" t="s">
        <v>386</v>
      </c>
      <c r="E819" s="1">
        <v>14621.02</v>
      </c>
    </row>
    <row r="820" spans="1:5" x14ac:dyDescent="0.4">
      <c r="A820" s="10" t="s">
        <v>698</v>
      </c>
      <c r="B820" s="10" t="s">
        <v>434</v>
      </c>
      <c r="C820" s="10" t="s">
        <v>361</v>
      </c>
      <c r="D820" s="10" t="s">
        <v>316</v>
      </c>
      <c r="E820" s="1">
        <v>189</v>
      </c>
    </row>
    <row r="821" spans="1:5" x14ac:dyDescent="0.4">
      <c r="D821" s="11" t="s">
        <v>2</v>
      </c>
      <c r="E821" s="1">
        <v>189</v>
      </c>
    </row>
    <row r="822" spans="1:5" x14ac:dyDescent="0.4">
      <c r="D822" s="39" t="s">
        <v>328</v>
      </c>
      <c r="E822" s="1">
        <v>189</v>
      </c>
    </row>
    <row r="823" spans="1:5" x14ac:dyDescent="0.4">
      <c r="B823" s="10" t="s">
        <v>699</v>
      </c>
      <c r="C823" s="10" t="s">
        <v>322</v>
      </c>
      <c r="D823" s="10" t="s">
        <v>316</v>
      </c>
      <c r="E823" s="1">
        <v>167.76</v>
      </c>
    </row>
    <row r="824" spans="1:5" x14ac:dyDescent="0.4">
      <c r="D824" s="11" t="s">
        <v>3</v>
      </c>
      <c r="E824" s="1">
        <v>167.76</v>
      </c>
    </row>
    <row r="825" spans="1:5" x14ac:dyDescent="0.4">
      <c r="D825" s="39" t="s">
        <v>700</v>
      </c>
      <c r="E825" s="1">
        <v>167.76</v>
      </c>
    </row>
    <row r="826" spans="1:5" x14ac:dyDescent="0.4">
      <c r="A826" s="10" t="s">
        <v>701</v>
      </c>
      <c r="B826" s="10" t="s">
        <v>602</v>
      </c>
      <c r="C826" s="10" t="s">
        <v>322</v>
      </c>
      <c r="D826" s="10" t="s">
        <v>316</v>
      </c>
      <c r="E826" s="1">
        <v>1399.25</v>
      </c>
    </row>
    <row r="827" spans="1:5" x14ac:dyDescent="0.4">
      <c r="D827" s="11" t="s">
        <v>1</v>
      </c>
      <c r="E827" s="1">
        <v>1399.25</v>
      </c>
    </row>
    <row r="828" spans="1:5" x14ac:dyDescent="0.4">
      <c r="D828" s="39" t="s">
        <v>454</v>
      </c>
      <c r="E828" s="1">
        <v>1399.25</v>
      </c>
    </row>
    <row r="829" spans="1:5" x14ac:dyDescent="0.4">
      <c r="A829" s="10" t="s">
        <v>702</v>
      </c>
      <c r="B829" s="10" t="s">
        <v>703</v>
      </c>
      <c r="C829" s="10" t="s">
        <v>322</v>
      </c>
      <c r="D829" s="10" t="s">
        <v>316</v>
      </c>
      <c r="E829" s="1">
        <v>4680</v>
      </c>
    </row>
    <row r="830" spans="1:5" x14ac:dyDescent="0.4">
      <c r="D830" s="11" t="s">
        <v>3</v>
      </c>
      <c r="E830" s="1">
        <v>4680</v>
      </c>
    </row>
    <row r="831" spans="1:5" x14ac:dyDescent="0.4">
      <c r="D831" s="39" t="s">
        <v>343</v>
      </c>
      <c r="E831" s="1">
        <v>4680</v>
      </c>
    </row>
    <row r="832" spans="1:5" x14ac:dyDescent="0.4">
      <c r="B832" s="10" t="s">
        <v>704</v>
      </c>
      <c r="C832" s="10" t="s">
        <v>322</v>
      </c>
      <c r="D832" s="10" t="s">
        <v>316</v>
      </c>
      <c r="E832" s="1">
        <v>460</v>
      </c>
    </row>
    <row r="833" spans="1:5" x14ac:dyDescent="0.4">
      <c r="D833" s="11" t="s">
        <v>3</v>
      </c>
      <c r="E833" s="1">
        <v>460</v>
      </c>
    </row>
    <row r="834" spans="1:5" x14ac:dyDescent="0.4">
      <c r="D834" s="39" t="s">
        <v>656</v>
      </c>
      <c r="E834" s="1">
        <v>460</v>
      </c>
    </row>
    <row r="835" spans="1:5" x14ac:dyDescent="0.4">
      <c r="B835" s="10" t="s">
        <v>705</v>
      </c>
      <c r="C835" s="10" t="s">
        <v>322</v>
      </c>
      <c r="D835" s="10" t="s">
        <v>316</v>
      </c>
      <c r="E835" s="1">
        <v>1362.98</v>
      </c>
    </row>
    <row r="836" spans="1:5" x14ac:dyDescent="0.4">
      <c r="D836" s="11" t="s">
        <v>3</v>
      </c>
      <c r="E836" s="1">
        <v>1362.98</v>
      </c>
    </row>
    <row r="837" spans="1:5" x14ac:dyDescent="0.4">
      <c r="D837" s="39" t="s">
        <v>641</v>
      </c>
      <c r="E837" s="1">
        <v>1362.98</v>
      </c>
    </row>
    <row r="838" spans="1:5" x14ac:dyDescent="0.4">
      <c r="A838" s="10" t="s">
        <v>706</v>
      </c>
      <c r="B838" s="10" t="s">
        <v>707</v>
      </c>
      <c r="C838" s="10" t="s">
        <v>414</v>
      </c>
      <c r="D838" s="10" t="s">
        <v>316</v>
      </c>
      <c r="E838" s="1">
        <v>1000</v>
      </c>
    </row>
    <row r="839" spans="1:5" x14ac:dyDescent="0.4">
      <c r="D839" s="11" t="s">
        <v>4</v>
      </c>
      <c r="E839" s="1">
        <v>1000</v>
      </c>
    </row>
    <row r="840" spans="1:5" x14ac:dyDescent="0.4">
      <c r="D840" s="39" t="s">
        <v>386</v>
      </c>
      <c r="E840" s="1">
        <v>1000</v>
      </c>
    </row>
    <row r="841" spans="1:5" x14ac:dyDescent="0.4">
      <c r="A841" s="10" t="s">
        <v>708</v>
      </c>
      <c r="B841" s="10" t="s">
        <v>623</v>
      </c>
      <c r="C841" s="10" t="s">
        <v>395</v>
      </c>
      <c r="D841" s="10" t="s">
        <v>316</v>
      </c>
      <c r="E841" s="1">
        <v>1550</v>
      </c>
    </row>
    <row r="842" spans="1:5" x14ac:dyDescent="0.4">
      <c r="D842" s="11" t="s">
        <v>5</v>
      </c>
      <c r="E842" s="1">
        <v>1550</v>
      </c>
    </row>
    <row r="843" spans="1:5" x14ac:dyDescent="0.4">
      <c r="D843" s="39" t="s">
        <v>359</v>
      </c>
      <c r="E843" s="1">
        <v>1550</v>
      </c>
    </row>
    <row r="844" spans="1:5" x14ac:dyDescent="0.4">
      <c r="B844" s="10" t="s">
        <v>709</v>
      </c>
      <c r="C844" s="10" t="s">
        <v>395</v>
      </c>
      <c r="D844" s="10" t="s">
        <v>316</v>
      </c>
      <c r="E844" s="1">
        <v>3530</v>
      </c>
    </row>
    <row r="845" spans="1:5" x14ac:dyDescent="0.4">
      <c r="D845" s="11" t="s">
        <v>5</v>
      </c>
      <c r="E845" s="1">
        <v>3530</v>
      </c>
    </row>
    <row r="846" spans="1:5" x14ac:dyDescent="0.4">
      <c r="D846" s="39" t="s">
        <v>359</v>
      </c>
      <c r="E846" s="1">
        <v>3530</v>
      </c>
    </row>
    <row r="847" spans="1:5" x14ac:dyDescent="0.4">
      <c r="B847" s="10" t="s">
        <v>710</v>
      </c>
      <c r="C847" s="10" t="s">
        <v>395</v>
      </c>
      <c r="D847" s="10" t="s">
        <v>316</v>
      </c>
      <c r="E847" s="1">
        <v>0</v>
      </c>
    </row>
    <row r="848" spans="1:5" x14ac:dyDescent="0.4">
      <c r="D848" s="11" t="s">
        <v>5</v>
      </c>
      <c r="E848" s="1">
        <v>0</v>
      </c>
    </row>
    <row r="849" spans="1:5" x14ac:dyDescent="0.4">
      <c r="D849" s="39" t="s">
        <v>359</v>
      </c>
      <c r="E849" s="1">
        <v>0</v>
      </c>
    </row>
    <row r="850" spans="1:5" x14ac:dyDescent="0.4">
      <c r="B850" s="10" t="s">
        <v>711</v>
      </c>
      <c r="C850" s="10" t="s">
        <v>329</v>
      </c>
      <c r="D850" s="10" t="s">
        <v>316</v>
      </c>
      <c r="E850" s="1">
        <v>0</v>
      </c>
    </row>
    <row r="851" spans="1:5" x14ac:dyDescent="0.4">
      <c r="D851" s="11" t="s">
        <v>1</v>
      </c>
      <c r="E851" s="1">
        <v>0</v>
      </c>
    </row>
    <row r="852" spans="1:5" x14ac:dyDescent="0.4">
      <c r="D852" s="39" t="s">
        <v>373</v>
      </c>
      <c r="E852" s="1">
        <v>0</v>
      </c>
    </row>
    <row r="853" spans="1:5" x14ac:dyDescent="0.4">
      <c r="B853" s="10" t="s">
        <v>712</v>
      </c>
      <c r="C853" s="10" t="s">
        <v>361</v>
      </c>
      <c r="D853" s="10" t="s">
        <v>316</v>
      </c>
      <c r="E853" s="1">
        <v>0</v>
      </c>
    </row>
    <row r="854" spans="1:5" x14ac:dyDescent="0.4">
      <c r="D854" s="11" t="s">
        <v>5</v>
      </c>
      <c r="E854" s="1">
        <v>0</v>
      </c>
    </row>
    <row r="855" spans="1:5" x14ac:dyDescent="0.4">
      <c r="D855" s="39" t="s">
        <v>364</v>
      </c>
      <c r="E855" s="1">
        <v>0</v>
      </c>
    </row>
    <row r="856" spans="1:5" x14ac:dyDescent="0.4">
      <c r="A856" s="10" t="s">
        <v>713</v>
      </c>
      <c r="B856" s="10" t="s">
        <v>714</v>
      </c>
      <c r="C856" s="10" t="s">
        <v>361</v>
      </c>
      <c r="D856" s="10" t="s">
        <v>316</v>
      </c>
      <c r="E856" s="1">
        <v>1030</v>
      </c>
    </row>
    <row r="857" spans="1:5" x14ac:dyDescent="0.4">
      <c r="D857" s="11" t="s">
        <v>5</v>
      </c>
      <c r="E857" s="1">
        <v>1030</v>
      </c>
    </row>
    <row r="858" spans="1:5" x14ac:dyDescent="0.4">
      <c r="D858" s="39" t="s">
        <v>364</v>
      </c>
      <c r="E858" s="1">
        <v>1030</v>
      </c>
    </row>
    <row r="859" spans="1:5" x14ac:dyDescent="0.4">
      <c r="B859" s="10" t="s">
        <v>368</v>
      </c>
      <c r="C859" s="10" t="s">
        <v>361</v>
      </c>
      <c r="D859" s="10" t="s">
        <v>316</v>
      </c>
      <c r="E859" s="1">
        <v>0</v>
      </c>
    </row>
    <row r="860" spans="1:5" x14ac:dyDescent="0.4">
      <c r="D860" s="11" t="s">
        <v>6</v>
      </c>
      <c r="E860" s="1">
        <v>0</v>
      </c>
    </row>
    <row r="861" spans="1:5" x14ac:dyDescent="0.4">
      <c r="D861" s="39" t="s">
        <v>415</v>
      </c>
      <c r="E861" s="1">
        <v>0</v>
      </c>
    </row>
    <row r="862" spans="1:5" x14ac:dyDescent="0.4">
      <c r="B862" s="10" t="s">
        <v>715</v>
      </c>
      <c r="C862" s="10" t="s">
        <v>322</v>
      </c>
      <c r="D862" s="10" t="s">
        <v>316</v>
      </c>
      <c r="E862" s="1">
        <v>7470</v>
      </c>
    </row>
    <row r="863" spans="1:5" x14ac:dyDescent="0.4">
      <c r="D863" s="11" t="s">
        <v>4</v>
      </c>
      <c r="E863" s="1">
        <v>7470</v>
      </c>
    </row>
    <row r="864" spans="1:5" x14ac:dyDescent="0.4">
      <c r="D864" s="39" t="s">
        <v>386</v>
      </c>
      <c r="E864" s="1">
        <v>7470</v>
      </c>
    </row>
    <row r="865" spans="1:5" x14ac:dyDescent="0.4">
      <c r="B865" s="10" t="s">
        <v>716</v>
      </c>
      <c r="C865" s="10" t="s">
        <v>322</v>
      </c>
      <c r="D865" s="10" t="s">
        <v>316</v>
      </c>
      <c r="E865" s="1">
        <v>6569</v>
      </c>
    </row>
    <row r="866" spans="1:5" x14ac:dyDescent="0.4">
      <c r="D866" s="11" t="s">
        <v>4</v>
      </c>
      <c r="E866" s="1">
        <v>6569</v>
      </c>
    </row>
    <row r="867" spans="1:5" x14ac:dyDescent="0.4">
      <c r="D867" s="39" t="s">
        <v>386</v>
      </c>
      <c r="E867" s="1">
        <v>6569</v>
      </c>
    </row>
    <row r="868" spans="1:5" x14ac:dyDescent="0.4">
      <c r="A868" s="10" t="s">
        <v>717</v>
      </c>
      <c r="B868" s="10" t="s">
        <v>368</v>
      </c>
      <c r="C868" s="10" t="s">
        <v>322</v>
      </c>
      <c r="D868" s="10" t="s">
        <v>316</v>
      </c>
      <c r="E868" s="1">
        <v>2077.8000000000002</v>
      </c>
    </row>
    <row r="869" spans="1:5" x14ac:dyDescent="0.4">
      <c r="D869" s="11" t="s">
        <v>3</v>
      </c>
      <c r="E869" s="1">
        <v>2077.8000000000002</v>
      </c>
    </row>
    <row r="870" spans="1:5" x14ac:dyDescent="0.4">
      <c r="D870" s="39" t="s">
        <v>343</v>
      </c>
      <c r="E870" s="1">
        <v>2077.8000000000002</v>
      </c>
    </row>
    <row r="871" spans="1:5" x14ac:dyDescent="0.4">
      <c r="B871" s="10" t="s">
        <v>718</v>
      </c>
      <c r="C871" s="10" t="s">
        <v>573</v>
      </c>
      <c r="D871" s="10" t="s">
        <v>316</v>
      </c>
      <c r="E871" s="1">
        <v>3000</v>
      </c>
    </row>
    <row r="872" spans="1:5" x14ac:dyDescent="0.4">
      <c r="D872" s="11" t="s">
        <v>6</v>
      </c>
      <c r="E872" s="1">
        <v>3000</v>
      </c>
    </row>
    <row r="873" spans="1:5" x14ac:dyDescent="0.4">
      <c r="D873" s="39" t="s">
        <v>719</v>
      </c>
      <c r="E873" s="1">
        <v>3000</v>
      </c>
    </row>
    <row r="874" spans="1:5" x14ac:dyDescent="0.4">
      <c r="B874" s="10" t="s">
        <v>579</v>
      </c>
      <c r="C874" s="10" t="s">
        <v>322</v>
      </c>
      <c r="D874" s="10" t="s">
        <v>316</v>
      </c>
      <c r="E874" s="1">
        <v>194.98</v>
      </c>
    </row>
    <row r="875" spans="1:5" x14ac:dyDescent="0.4">
      <c r="D875" s="11" t="s">
        <v>4</v>
      </c>
      <c r="E875" s="1">
        <v>194.98</v>
      </c>
    </row>
    <row r="876" spans="1:5" x14ac:dyDescent="0.4">
      <c r="D876" s="39" t="s">
        <v>386</v>
      </c>
      <c r="E876" s="1">
        <v>194.98</v>
      </c>
    </row>
    <row r="877" spans="1:5" x14ac:dyDescent="0.4">
      <c r="B877" s="10" t="s">
        <v>720</v>
      </c>
      <c r="C877" s="10" t="s">
        <v>395</v>
      </c>
      <c r="D877" s="10" t="s">
        <v>316</v>
      </c>
      <c r="E877" s="1">
        <v>231</v>
      </c>
    </row>
    <row r="878" spans="1:5" x14ac:dyDescent="0.4">
      <c r="D878" s="11" t="s">
        <v>2</v>
      </c>
      <c r="E878" s="1">
        <v>231</v>
      </c>
    </row>
    <row r="879" spans="1:5" x14ac:dyDescent="0.4">
      <c r="D879" s="39" t="s">
        <v>328</v>
      </c>
      <c r="E879" s="1">
        <v>231</v>
      </c>
    </row>
    <row r="880" spans="1:5" x14ac:dyDescent="0.4">
      <c r="B880" s="10" t="s">
        <v>721</v>
      </c>
      <c r="C880" s="10" t="s">
        <v>322</v>
      </c>
      <c r="D880" s="10" t="s">
        <v>316</v>
      </c>
      <c r="E880" s="1">
        <v>465</v>
      </c>
    </row>
    <row r="881" spans="1:5" x14ac:dyDescent="0.4">
      <c r="D881" s="11" t="s">
        <v>3</v>
      </c>
      <c r="E881" s="1">
        <v>465</v>
      </c>
    </row>
    <row r="882" spans="1:5" x14ac:dyDescent="0.4">
      <c r="D882" s="39" t="s">
        <v>343</v>
      </c>
      <c r="E882" s="1">
        <v>465</v>
      </c>
    </row>
    <row r="883" spans="1:5" x14ac:dyDescent="0.4">
      <c r="B883" s="10" t="s">
        <v>722</v>
      </c>
      <c r="C883" s="10" t="s">
        <v>322</v>
      </c>
      <c r="D883" s="10" t="s">
        <v>316</v>
      </c>
      <c r="E883" s="1">
        <v>232.69</v>
      </c>
    </row>
    <row r="884" spans="1:5" x14ac:dyDescent="0.4">
      <c r="D884" s="11" t="s">
        <v>4</v>
      </c>
      <c r="E884" s="1">
        <v>232.69</v>
      </c>
    </row>
    <row r="885" spans="1:5" x14ac:dyDescent="0.4">
      <c r="D885" s="39" t="s">
        <v>542</v>
      </c>
      <c r="E885" s="1">
        <v>232.69</v>
      </c>
    </row>
    <row r="886" spans="1:5" x14ac:dyDescent="0.4">
      <c r="B886" s="10" t="s">
        <v>723</v>
      </c>
      <c r="C886" s="10" t="s">
        <v>322</v>
      </c>
      <c r="D886" s="10" t="s">
        <v>316</v>
      </c>
      <c r="E886" s="1">
        <v>388.99</v>
      </c>
    </row>
    <row r="887" spans="1:5" x14ac:dyDescent="0.4">
      <c r="D887" s="11" t="s">
        <v>4</v>
      </c>
      <c r="E887" s="1">
        <v>388.99</v>
      </c>
    </row>
    <row r="888" spans="1:5" x14ac:dyDescent="0.4">
      <c r="D888" s="39" t="s">
        <v>724</v>
      </c>
      <c r="E888" s="1">
        <v>388.99</v>
      </c>
    </row>
    <row r="889" spans="1:5" x14ac:dyDescent="0.4">
      <c r="B889" s="10" t="s">
        <v>725</v>
      </c>
      <c r="C889" s="10" t="s">
        <v>395</v>
      </c>
      <c r="D889" s="10" t="s">
        <v>316</v>
      </c>
      <c r="E889" s="1">
        <v>3133.16</v>
      </c>
    </row>
    <row r="890" spans="1:5" x14ac:dyDescent="0.4">
      <c r="D890" s="11" t="s">
        <v>5</v>
      </c>
      <c r="E890" s="1">
        <v>3133.16</v>
      </c>
    </row>
    <row r="891" spans="1:5" x14ac:dyDescent="0.4">
      <c r="D891" s="39" t="s">
        <v>359</v>
      </c>
      <c r="E891" s="1">
        <v>3133.16</v>
      </c>
    </row>
    <row r="892" spans="1:5" x14ac:dyDescent="0.4">
      <c r="A892" s="10" t="s">
        <v>726</v>
      </c>
      <c r="B892" s="10" t="s">
        <v>727</v>
      </c>
      <c r="C892" s="10" t="s">
        <v>322</v>
      </c>
      <c r="D892" s="10" t="s">
        <v>316</v>
      </c>
      <c r="E892" s="1">
        <v>500</v>
      </c>
    </row>
    <row r="893" spans="1:5" x14ac:dyDescent="0.4">
      <c r="D893" s="11" t="s">
        <v>1</v>
      </c>
      <c r="E893" s="1">
        <v>500</v>
      </c>
    </row>
    <row r="894" spans="1:5" x14ac:dyDescent="0.4">
      <c r="D894" s="39" t="s">
        <v>728</v>
      </c>
      <c r="E894" s="1">
        <v>500</v>
      </c>
    </row>
    <row r="895" spans="1:5" x14ac:dyDescent="0.4">
      <c r="A895" s="10" t="s">
        <v>729</v>
      </c>
      <c r="B895" s="10" t="s">
        <v>368</v>
      </c>
      <c r="C895" s="10" t="s">
        <v>329</v>
      </c>
      <c r="D895" s="10" t="s">
        <v>316</v>
      </c>
      <c r="E895" s="1">
        <v>0</v>
      </c>
    </row>
    <row r="896" spans="1:5" x14ac:dyDescent="0.4">
      <c r="D896" s="11" t="s">
        <v>3</v>
      </c>
      <c r="E896" s="1">
        <v>0</v>
      </c>
    </row>
    <row r="897" spans="1:5" x14ac:dyDescent="0.4">
      <c r="D897" s="39" t="s">
        <v>343</v>
      </c>
      <c r="E897" s="1">
        <v>0</v>
      </c>
    </row>
    <row r="898" spans="1:5" x14ac:dyDescent="0.4">
      <c r="A898" s="10" t="s">
        <v>730</v>
      </c>
      <c r="B898" s="10" t="s">
        <v>731</v>
      </c>
      <c r="C898" s="10" t="s">
        <v>318</v>
      </c>
      <c r="D898" s="10" t="s">
        <v>316</v>
      </c>
      <c r="E898" s="1">
        <v>1500</v>
      </c>
    </row>
    <row r="899" spans="1:5" x14ac:dyDescent="0.4">
      <c r="D899" s="11" t="s">
        <v>5</v>
      </c>
      <c r="E899" s="1">
        <v>1500</v>
      </c>
    </row>
    <row r="900" spans="1:5" x14ac:dyDescent="0.4">
      <c r="D900" s="39" t="s">
        <v>359</v>
      </c>
      <c r="E900" s="1">
        <v>1500</v>
      </c>
    </row>
    <row r="901" spans="1:5" x14ac:dyDescent="0.4">
      <c r="A901" s="10" t="s">
        <v>732</v>
      </c>
      <c r="B901" s="10" t="s">
        <v>733</v>
      </c>
      <c r="C901" s="10" t="s">
        <v>361</v>
      </c>
      <c r="D901" s="10" t="s">
        <v>316</v>
      </c>
      <c r="E901" s="1">
        <v>0</v>
      </c>
    </row>
    <row r="902" spans="1:5" x14ac:dyDescent="0.4">
      <c r="D902" s="11" t="s">
        <v>2</v>
      </c>
      <c r="E902" s="1">
        <v>0</v>
      </c>
    </row>
    <row r="903" spans="1:5" x14ac:dyDescent="0.4">
      <c r="D903" s="39" t="s">
        <v>328</v>
      </c>
      <c r="E903" s="1">
        <v>0</v>
      </c>
    </row>
    <row r="904" spans="1:5" x14ac:dyDescent="0.4">
      <c r="B904" s="10" t="s">
        <v>734</v>
      </c>
      <c r="C904" s="10" t="s">
        <v>318</v>
      </c>
      <c r="D904" s="10" t="s">
        <v>316</v>
      </c>
      <c r="E904" s="1">
        <v>0</v>
      </c>
    </row>
    <row r="905" spans="1:5" x14ac:dyDescent="0.4">
      <c r="D905" s="11" t="s">
        <v>5</v>
      </c>
      <c r="E905" s="1">
        <v>0</v>
      </c>
    </row>
    <row r="906" spans="1:5" x14ac:dyDescent="0.4">
      <c r="D906" s="39" t="s">
        <v>359</v>
      </c>
      <c r="E906" s="1">
        <v>0</v>
      </c>
    </row>
    <row r="907" spans="1:5" x14ac:dyDescent="0.4">
      <c r="A907" s="10" t="s">
        <v>735</v>
      </c>
      <c r="B907" s="10" t="s">
        <v>736</v>
      </c>
      <c r="C907" s="10" t="s">
        <v>322</v>
      </c>
      <c r="D907" s="10" t="s">
        <v>316</v>
      </c>
      <c r="E907" s="1">
        <v>13.49</v>
      </c>
    </row>
    <row r="908" spans="1:5" x14ac:dyDescent="0.4">
      <c r="D908" s="11" t="s">
        <v>3</v>
      </c>
      <c r="E908" s="1">
        <v>13.49</v>
      </c>
    </row>
    <row r="909" spans="1:5" x14ac:dyDescent="0.4">
      <c r="D909" s="39" t="s">
        <v>700</v>
      </c>
      <c r="E909" s="1">
        <v>13.49</v>
      </c>
    </row>
    <row r="910" spans="1:5" x14ac:dyDescent="0.4">
      <c r="B910" s="10" t="s">
        <v>737</v>
      </c>
      <c r="C910" s="10" t="s">
        <v>329</v>
      </c>
      <c r="D910" s="10" t="s">
        <v>316</v>
      </c>
      <c r="E910" s="1">
        <v>0</v>
      </c>
    </row>
    <row r="911" spans="1:5" x14ac:dyDescent="0.4">
      <c r="D911" s="11" t="s">
        <v>3</v>
      </c>
      <c r="E911" s="1">
        <v>0</v>
      </c>
    </row>
    <row r="912" spans="1:5" x14ac:dyDescent="0.4">
      <c r="D912" s="39" t="s">
        <v>343</v>
      </c>
      <c r="E912" s="1">
        <v>0</v>
      </c>
    </row>
    <row r="913" spans="1:5" x14ac:dyDescent="0.4">
      <c r="A913" s="10" t="s">
        <v>738</v>
      </c>
      <c r="B913" s="10" t="s">
        <v>739</v>
      </c>
      <c r="C913" s="10" t="s">
        <v>395</v>
      </c>
      <c r="D913" s="10" t="s">
        <v>316</v>
      </c>
      <c r="E913" s="1">
        <v>2520</v>
      </c>
    </row>
    <row r="914" spans="1:5" x14ac:dyDescent="0.4">
      <c r="D914" s="11" t="s">
        <v>3</v>
      </c>
      <c r="E914" s="1">
        <v>2520</v>
      </c>
    </row>
    <row r="915" spans="1:5" x14ac:dyDescent="0.4">
      <c r="D915" s="39" t="s">
        <v>343</v>
      </c>
      <c r="E915" s="1">
        <v>2520</v>
      </c>
    </row>
    <row r="916" spans="1:5" x14ac:dyDescent="0.4">
      <c r="D916" s="11" t="s">
        <v>5</v>
      </c>
      <c r="E916" s="1">
        <v>0</v>
      </c>
    </row>
    <row r="917" spans="1:5" x14ac:dyDescent="0.4">
      <c r="D917" s="39" t="s">
        <v>483</v>
      </c>
      <c r="E917" s="1">
        <v>0</v>
      </c>
    </row>
    <row r="918" spans="1:5" x14ac:dyDescent="0.4">
      <c r="A918" s="10" t="s">
        <v>740</v>
      </c>
      <c r="B918" s="10" t="s">
        <v>741</v>
      </c>
      <c r="C918" s="10" t="s">
        <v>361</v>
      </c>
      <c r="D918" s="10" t="s">
        <v>316</v>
      </c>
      <c r="E918" s="1">
        <v>3000</v>
      </c>
    </row>
    <row r="919" spans="1:5" x14ac:dyDescent="0.4">
      <c r="D919" s="11" t="s">
        <v>4</v>
      </c>
      <c r="E919" s="1">
        <v>3000</v>
      </c>
    </row>
    <row r="920" spans="1:5" x14ac:dyDescent="0.4">
      <c r="D920" s="39" t="s">
        <v>742</v>
      </c>
      <c r="E920" s="1">
        <v>3000</v>
      </c>
    </row>
    <row r="921" spans="1:5" x14ac:dyDescent="0.4">
      <c r="B921" s="10" t="s">
        <v>743</v>
      </c>
      <c r="C921" s="10" t="s">
        <v>361</v>
      </c>
      <c r="D921" s="10" t="s">
        <v>316</v>
      </c>
      <c r="E921" s="1">
        <v>650</v>
      </c>
    </row>
    <row r="922" spans="1:5" x14ac:dyDescent="0.4">
      <c r="D922" s="11" t="s">
        <v>6</v>
      </c>
      <c r="E922" s="1">
        <v>650</v>
      </c>
    </row>
    <row r="923" spans="1:5" x14ac:dyDescent="0.4">
      <c r="D923" s="39" t="s">
        <v>415</v>
      </c>
      <c r="E923" s="1">
        <v>650</v>
      </c>
    </row>
    <row r="924" spans="1:5" x14ac:dyDescent="0.4">
      <c r="B924" s="10" t="s">
        <v>744</v>
      </c>
      <c r="C924" s="10" t="s">
        <v>361</v>
      </c>
      <c r="D924" s="10" t="s">
        <v>316</v>
      </c>
      <c r="E924" s="1">
        <v>310</v>
      </c>
    </row>
    <row r="925" spans="1:5" x14ac:dyDescent="0.4">
      <c r="D925" s="11" t="s">
        <v>5</v>
      </c>
      <c r="E925" s="1">
        <v>310</v>
      </c>
    </row>
    <row r="926" spans="1:5" x14ac:dyDescent="0.4">
      <c r="D926" s="39" t="s">
        <v>359</v>
      </c>
      <c r="E926" s="1">
        <v>310</v>
      </c>
    </row>
    <row r="927" spans="1:5" x14ac:dyDescent="0.4">
      <c r="B927" s="10" t="s">
        <v>745</v>
      </c>
      <c r="C927" s="10" t="s">
        <v>361</v>
      </c>
      <c r="D927" s="10" t="s">
        <v>316</v>
      </c>
      <c r="E927" s="1">
        <v>3495.38</v>
      </c>
    </row>
    <row r="928" spans="1:5" x14ac:dyDescent="0.4">
      <c r="D928" s="11" t="s">
        <v>6</v>
      </c>
      <c r="E928" s="1">
        <v>3495.38</v>
      </c>
    </row>
    <row r="929" spans="1:5" x14ac:dyDescent="0.4">
      <c r="D929" s="39" t="s">
        <v>415</v>
      </c>
      <c r="E929" s="1">
        <v>3495.38</v>
      </c>
    </row>
    <row r="930" spans="1:5" x14ac:dyDescent="0.4">
      <c r="B930" s="10" t="s">
        <v>746</v>
      </c>
      <c r="C930" s="10" t="s">
        <v>322</v>
      </c>
      <c r="D930" s="10" t="s">
        <v>316</v>
      </c>
      <c r="E930" s="1">
        <v>310</v>
      </c>
    </row>
    <row r="931" spans="1:5" x14ac:dyDescent="0.4">
      <c r="D931" s="11" t="s">
        <v>4</v>
      </c>
      <c r="E931" s="1">
        <v>310</v>
      </c>
    </row>
    <row r="932" spans="1:5" x14ac:dyDescent="0.4">
      <c r="D932" s="39" t="s">
        <v>533</v>
      </c>
      <c r="E932" s="1">
        <v>310</v>
      </c>
    </row>
    <row r="933" spans="1:5" x14ac:dyDescent="0.4">
      <c r="A933" s="10" t="s">
        <v>747</v>
      </c>
      <c r="B933" s="10" t="s">
        <v>748</v>
      </c>
      <c r="C933" s="10" t="s">
        <v>749</v>
      </c>
      <c r="D933" s="10" t="s">
        <v>316</v>
      </c>
      <c r="E933" s="1">
        <v>3310</v>
      </c>
    </row>
    <row r="934" spans="1:5" x14ac:dyDescent="0.4">
      <c r="D934" s="11" t="s">
        <v>5</v>
      </c>
      <c r="E934" s="1">
        <v>3310</v>
      </c>
    </row>
    <row r="935" spans="1:5" x14ac:dyDescent="0.4">
      <c r="D935" s="39" t="s">
        <v>359</v>
      </c>
      <c r="E935" s="1">
        <v>3310</v>
      </c>
    </row>
    <row r="936" spans="1:5" x14ac:dyDescent="0.4">
      <c r="A936" s="10" t="s">
        <v>750</v>
      </c>
      <c r="B936" s="10" t="s">
        <v>751</v>
      </c>
      <c r="C936" s="10" t="s">
        <v>361</v>
      </c>
      <c r="D936" s="10" t="s">
        <v>316</v>
      </c>
      <c r="E936" s="1">
        <v>4500</v>
      </c>
    </row>
    <row r="937" spans="1:5" x14ac:dyDescent="0.4">
      <c r="D937" s="11" t="s">
        <v>5</v>
      </c>
      <c r="E937" s="1">
        <v>4500</v>
      </c>
    </row>
    <row r="938" spans="1:5" x14ac:dyDescent="0.4">
      <c r="D938" s="39" t="s">
        <v>359</v>
      </c>
      <c r="E938" s="1">
        <v>4500</v>
      </c>
    </row>
    <row r="939" spans="1:5" x14ac:dyDescent="0.4">
      <c r="A939" s="10" t="s">
        <v>752</v>
      </c>
      <c r="B939" s="10" t="s">
        <v>753</v>
      </c>
      <c r="C939" s="10" t="s">
        <v>361</v>
      </c>
      <c r="D939" s="10" t="s">
        <v>316</v>
      </c>
      <c r="E939" s="1">
        <v>0</v>
      </c>
    </row>
    <row r="940" spans="1:5" x14ac:dyDescent="0.4">
      <c r="D940" s="11" t="s">
        <v>4</v>
      </c>
      <c r="E940" s="1">
        <v>0</v>
      </c>
    </row>
    <row r="941" spans="1:5" x14ac:dyDescent="0.4">
      <c r="D941" s="39" t="s">
        <v>386</v>
      </c>
      <c r="E941" s="1">
        <v>0</v>
      </c>
    </row>
    <row r="942" spans="1:5" x14ac:dyDescent="0.4">
      <c r="A942" s="10" t="s">
        <v>754</v>
      </c>
      <c r="B942" s="10" t="s">
        <v>631</v>
      </c>
      <c r="C942" s="10" t="s">
        <v>361</v>
      </c>
      <c r="D942" s="10" t="s">
        <v>316</v>
      </c>
      <c r="E942" s="1">
        <v>15000</v>
      </c>
    </row>
    <row r="943" spans="1:5" x14ac:dyDescent="0.4">
      <c r="D943" s="11" t="s">
        <v>12</v>
      </c>
      <c r="E943" s="1">
        <v>15000</v>
      </c>
    </row>
    <row r="944" spans="1:5" x14ac:dyDescent="0.4">
      <c r="D944" s="39" t="s">
        <v>398</v>
      </c>
      <c r="E944" s="1">
        <v>15000</v>
      </c>
    </row>
    <row r="945" spans="1:5" x14ac:dyDescent="0.4">
      <c r="A945" s="10" t="s">
        <v>755</v>
      </c>
      <c r="B945" s="10" t="s">
        <v>756</v>
      </c>
      <c r="C945" s="10" t="s">
        <v>322</v>
      </c>
      <c r="D945" s="10" t="s">
        <v>316</v>
      </c>
      <c r="E945" s="1">
        <v>65.97</v>
      </c>
    </row>
    <row r="946" spans="1:5" x14ac:dyDescent="0.4">
      <c r="D946" s="11" t="s">
        <v>4</v>
      </c>
      <c r="E946" s="1">
        <v>65.97</v>
      </c>
    </row>
    <row r="947" spans="1:5" x14ac:dyDescent="0.4">
      <c r="D947" s="39" t="s">
        <v>371</v>
      </c>
      <c r="E947" s="1">
        <v>65.97</v>
      </c>
    </row>
    <row r="948" spans="1:5" x14ac:dyDescent="0.4">
      <c r="B948" s="10" t="s">
        <v>757</v>
      </c>
      <c r="C948" s="10" t="s">
        <v>322</v>
      </c>
      <c r="D948" s="10" t="s">
        <v>316</v>
      </c>
      <c r="E948" s="1">
        <v>882</v>
      </c>
    </row>
    <row r="949" spans="1:5" x14ac:dyDescent="0.4">
      <c r="D949" s="11" t="s">
        <v>4</v>
      </c>
      <c r="E949" s="1">
        <v>882</v>
      </c>
    </row>
    <row r="950" spans="1:5" x14ac:dyDescent="0.4">
      <c r="D950" s="39" t="s">
        <v>552</v>
      </c>
      <c r="E950" s="1">
        <v>882</v>
      </c>
    </row>
    <row r="951" spans="1:5" x14ac:dyDescent="0.4">
      <c r="B951" s="10" t="s">
        <v>758</v>
      </c>
      <c r="C951" s="10" t="s">
        <v>322</v>
      </c>
      <c r="D951" s="10" t="s">
        <v>316</v>
      </c>
      <c r="E951" s="1">
        <v>770</v>
      </c>
    </row>
    <row r="952" spans="1:5" x14ac:dyDescent="0.4">
      <c r="D952" s="11" t="s">
        <v>4</v>
      </c>
      <c r="E952" s="1">
        <v>770</v>
      </c>
    </row>
    <row r="953" spans="1:5" x14ac:dyDescent="0.4">
      <c r="D953" s="39" t="s">
        <v>386</v>
      </c>
      <c r="E953" s="1">
        <v>770</v>
      </c>
    </row>
    <row r="954" spans="1:5" x14ac:dyDescent="0.4">
      <c r="A954" s="10" t="s">
        <v>759</v>
      </c>
      <c r="B954" s="10" t="s">
        <v>760</v>
      </c>
      <c r="C954" s="10" t="s">
        <v>322</v>
      </c>
      <c r="D954" s="10" t="s">
        <v>316</v>
      </c>
      <c r="E954" s="1">
        <v>100</v>
      </c>
    </row>
    <row r="955" spans="1:5" x14ac:dyDescent="0.4">
      <c r="D955" s="11" t="s">
        <v>4</v>
      </c>
      <c r="E955" s="1">
        <v>100</v>
      </c>
    </row>
    <row r="956" spans="1:5" x14ac:dyDescent="0.4">
      <c r="D956" s="39" t="s">
        <v>761</v>
      </c>
      <c r="E956" s="1">
        <v>100</v>
      </c>
    </row>
    <row r="957" spans="1:5" x14ac:dyDescent="0.4">
      <c r="A957" s="10" t="s">
        <v>762</v>
      </c>
      <c r="B957" s="10" t="s">
        <v>763</v>
      </c>
      <c r="C957" s="10" t="s">
        <v>361</v>
      </c>
      <c r="D957" s="10" t="s">
        <v>316</v>
      </c>
      <c r="E957" s="1">
        <v>1670</v>
      </c>
    </row>
    <row r="958" spans="1:5" x14ac:dyDescent="0.4">
      <c r="D958" s="11" t="s">
        <v>4</v>
      </c>
      <c r="E958" s="1">
        <v>1670</v>
      </c>
    </row>
    <row r="959" spans="1:5" x14ac:dyDescent="0.4">
      <c r="D959" s="39" t="s">
        <v>555</v>
      </c>
      <c r="E959" s="1">
        <v>1670</v>
      </c>
    </row>
    <row r="960" spans="1:5" x14ac:dyDescent="0.4">
      <c r="B960" s="10" t="s">
        <v>764</v>
      </c>
      <c r="C960" s="10" t="s">
        <v>322</v>
      </c>
      <c r="D960" s="10" t="s">
        <v>316</v>
      </c>
      <c r="E960" s="1">
        <v>20.8</v>
      </c>
    </row>
    <row r="961" spans="1:5" x14ac:dyDescent="0.4">
      <c r="D961" s="11" t="s">
        <v>5</v>
      </c>
      <c r="E961" s="1">
        <v>20.8</v>
      </c>
    </row>
    <row r="962" spans="1:5" x14ac:dyDescent="0.4">
      <c r="D962" s="39" t="s">
        <v>364</v>
      </c>
      <c r="E962" s="1">
        <v>20.8</v>
      </c>
    </row>
    <row r="963" spans="1:5" x14ac:dyDescent="0.4">
      <c r="B963" s="10" t="s">
        <v>765</v>
      </c>
      <c r="C963" s="10" t="s">
        <v>318</v>
      </c>
      <c r="D963" s="10" t="s">
        <v>316</v>
      </c>
      <c r="E963" s="1">
        <v>0</v>
      </c>
    </row>
    <row r="964" spans="1:5" x14ac:dyDescent="0.4">
      <c r="D964" s="11" t="s">
        <v>5</v>
      </c>
      <c r="E964" s="1">
        <v>0</v>
      </c>
    </row>
    <row r="965" spans="1:5" x14ac:dyDescent="0.4">
      <c r="D965" s="39" t="s">
        <v>359</v>
      </c>
      <c r="E965" s="1">
        <v>0</v>
      </c>
    </row>
    <row r="966" spans="1:5" x14ac:dyDescent="0.4">
      <c r="A966" s="10" t="s">
        <v>766</v>
      </c>
      <c r="E966" s="1">
        <v>691625.62999999989</v>
      </c>
    </row>
    <row r="967" spans="1:5" x14ac:dyDescent="0.4">
      <c r="E967"/>
    </row>
    <row r="968" spans="1:5" x14ac:dyDescent="0.4">
      <c r="E968"/>
    </row>
    <row r="969" spans="1:5" x14ac:dyDescent="0.4">
      <c r="E969"/>
    </row>
    <row r="970" spans="1:5" x14ac:dyDescent="0.4">
      <c r="E970"/>
    </row>
    <row r="971" spans="1:5" x14ac:dyDescent="0.4">
      <c r="E971"/>
    </row>
    <row r="972" spans="1:5" x14ac:dyDescent="0.4">
      <c r="E972"/>
    </row>
    <row r="973" spans="1:5" x14ac:dyDescent="0.4">
      <c r="E973"/>
    </row>
    <row r="974" spans="1:5" x14ac:dyDescent="0.4">
      <c r="E974"/>
    </row>
    <row r="975" spans="1:5" x14ac:dyDescent="0.4">
      <c r="E975"/>
    </row>
    <row r="976" spans="1:5" x14ac:dyDescent="0.4">
      <c r="E976"/>
    </row>
    <row r="977" spans="5:5" x14ac:dyDescent="0.4">
      <c r="E977"/>
    </row>
    <row r="978" spans="5:5" x14ac:dyDescent="0.4">
      <c r="E978"/>
    </row>
    <row r="979" spans="5:5" x14ac:dyDescent="0.4">
      <c r="E979"/>
    </row>
    <row r="980" spans="5:5" x14ac:dyDescent="0.4">
      <c r="E980"/>
    </row>
    <row r="981" spans="5:5" x14ac:dyDescent="0.4">
      <c r="E981"/>
    </row>
    <row r="982" spans="5:5" x14ac:dyDescent="0.4">
      <c r="E982"/>
    </row>
    <row r="983" spans="5:5" x14ac:dyDescent="0.4">
      <c r="E983"/>
    </row>
    <row r="984" spans="5:5" x14ac:dyDescent="0.4">
      <c r="E984"/>
    </row>
    <row r="985" spans="5:5" x14ac:dyDescent="0.4">
      <c r="E985"/>
    </row>
    <row r="986" spans="5:5" x14ac:dyDescent="0.4">
      <c r="E986"/>
    </row>
    <row r="987" spans="5:5" x14ac:dyDescent="0.4">
      <c r="E987"/>
    </row>
    <row r="988" spans="5:5" x14ac:dyDescent="0.4">
      <c r="E988"/>
    </row>
    <row r="989" spans="5:5" x14ac:dyDescent="0.4">
      <c r="E989"/>
    </row>
    <row r="990" spans="5:5" x14ac:dyDescent="0.4">
      <c r="E990"/>
    </row>
    <row r="991" spans="5:5" x14ac:dyDescent="0.4">
      <c r="E991"/>
    </row>
    <row r="992" spans="5:5" x14ac:dyDescent="0.4">
      <c r="E992"/>
    </row>
    <row r="993" spans="5:5" x14ac:dyDescent="0.4">
      <c r="E993"/>
    </row>
    <row r="994" spans="5:5" x14ac:dyDescent="0.4">
      <c r="E994"/>
    </row>
    <row r="995" spans="5:5" x14ac:dyDescent="0.4">
      <c r="E995"/>
    </row>
    <row r="996" spans="5:5" x14ac:dyDescent="0.4">
      <c r="E996"/>
    </row>
    <row r="997" spans="5:5" x14ac:dyDescent="0.4">
      <c r="E997"/>
    </row>
    <row r="998" spans="5:5" x14ac:dyDescent="0.4">
      <c r="E998"/>
    </row>
    <row r="999" spans="5:5" x14ac:dyDescent="0.4">
      <c r="E999"/>
    </row>
    <row r="1000" spans="5:5" x14ac:dyDescent="0.4">
      <c r="E1000"/>
    </row>
    <row r="1001" spans="5:5" x14ac:dyDescent="0.4">
      <c r="E1001"/>
    </row>
    <row r="1002" spans="5:5" x14ac:dyDescent="0.4">
      <c r="E1002"/>
    </row>
    <row r="1003" spans="5:5" x14ac:dyDescent="0.4">
      <c r="E1003"/>
    </row>
    <row r="1004" spans="5:5" x14ac:dyDescent="0.4">
      <c r="E1004"/>
    </row>
    <row r="1005" spans="5:5" x14ac:dyDescent="0.4">
      <c r="E1005"/>
    </row>
    <row r="1006" spans="5:5" x14ac:dyDescent="0.4">
      <c r="E1006"/>
    </row>
    <row r="1007" spans="5:5" x14ac:dyDescent="0.4">
      <c r="E1007"/>
    </row>
    <row r="1008" spans="5:5" x14ac:dyDescent="0.4">
      <c r="E1008"/>
    </row>
    <row r="1009" spans="5:5" x14ac:dyDescent="0.4">
      <c r="E1009"/>
    </row>
    <row r="1010" spans="5:5" x14ac:dyDescent="0.4">
      <c r="E1010"/>
    </row>
    <row r="1011" spans="5:5" x14ac:dyDescent="0.4">
      <c r="E1011"/>
    </row>
    <row r="1012" spans="5:5" x14ac:dyDescent="0.4">
      <c r="E1012"/>
    </row>
    <row r="1013" spans="5:5" x14ac:dyDescent="0.4">
      <c r="E1013"/>
    </row>
    <row r="1014" spans="5:5" x14ac:dyDescent="0.4">
      <c r="E1014"/>
    </row>
    <row r="1015" spans="5:5" x14ac:dyDescent="0.4">
      <c r="E1015"/>
    </row>
    <row r="1016" spans="5:5" x14ac:dyDescent="0.4">
      <c r="E1016"/>
    </row>
    <row r="1017" spans="5:5" x14ac:dyDescent="0.4">
      <c r="E1017"/>
    </row>
    <row r="1018" spans="5:5" x14ac:dyDescent="0.4">
      <c r="E1018"/>
    </row>
    <row r="1019" spans="5:5" x14ac:dyDescent="0.4">
      <c r="E1019"/>
    </row>
    <row r="1020" spans="5:5" x14ac:dyDescent="0.4">
      <c r="E1020"/>
    </row>
    <row r="1021" spans="5:5" x14ac:dyDescent="0.4">
      <c r="E1021"/>
    </row>
    <row r="1022" spans="5:5" x14ac:dyDescent="0.4">
      <c r="E1022"/>
    </row>
    <row r="1023" spans="5:5" x14ac:dyDescent="0.4">
      <c r="E1023"/>
    </row>
    <row r="1024" spans="5:5" x14ac:dyDescent="0.4">
      <c r="E1024"/>
    </row>
    <row r="1025" spans="5:5" x14ac:dyDescent="0.4">
      <c r="E1025"/>
    </row>
    <row r="1026" spans="5:5" x14ac:dyDescent="0.4">
      <c r="E1026"/>
    </row>
    <row r="1027" spans="5:5" x14ac:dyDescent="0.4">
      <c r="E1027"/>
    </row>
    <row r="1028" spans="5:5" x14ac:dyDescent="0.4">
      <c r="E1028"/>
    </row>
    <row r="1029" spans="5:5" x14ac:dyDescent="0.4">
      <c r="E1029"/>
    </row>
    <row r="1030" spans="5:5" x14ac:dyDescent="0.4">
      <c r="E1030"/>
    </row>
    <row r="1031" spans="5:5" x14ac:dyDescent="0.4">
      <c r="E1031"/>
    </row>
    <row r="1032" spans="5:5" x14ac:dyDescent="0.4">
      <c r="E1032"/>
    </row>
    <row r="1033" spans="5:5" x14ac:dyDescent="0.4">
      <c r="E1033"/>
    </row>
    <row r="1034" spans="5:5" x14ac:dyDescent="0.4">
      <c r="E1034"/>
    </row>
    <row r="1035" spans="5:5" x14ac:dyDescent="0.4">
      <c r="E1035"/>
    </row>
    <row r="1036" spans="5:5" x14ac:dyDescent="0.4">
      <c r="E1036"/>
    </row>
    <row r="1037" spans="5:5" x14ac:dyDescent="0.4">
      <c r="E1037"/>
    </row>
    <row r="1038" spans="5:5" x14ac:dyDescent="0.4">
      <c r="E1038"/>
    </row>
    <row r="1039" spans="5:5" x14ac:dyDescent="0.4">
      <c r="E1039"/>
    </row>
    <row r="1040" spans="5:5" x14ac:dyDescent="0.4">
      <c r="E1040"/>
    </row>
    <row r="1041" spans="5:5" x14ac:dyDescent="0.4">
      <c r="E1041"/>
    </row>
    <row r="1042" spans="5:5" x14ac:dyDescent="0.4">
      <c r="E1042"/>
    </row>
    <row r="1043" spans="5:5" x14ac:dyDescent="0.4">
      <c r="E1043"/>
    </row>
    <row r="1044" spans="5:5" x14ac:dyDescent="0.4">
      <c r="E1044"/>
    </row>
    <row r="1045" spans="5:5" x14ac:dyDescent="0.4">
      <c r="E1045"/>
    </row>
    <row r="1046" spans="5:5" x14ac:dyDescent="0.4">
      <c r="E1046"/>
    </row>
    <row r="1047" spans="5:5" x14ac:dyDescent="0.4">
      <c r="E1047"/>
    </row>
    <row r="1048" spans="5:5" x14ac:dyDescent="0.4">
      <c r="E1048"/>
    </row>
    <row r="1049" spans="5:5" x14ac:dyDescent="0.4">
      <c r="E1049"/>
    </row>
    <row r="1050" spans="5:5" x14ac:dyDescent="0.4">
      <c r="E1050"/>
    </row>
    <row r="1051" spans="5:5" x14ac:dyDescent="0.4">
      <c r="E1051"/>
    </row>
    <row r="1052" spans="5:5" x14ac:dyDescent="0.4">
      <c r="E1052"/>
    </row>
    <row r="1053" spans="5:5" x14ac:dyDescent="0.4">
      <c r="E1053"/>
    </row>
    <row r="1054" spans="5:5" x14ac:dyDescent="0.4">
      <c r="E1054"/>
    </row>
    <row r="1055" spans="5:5" x14ac:dyDescent="0.4">
      <c r="E1055"/>
    </row>
    <row r="1056" spans="5:5" x14ac:dyDescent="0.4">
      <c r="E1056"/>
    </row>
    <row r="1057" spans="5:5" x14ac:dyDescent="0.4">
      <c r="E1057"/>
    </row>
    <row r="1058" spans="5:5" x14ac:dyDescent="0.4">
      <c r="E1058"/>
    </row>
    <row r="1059" spans="5:5" x14ac:dyDescent="0.4">
      <c r="E1059"/>
    </row>
    <row r="1060" spans="5:5" x14ac:dyDescent="0.4">
      <c r="E1060"/>
    </row>
    <row r="1061" spans="5:5" x14ac:dyDescent="0.4">
      <c r="E1061"/>
    </row>
    <row r="1062" spans="5:5" x14ac:dyDescent="0.4">
      <c r="E1062"/>
    </row>
    <row r="1063" spans="5:5" x14ac:dyDescent="0.4">
      <c r="E1063"/>
    </row>
    <row r="1064" spans="5:5" x14ac:dyDescent="0.4">
      <c r="E1064"/>
    </row>
    <row r="1065" spans="5:5" x14ac:dyDescent="0.4">
      <c r="E1065"/>
    </row>
    <row r="1066" spans="5:5" x14ac:dyDescent="0.4">
      <c r="E1066"/>
    </row>
    <row r="1067" spans="5:5" x14ac:dyDescent="0.4">
      <c r="E1067"/>
    </row>
    <row r="1068" spans="5:5" x14ac:dyDescent="0.4">
      <c r="E1068"/>
    </row>
    <row r="1069" spans="5:5" x14ac:dyDescent="0.4">
      <c r="E1069"/>
    </row>
    <row r="1070" spans="5:5" x14ac:dyDescent="0.4">
      <c r="E1070"/>
    </row>
    <row r="1071" spans="5:5" x14ac:dyDescent="0.4">
      <c r="E1071"/>
    </row>
    <row r="1072" spans="5:5" x14ac:dyDescent="0.4">
      <c r="E1072"/>
    </row>
    <row r="1073" spans="5:5" x14ac:dyDescent="0.4">
      <c r="E1073"/>
    </row>
    <row r="1074" spans="5:5" x14ac:dyDescent="0.4">
      <c r="E1074"/>
    </row>
    <row r="1075" spans="5:5" x14ac:dyDescent="0.4">
      <c r="E1075"/>
    </row>
    <row r="1076" spans="5:5" x14ac:dyDescent="0.4">
      <c r="E1076"/>
    </row>
    <row r="1077" spans="5:5" x14ac:dyDescent="0.4">
      <c r="E1077"/>
    </row>
    <row r="1078" spans="5:5" x14ac:dyDescent="0.4">
      <c r="E1078"/>
    </row>
    <row r="1079" spans="5:5" x14ac:dyDescent="0.4">
      <c r="E1079"/>
    </row>
    <row r="1080" spans="5:5" x14ac:dyDescent="0.4">
      <c r="E1080"/>
    </row>
    <row r="1081" spans="5:5" x14ac:dyDescent="0.4">
      <c r="E1081"/>
    </row>
    <row r="1082" spans="5:5" x14ac:dyDescent="0.4">
      <c r="E1082"/>
    </row>
    <row r="1083" spans="5:5" x14ac:dyDescent="0.4">
      <c r="E1083"/>
    </row>
    <row r="1084" spans="5:5" x14ac:dyDescent="0.4">
      <c r="E1084"/>
    </row>
    <row r="1085" spans="5:5" x14ac:dyDescent="0.4">
      <c r="E1085"/>
    </row>
    <row r="1086" spans="5:5" x14ac:dyDescent="0.4">
      <c r="E1086"/>
    </row>
    <row r="1087" spans="5:5" x14ac:dyDescent="0.4">
      <c r="E1087"/>
    </row>
    <row r="1088" spans="5:5" x14ac:dyDescent="0.4">
      <c r="E1088"/>
    </row>
    <row r="1089" spans="5:5" x14ac:dyDescent="0.4">
      <c r="E1089"/>
    </row>
    <row r="1090" spans="5:5" x14ac:dyDescent="0.4">
      <c r="E1090"/>
    </row>
    <row r="1091" spans="5:5" x14ac:dyDescent="0.4">
      <c r="E1091"/>
    </row>
    <row r="1092" spans="5:5" x14ac:dyDescent="0.4">
      <c r="E1092"/>
    </row>
    <row r="1093" spans="5:5" x14ac:dyDescent="0.4">
      <c r="E1093"/>
    </row>
    <row r="1094" spans="5:5" x14ac:dyDescent="0.4">
      <c r="E1094"/>
    </row>
    <row r="1095" spans="5:5" x14ac:dyDescent="0.4">
      <c r="E1095"/>
    </row>
    <row r="1096" spans="5:5" x14ac:dyDescent="0.4">
      <c r="E1096"/>
    </row>
    <row r="1097" spans="5:5" x14ac:dyDescent="0.4">
      <c r="E1097"/>
    </row>
    <row r="1098" spans="5:5" x14ac:dyDescent="0.4">
      <c r="E1098"/>
    </row>
    <row r="1099" spans="5:5" x14ac:dyDescent="0.4">
      <c r="E1099"/>
    </row>
    <row r="1100" spans="5:5" x14ac:dyDescent="0.4">
      <c r="E1100"/>
    </row>
    <row r="1101" spans="5:5" x14ac:dyDescent="0.4">
      <c r="E1101"/>
    </row>
    <row r="1102" spans="5:5" x14ac:dyDescent="0.4">
      <c r="E1102"/>
    </row>
    <row r="1103" spans="5:5" x14ac:dyDescent="0.4">
      <c r="E1103"/>
    </row>
    <row r="1104" spans="5:5" x14ac:dyDescent="0.4">
      <c r="E1104"/>
    </row>
    <row r="1105" spans="5:5" x14ac:dyDescent="0.4">
      <c r="E1105"/>
    </row>
    <row r="1106" spans="5:5" x14ac:dyDescent="0.4">
      <c r="E1106"/>
    </row>
    <row r="1107" spans="5:5" x14ac:dyDescent="0.4">
      <c r="E1107"/>
    </row>
    <row r="1108" spans="5:5" x14ac:dyDescent="0.4">
      <c r="E1108"/>
    </row>
    <row r="1109" spans="5:5" x14ac:dyDescent="0.4">
      <c r="E1109"/>
    </row>
    <row r="1110" spans="5:5" x14ac:dyDescent="0.4">
      <c r="E1110"/>
    </row>
    <row r="1111" spans="5:5" x14ac:dyDescent="0.4">
      <c r="E1111"/>
    </row>
    <row r="1112" spans="5:5" x14ac:dyDescent="0.4">
      <c r="E1112"/>
    </row>
    <row r="1113" spans="5:5" x14ac:dyDescent="0.4">
      <c r="E1113"/>
    </row>
    <row r="1114" spans="5:5" x14ac:dyDescent="0.4">
      <c r="E1114"/>
    </row>
    <row r="1115" spans="5:5" x14ac:dyDescent="0.4">
      <c r="E1115"/>
    </row>
    <row r="1116" spans="5:5" x14ac:dyDescent="0.4">
      <c r="E1116"/>
    </row>
    <row r="1117" spans="5:5" x14ac:dyDescent="0.4">
      <c r="E1117"/>
    </row>
    <row r="1118" spans="5:5" x14ac:dyDescent="0.4">
      <c r="E1118"/>
    </row>
    <row r="1119" spans="5:5" x14ac:dyDescent="0.4">
      <c r="E1119"/>
    </row>
    <row r="1120" spans="5:5" x14ac:dyDescent="0.4">
      <c r="E1120"/>
    </row>
    <row r="1121" spans="5:5" x14ac:dyDescent="0.4">
      <c r="E1121"/>
    </row>
    <row r="1122" spans="5:5" x14ac:dyDescent="0.4">
      <c r="E1122"/>
    </row>
    <row r="1123" spans="5:5" x14ac:dyDescent="0.4">
      <c r="E1123"/>
    </row>
    <row r="1124" spans="5:5" x14ac:dyDescent="0.4">
      <c r="E1124"/>
    </row>
    <row r="1125" spans="5:5" x14ac:dyDescent="0.4">
      <c r="E1125"/>
    </row>
    <row r="1126" spans="5:5" x14ac:dyDescent="0.4">
      <c r="E1126"/>
    </row>
    <row r="1127" spans="5:5" x14ac:dyDescent="0.4">
      <c r="E1127"/>
    </row>
    <row r="1128" spans="5:5" x14ac:dyDescent="0.4">
      <c r="E1128"/>
    </row>
    <row r="1129" spans="5:5" x14ac:dyDescent="0.4">
      <c r="E1129"/>
    </row>
    <row r="1130" spans="5:5" x14ac:dyDescent="0.4">
      <c r="E1130"/>
    </row>
    <row r="1131" spans="5:5" x14ac:dyDescent="0.4">
      <c r="E1131"/>
    </row>
    <row r="1132" spans="5:5" x14ac:dyDescent="0.4">
      <c r="E1132"/>
    </row>
    <row r="1133" spans="5:5" x14ac:dyDescent="0.4">
      <c r="E1133"/>
    </row>
    <row r="1134" spans="5:5" x14ac:dyDescent="0.4">
      <c r="E1134"/>
    </row>
    <row r="1135" spans="5:5" x14ac:dyDescent="0.4">
      <c r="E1135"/>
    </row>
    <row r="1136" spans="5:5" x14ac:dyDescent="0.4">
      <c r="E1136"/>
    </row>
    <row r="1137" spans="5:5" x14ac:dyDescent="0.4">
      <c r="E1137"/>
    </row>
    <row r="1138" spans="5:5" x14ac:dyDescent="0.4">
      <c r="E1138"/>
    </row>
    <row r="1139" spans="5:5" x14ac:dyDescent="0.4">
      <c r="E1139"/>
    </row>
    <row r="1140" spans="5:5" x14ac:dyDescent="0.4">
      <c r="E1140"/>
    </row>
    <row r="1141" spans="5:5" x14ac:dyDescent="0.4">
      <c r="E1141"/>
    </row>
    <row r="1142" spans="5:5" x14ac:dyDescent="0.4">
      <c r="E1142"/>
    </row>
    <row r="1143" spans="5:5" x14ac:dyDescent="0.4">
      <c r="E1143"/>
    </row>
    <row r="1144" spans="5:5" x14ac:dyDescent="0.4">
      <c r="E1144"/>
    </row>
    <row r="1145" spans="5:5" x14ac:dyDescent="0.4">
      <c r="E1145"/>
    </row>
    <row r="1146" spans="5:5" x14ac:dyDescent="0.4">
      <c r="E1146"/>
    </row>
    <row r="1147" spans="5:5" x14ac:dyDescent="0.4">
      <c r="E1147"/>
    </row>
    <row r="1148" spans="5:5" x14ac:dyDescent="0.4">
      <c r="E1148"/>
    </row>
    <row r="1149" spans="5:5" x14ac:dyDescent="0.4">
      <c r="E1149"/>
    </row>
    <row r="1150" spans="5:5" x14ac:dyDescent="0.4">
      <c r="E1150"/>
    </row>
    <row r="1151" spans="5:5" x14ac:dyDescent="0.4">
      <c r="E1151"/>
    </row>
    <row r="1152" spans="5:5" x14ac:dyDescent="0.4">
      <c r="E1152"/>
    </row>
    <row r="1153" spans="5:5" x14ac:dyDescent="0.4">
      <c r="E1153"/>
    </row>
    <row r="1154" spans="5:5" x14ac:dyDescent="0.4">
      <c r="E1154"/>
    </row>
    <row r="1155" spans="5:5" x14ac:dyDescent="0.4">
      <c r="E1155"/>
    </row>
    <row r="1156" spans="5:5" x14ac:dyDescent="0.4">
      <c r="E1156"/>
    </row>
    <row r="1157" spans="5:5" x14ac:dyDescent="0.4">
      <c r="E1157"/>
    </row>
    <row r="1158" spans="5:5" x14ac:dyDescent="0.4">
      <c r="E1158"/>
    </row>
    <row r="1159" spans="5:5" x14ac:dyDescent="0.4">
      <c r="E1159"/>
    </row>
    <row r="1160" spans="5:5" x14ac:dyDescent="0.4">
      <c r="E1160"/>
    </row>
    <row r="1161" spans="5:5" x14ac:dyDescent="0.4">
      <c r="E1161"/>
    </row>
    <row r="1162" spans="5:5" x14ac:dyDescent="0.4">
      <c r="E1162"/>
    </row>
    <row r="1163" spans="5:5" x14ac:dyDescent="0.4">
      <c r="E1163"/>
    </row>
    <row r="1164" spans="5:5" x14ac:dyDescent="0.4">
      <c r="E1164"/>
    </row>
    <row r="1165" spans="5:5" x14ac:dyDescent="0.4">
      <c r="E1165"/>
    </row>
    <row r="1166" spans="5:5" x14ac:dyDescent="0.4">
      <c r="E1166"/>
    </row>
    <row r="1167" spans="5:5" x14ac:dyDescent="0.4">
      <c r="E1167"/>
    </row>
    <row r="1168" spans="5:5" x14ac:dyDescent="0.4">
      <c r="E1168"/>
    </row>
    <row r="1169" spans="5:5" x14ac:dyDescent="0.4">
      <c r="E1169"/>
    </row>
    <row r="1170" spans="5:5" x14ac:dyDescent="0.4">
      <c r="E1170"/>
    </row>
    <row r="1171" spans="5:5" x14ac:dyDescent="0.4">
      <c r="E1171"/>
    </row>
    <row r="1172" spans="5:5" x14ac:dyDescent="0.4">
      <c r="E1172"/>
    </row>
    <row r="1173" spans="5:5" x14ac:dyDescent="0.4">
      <c r="E1173"/>
    </row>
    <row r="1174" spans="5:5" x14ac:dyDescent="0.4">
      <c r="E1174"/>
    </row>
    <row r="1175" spans="5:5" x14ac:dyDescent="0.4">
      <c r="E1175"/>
    </row>
    <row r="1176" spans="5:5" x14ac:dyDescent="0.4">
      <c r="E1176"/>
    </row>
    <row r="1177" spans="5:5" x14ac:dyDescent="0.4">
      <c r="E1177"/>
    </row>
    <row r="1178" spans="5:5" x14ac:dyDescent="0.4">
      <c r="E1178"/>
    </row>
    <row r="1179" spans="5:5" x14ac:dyDescent="0.4">
      <c r="E1179"/>
    </row>
    <row r="1180" spans="5:5" x14ac:dyDescent="0.4">
      <c r="E1180"/>
    </row>
    <row r="1181" spans="5:5" x14ac:dyDescent="0.4">
      <c r="E1181"/>
    </row>
    <row r="1182" spans="5:5" x14ac:dyDescent="0.4">
      <c r="E1182"/>
    </row>
    <row r="1183" spans="5:5" x14ac:dyDescent="0.4">
      <c r="E1183"/>
    </row>
    <row r="1184" spans="5:5" x14ac:dyDescent="0.4">
      <c r="E1184"/>
    </row>
    <row r="1185" spans="5:5" x14ac:dyDescent="0.4">
      <c r="E1185"/>
    </row>
    <row r="1186" spans="5:5" x14ac:dyDescent="0.4">
      <c r="E1186"/>
    </row>
    <row r="1187" spans="5:5" x14ac:dyDescent="0.4">
      <c r="E1187"/>
    </row>
    <row r="1188" spans="5:5" x14ac:dyDescent="0.4">
      <c r="E1188"/>
    </row>
    <row r="1189" spans="5:5" x14ac:dyDescent="0.4">
      <c r="E1189"/>
    </row>
    <row r="1190" spans="5:5" x14ac:dyDescent="0.4">
      <c r="E1190"/>
    </row>
    <row r="1191" spans="5:5" x14ac:dyDescent="0.4">
      <c r="E1191"/>
    </row>
    <row r="1192" spans="5:5" x14ac:dyDescent="0.4">
      <c r="E1192"/>
    </row>
    <row r="1193" spans="5:5" x14ac:dyDescent="0.4">
      <c r="E1193"/>
    </row>
    <row r="1194" spans="5:5" x14ac:dyDescent="0.4">
      <c r="E1194"/>
    </row>
    <row r="1195" spans="5:5" x14ac:dyDescent="0.4">
      <c r="E1195"/>
    </row>
    <row r="1196" spans="5:5" x14ac:dyDescent="0.4">
      <c r="E1196"/>
    </row>
    <row r="1197" spans="5:5" x14ac:dyDescent="0.4">
      <c r="E1197"/>
    </row>
    <row r="1198" spans="5:5" x14ac:dyDescent="0.4">
      <c r="E1198"/>
    </row>
    <row r="1199" spans="5:5" x14ac:dyDescent="0.4">
      <c r="E1199"/>
    </row>
    <row r="1200" spans="5:5" x14ac:dyDescent="0.4">
      <c r="E1200"/>
    </row>
    <row r="1201" spans="5:5" x14ac:dyDescent="0.4">
      <c r="E1201"/>
    </row>
    <row r="1202" spans="5:5" x14ac:dyDescent="0.4">
      <c r="E1202"/>
    </row>
    <row r="1203" spans="5:5" x14ac:dyDescent="0.4">
      <c r="E1203"/>
    </row>
    <row r="1204" spans="5:5" x14ac:dyDescent="0.4">
      <c r="E1204"/>
    </row>
    <row r="1205" spans="5:5" x14ac:dyDescent="0.4">
      <c r="E1205"/>
    </row>
    <row r="1206" spans="5:5" x14ac:dyDescent="0.4">
      <c r="E1206"/>
    </row>
    <row r="1207" spans="5:5" x14ac:dyDescent="0.4">
      <c r="E1207"/>
    </row>
    <row r="1208" spans="5:5" x14ac:dyDescent="0.4">
      <c r="E1208"/>
    </row>
    <row r="1209" spans="5:5" x14ac:dyDescent="0.4">
      <c r="E1209"/>
    </row>
    <row r="1210" spans="5:5" x14ac:dyDescent="0.4">
      <c r="E1210"/>
    </row>
    <row r="1211" spans="5:5" x14ac:dyDescent="0.4">
      <c r="E1211"/>
    </row>
    <row r="1212" spans="5:5" x14ac:dyDescent="0.4">
      <c r="E1212"/>
    </row>
    <row r="1213" spans="5:5" x14ac:dyDescent="0.4">
      <c r="E1213"/>
    </row>
    <row r="1214" spans="5:5" x14ac:dyDescent="0.4">
      <c r="E1214"/>
    </row>
    <row r="1215" spans="5:5" x14ac:dyDescent="0.4">
      <c r="E1215"/>
    </row>
    <row r="1216" spans="5:5" x14ac:dyDescent="0.4">
      <c r="E1216"/>
    </row>
    <row r="1217" spans="5:5" x14ac:dyDescent="0.4">
      <c r="E1217"/>
    </row>
    <row r="1218" spans="5:5" x14ac:dyDescent="0.4">
      <c r="E1218"/>
    </row>
    <row r="1219" spans="5:5" x14ac:dyDescent="0.4">
      <c r="E1219"/>
    </row>
    <row r="1220" spans="5:5" x14ac:dyDescent="0.4">
      <c r="E1220"/>
    </row>
    <row r="1221" spans="5:5" x14ac:dyDescent="0.4">
      <c r="E1221"/>
    </row>
    <row r="1222" spans="5:5" x14ac:dyDescent="0.4">
      <c r="E1222"/>
    </row>
    <row r="1223" spans="5:5" x14ac:dyDescent="0.4">
      <c r="E1223"/>
    </row>
    <row r="1224" spans="5:5" x14ac:dyDescent="0.4">
      <c r="E1224"/>
    </row>
    <row r="1225" spans="5:5" x14ac:dyDescent="0.4">
      <c r="E1225"/>
    </row>
    <row r="1226" spans="5:5" x14ac:dyDescent="0.4">
      <c r="E1226"/>
    </row>
    <row r="1227" spans="5:5" x14ac:dyDescent="0.4">
      <c r="E1227"/>
    </row>
    <row r="1228" spans="5:5" x14ac:dyDescent="0.4">
      <c r="E1228"/>
    </row>
    <row r="1229" spans="5:5" x14ac:dyDescent="0.4">
      <c r="E1229"/>
    </row>
    <row r="1230" spans="5:5" x14ac:dyDescent="0.4">
      <c r="E1230"/>
    </row>
    <row r="1231" spans="5:5" x14ac:dyDescent="0.4">
      <c r="E1231"/>
    </row>
    <row r="1232" spans="5:5" x14ac:dyDescent="0.4">
      <c r="E1232"/>
    </row>
    <row r="1233" spans="5:5" x14ac:dyDescent="0.4">
      <c r="E1233"/>
    </row>
    <row r="1234" spans="5:5" x14ac:dyDescent="0.4">
      <c r="E1234"/>
    </row>
    <row r="1235" spans="5:5" x14ac:dyDescent="0.4">
      <c r="E1235"/>
    </row>
    <row r="1236" spans="5:5" x14ac:dyDescent="0.4">
      <c r="E1236"/>
    </row>
    <row r="1237" spans="5:5" x14ac:dyDescent="0.4">
      <c r="E1237"/>
    </row>
    <row r="1238" spans="5:5" x14ac:dyDescent="0.4">
      <c r="E1238"/>
    </row>
    <row r="1239" spans="5:5" x14ac:dyDescent="0.4">
      <c r="E1239"/>
    </row>
    <row r="1240" spans="5:5" x14ac:dyDescent="0.4">
      <c r="E1240"/>
    </row>
    <row r="1241" spans="5:5" x14ac:dyDescent="0.4">
      <c r="E1241"/>
    </row>
    <row r="1242" spans="5:5" x14ac:dyDescent="0.4">
      <c r="E1242"/>
    </row>
    <row r="1243" spans="5:5" x14ac:dyDescent="0.4">
      <c r="E1243"/>
    </row>
    <row r="1244" spans="5:5" x14ac:dyDescent="0.4">
      <c r="E1244"/>
    </row>
    <row r="1245" spans="5:5" x14ac:dyDescent="0.4">
      <c r="E1245"/>
    </row>
    <row r="1246" spans="5:5" x14ac:dyDescent="0.4">
      <c r="E1246"/>
    </row>
    <row r="1247" spans="5:5" x14ac:dyDescent="0.4">
      <c r="E1247"/>
    </row>
    <row r="1248" spans="5:5" x14ac:dyDescent="0.4">
      <c r="E1248"/>
    </row>
    <row r="1249" spans="5:5" x14ac:dyDescent="0.4">
      <c r="E1249"/>
    </row>
    <row r="1250" spans="5:5" x14ac:dyDescent="0.4">
      <c r="E1250"/>
    </row>
    <row r="1251" spans="5:5" x14ac:dyDescent="0.4">
      <c r="E1251"/>
    </row>
    <row r="1252" spans="5:5" x14ac:dyDescent="0.4">
      <c r="E1252"/>
    </row>
    <row r="1253" spans="5:5" x14ac:dyDescent="0.4">
      <c r="E1253"/>
    </row>
    <row r="1254" spans="5:5" x14ac:dyDescent="0.4">
      <c r="E1254"/>
    </row>
    <row r="1255" spans="5:5" x14ac:dyDescent="0.4">
      <c r="E1255"/>
    </row>
    <row r="1256" spans="5:5" x14ac:dyDescent="0.4">
      <c r="E1256"/>
    </row>
    <row r="1257" spans="5:5" x14ac:dyDescent="0.4">
      <c r="E1257"/>
    </row>
    <row r="1258" spans="5:5" x14ac:dyDescent="0.4">
      <c r="E1258"/>
    </row>
    <row r="1259" spans="5:5" x14ac:dyDescent="0.4">
      <c r="E1259"/>
    </row>
    <row r="1260" spans="5:5" x14ac:dyDescent="0.4">
      <c r="E1260"/>
    </row>
    <row r="1261" spans="5:5" x14ac:dyDescent="0.4">
      <c r="E1261"/>
    </row>
    <row r="1262" spans="5:5" x14ac:dyDescent="0.4">
      <c r="E1262"/>
    </row>
    <row r="1263" spans="5:5" x14ac:dyDescent="0.4">
      <c r="E1263"/>
    </row>
    <row r="1264" spans="5:5" x14ac:dyDescent="0.4">
      <c r="E1264"/>
    </row>
    <row r="1265" spans="5:5" x14ac:dyDescent="0.4">
      <c r="E1265"/>
    </row>
    <row r="1266" spans="5:5" x14ac:dyDescent="0.4">
      <c r="E1266"/>
    </row>
    <row r="1267" spans="5:5" x14ac:dyDescent="0.4">
      <c r="E1267"/>
    </row>
    <row r="1268" spans="5:5" x14ac:dyDescent="0.4">
      <c r="E1268"/>
    </row>
    <row r="1269" spans="5:5" x14ac:dyDescent="0.4">
      <c r="E1269"/>
    </row>
    <row r="1270" spans="5:5" x14ac:dyDescent="0.4">
      <c r="E1270"/>
    </row>
    <row r="1271" spans="5:5" x14ac:dyDescent="0.4">
      <c r="E1271"/>
    </row>
    <row r="1272" spans="5:5" x14ac:dyDescent="0.4">
      <c r="E1272"/>
    </row>
    <row r="1273" spans="5:5" x14ac:dyDescent="0.4">
      <c r="E1273"/>
    </row>
    <row r="1274" spans="5:5" x14ac:dyDescent="0.4">
      <c r="E1274"/>
    </row>
    <row r="1275" spans="5:5" x14ac:dyDescent="0.4">
      <c r="E1275"/>
    </row>
    <row r="1276" spans="5:5" x14ac:dyDescent="0.4">
      <c r="E1276"/>
    </row>
    <row r="1277" spans="5:5" x14ac:dyDescent="0.4">
      <c r="E1277"/>
    </row>
    <row r="1278" spans="5:5" x14ac:dyDescent="0.4">
      <c r="E1278"/>
    </row>
    <row r="1279" spans="5:5" x14ac:dyDescent="0.4">
      <c r="E1279"/>
    </row>
    <row r="1280" spans="5:5" x14ac:dyDescent="0.4">
      <c r="E1280"/>
    </row>
    <row r="1281" spans="5:5" x14ac:dyDescent="0.4">
      <c r="E1281"/>
    </row>
    <row r="1282" spans="5:5" x14ac:dyDescent="0.4">
      <c r="E1282"/>
    </row>
    <row r="1283" spans="5:5" x14ac:dyDescent="0.4">
      <c r="E1283"/>
    </row>
    <row r="1284" spans="5:5" x14ac:dyDescent="0.4">
      <c r="E1284"/>
    </row>
    <row r="1285" spans="5:5" x14ac:dyDescent="0.4">
      <c r="E1285"/>
    </row>
    <row r="1286" spans="5:5" x14ac:dyDescent="0.4">
      <c r="E1286"/>
    </row>
    <row r="1287" spans="5:5" x14ac:dyDescent="0.4">
      <c r="E1287"/>
    </row>
    <row r="1288" spans="5:5" x14ac:dyDescent="0.4">
      <c r="E1288"/>
    </row>
    <row r="1289" spans="5:5" x14ac:dyDescent="0.4">
      <c r="E1289"/>
    </row>
    <row r="1290" spans="5:5" x14ac:dyDescent="0.4">
      <c r="E1290"/>
    </row>
    <row r="1291" spans="5:5" x14ac:dyDescent="0.4">
      <c r="E1291"/>
    </row>
    <row r="1292" spans="5:5" x14ac:dyDescent="0.4">
      <c r="E1292"/>
    </row>
    <row r="1293" spans="5:5" x14ac:dyDescent="0.4">
      <c r="E1293"/>
    </row>
    <row r="1294" spans="5:5" x14ac:dyDescent="0.4">
      <c r="E1294"/>
    </row>
    <row r="1295" spans="5:5" x14ac:dyDescent="0.4">
      <c r="E1295"/>
    </row>
    <row r="1296" spans="5:5" x14ac:dyDescent="0.4">
      <c r="E1296"/>
    </row>
    <row r="1297" spans="5:5" x14ac:dyDescent="0.4">
      <c r="E1297"/>
    </row>
    <row r="1298" spans="5:5" x14ac:dyDescent="0.4">
      <c r="E1298"/>
    </row>
    <row r="1299" spans="5:5" x14ac:dyDescent="0.4">
      <c r="E1299"/>
    </row>
    <row r="1300" spans="5:5" x14ac:dyDescent="0.4">
      <c r="E1300"/>
    </row>
    <row r="1301" spans="5:5" x14ac:dyDescent="0.4">
      <c r="E1301"/>
    </row>
    <row r="1302" spans="5:5" x14ac:dyDescent="0.4">
      <c r="E1302"/>
    </row>
    <row r="1303" spans="5:5" x14ac:dyDescent="0.4">
      <c r="E1303"/>
    </row>
    <row r="1304" spans="5:5" x14ac:dyDescent="0.4">
      <c r="E1304"/>
    </row>
    <row r="1305" spans="5:5" x14ac:dyDescent="0.4">
      <c r="E1305"/>
    </row>
    <row r="1306" spans="5:5" x14ac:dyDescent="0.4">
      <c r="E1306"/>
    </row>
    <row r="1307" spans="5:5" x14ac:dyDescent="0.4">
      <c r="E1307"/>
    </row>
    <row r="1308" spans="5:5" x14ac:dyDescent="0.4">
      <c r="E1308"/>
    </row>
    <row r="1309" spans="5:5" x14ac:dyDescent="0.4">
      <c r="E1309"/>
    </row>
    <row r="1310" spans="5:5" x14ac:dyDescent="0.4">
      <c r="E1310"/>
    </row>
    <row r="1311" spans="5:5" x14ac:dyDescent="0.4">
      <c r="E1311"/>
    </row>
    <row r="1312" spans="5:5" x14ac:dyDescent="0.4">
      <c r="E1312"/>
    </row>
    <row r="1313" spans="5:5" x14ac:dyDescent="0.4">
      <c r="E1313"/>
    </row>
    <row r="1314" spans="5:5" x14ac:dyDescent="0.4">
      <c r="E1314"/>
    </row>
    <row r="1315" spans="5:5" x14ac:dyDescent="0.4">
      <c r="E1315"/>
    </row>
    <row r="1316" spans="5:5" x14ac:dyDescent="0.4">
      <c r="E1316"/>
    </row>
    <row r="1317" spans="5:5" x14ac:dyDescent="0.4">
      <c r="E1317"/>
    </row>
    <row r="1318" spans="5:5" x14ac:dyDescent="0.4">
      <c r="E1318"/>
    </row>
    <row r="1319" spans="5:5" x14ac:dyDescent="0.4">
      <c r="E1319"/>
    </row>
    <row r="1320" spans="5:5" x14ac:dyDescent="0.4">
      <c r="E1320"/>
    </row>
    <row r="1321" spans="5:5" x14ac:dyDescent="0.4">
      <c r="E1321"/>
    </row>
    <row r="1322" spans="5:5" x14ac:dyDescent="0.4">
      <c r="E1322"/>
    </row>
    <row r="1323" spans="5:5" x14ac:dyDescent="0.4">
      <c r="E1323"/>
    </row>
    <row r="1324" spans="5:5" x14ac:dyDescent="0.4">
      <c r="E1324"/>
    </row>
    <row r="1325" spans="5:5" x14ac:dyDescent="0.4">
      <c r="E1325"/>
    </row>
    <row r="1326" spans="5:5" x14ac:dyDescent="0.4">
      <c r="E1326"/>
    </row>
    <row r="1327" spans="5:5" x14ac:dyDescent="0.4">
      <c r="E1327"/>
    </row>
    <row r="1328" spans="5:5" x14ac:dyDescent="0.4">
      <c r="E1328"/>
    </row>
    <row r="1329" spans="5:5" x14ac:dyDescent="0.4">
      <c r="E1329"/>
    </row>
    <row r="1330" spans="5:5" x14ac:dyDescent="0.4">
      <c r="E1330"/>
    </row>
    <row r="1331" spans="5:5" x14ac:dyDescent="0.4">
      <c r="E1331"/>
    </row>
    <row r="1332" spans="5:5" x14ac:dyDescent="0.4">
      <c r="E1332"/>
    </row>
    <row r="1333" spans="5:5" x14ac:dyDescent="0.4">
      <c r="E1333"/>
    </row>
    <row r="1334" spans="5:5" x14ac:dyDescent="0.4">
      <c r="E1334"/>
    </row>
    <row r="1335" spans="5:5" x14ac:dyDescent="0.4">
      <c r="E1335"/>
    </row>
    <row r="1336" spans="5:5" x14ac:dyDescent="0.4">
      <c r="E1336"/>
    </row>
    <row r="1337" spans="5:5" x14ac:dyDescent="0.4">
      <c r="E1337"/>
    </row>
    <row r="1338" spans="5:5" x14ac:dyDescent="0.4">
      <c r="E1338"/>
    </row>
    <row r="1339" spans="5:5" x14ac:dyDescent="0.4">
      <c r="E1339"/>
    </row>
    <row r="1340" spans="5:5" x14ac:dyDescent="0.4">
      <c r="E1340"/>
    </row>
    <row r="1341" spans="5:5" x14ac:dyDescent="0.4">
      <c r="E1341"/>
    </row>
    <row r="1342" spans="5:5" x14ac:dyDescent="0.4">
      <c r="E1342"/>
    </row>
    <row r="1343" spans="5:5" x14ac:dyDescent="0.4">
      <c r="E1343"/>
    </row>
    <row r="1344" spans="5:5" x14ac:dyDescent="0.4">
      <c r="E1344"/>
    </row>
    <row r="1345" spans="5:5" x14ac:dyDescent="0.4">
      <c r="E1345"/>
    </row>
    <row r="1346" spans="5:5" x14ac:dyDescent="0.4">
      <c r="E1346"/>
    </row>
    <row r="1347" spans="5:5" x14ac:dyDescent="0.4">
      <c r="E1347"/>
    </row>
    <row r="1348" spans="5:5" x14ac:dyDescent="0.4">
      <c r="E1348"/>
    </row>
    <row r="1349" spans="5:5" x14ac:dyDescent="0.4">
      <c r="E1349"/>
    </row>
    <row r="1350" spans="5:5" x14ac:dyDescent="0.4">
      <c r="E1350"/>
    </row>
    <row r="1351" spans="5:5" x14ac:dyDescent="0.4">
      <c r="E1351"/>
    </row>
    <row r="1352" spans="5:5" x14ac:dyDescent="0.4">
      <c r="E1352"/>
    </row>
    <row r="1353" spans="5:5" x14ac:dyDescent="0.4">
      <c r="E1353"/>
    </row>
    <row r="1354" spans="5:5" x14ac:dyDescent="0.4">
      <c r="E1354"/>
    </row>
    <row r="1355" spans="5:5" x14ac:dyDescent="0.4">
      <c r="E1355"/>
    </row>
    <row r="1356" spans="5:5" x14ac:dyDescent="0.4">
      <c r="E1356"/>
    </row>
    <row r="1357" spans="5:5" x14ac:dyDescent="0.4">
      <c r="E1357"/>
    </row>
    <row r="1358" spans="5:5" x14ac:dyDescent="0.4">
      <c r="E1358"/>
    </row>
    <row r="1359" spans="5:5" x14ac:dyDescent="0.4">
      <c r="E1359"/>
    </row>
    <row r="1360" spans="5:5" x14ac:dyDescent="0.4">
      <c r="E1360"/>
    </row>
    <row r="1361" spans="5:5" x14ac:dyDescent="0.4">
      <c r="E1361"/>
    </row>
    <row r="1362" spans="5:5" x14ac:dyDescent="0.4">
      <c r="E1362"/>
    </row>
    <row r="1363" spans="5:5" x14ac:dyDescent="0.4">
      <c r="E1363"/>
    </row>
    <row r="1364" spans="5:5" x14ac:dyDescent="0.4">
      <c r="E1364"/>
    </row>
    <row r="1365" spans="5:5" x14ac:dyDescent="0.4">
      <c r="E1365"/>
    </row>
    <row r="1366" spans="5:5" x14ac:dyDescent="0.4">
      <c r="E1366"/>
    </row>
    <row r="1367" spans="5:5" x14ac:dyDescent="0.4">
      <c r="E1367"/>
    </row>
    <row r="1368" spans="5:5" x14ac:dyDescent="0.4">
      <c r="E1368"/>
    </row>
    <row r="1369" spans="5:5" x14ac:dyDescent="0.4">
      <c r="E1369"/>
    </row>
    <row r="1370" spans="5:5" x14ac:dyDescent="0.4">
      <c r="E1370"/>
    </row>
    <row r="1371" spans="5:5" x14ac:dyDescent="0.4">
      <c r="E1371"/>
    </row>
    <row r="1372" spans="5:5" x14ac:dyDescent="0.4">
      <c r="E1372"/>
    </row>
    <row r="1373" spans="5:5" x14ac:dyDescent="0.4">
      <c r="E1373"/>
    </row>
    <row r="1374" spans="5:5" x14ac:dyDescent="0.4">
      <c r="E1374"/>
    </row>
    <row r="1375" spans="5:5" x14ac:dyDescent="0.4">
      <c r="E1375"/>
    </row>
    <row r="1376" spans="5:5" x14ac:dyDescent="0.4">
      <c r="E1376"/>
    </row>
    <row r="1377" spans="5:5" x14ac:dyDescent="0.4">
      <c r="E1377"/>
    </row>
    <row r="1378" spans="5:5" x14ac:dyDescent="0.4">
      <c r="E1378"/>
    </row>
    <row r="1379" spans="5:5" x14ac:dyDescent="0.4">
      <c r="E1379"/>
    </row>
    <row r="1380" spans="5:5" x14ac:dyDescent="0.4">
      <c r="E1380"/>
    </row>
    <row r="1381" spans="5:5" x14ac:dyDescent="0.4">
      <c r="E1381"/>
    </row>
    <row r="1382" spans="5:5" x14ac:dyDescent="0.4">
      <c r="E1382"/>
    </row>
    <row r="1383" spans="5:5" x14ac:dyDescent="0.4">
      <c r="E1383"/>
    </row>
    <row r="1384" spans="5:5" x14ac:dyDescent="0.4">
      <c r="E1384"/>
    </row>
    <row r="1385" spans="5:5" x14ac:dyDescent="0.4">
      <c r="E1385"/>
    </row>
    <row r="1386" spans="5:5" x14ac:dyDescent="0.4">
      <c r="E1386"/>
    </row>
    <row r="1387" spans="5:5" x14ac:dyDescent="0.4">
      <c r="E1387"/>
    </row>
    <row r="1388" spans="5:5" x14ac:dyDescent="0.4">
      <c r="E1388"/>
    </row>
    <row r="1389" spans="5:5" x14ac:dyDescent="0.4">
      <c r="E1389"/>
    </row>
    <row r="1390" spans="5:5" x14ac:dyDescent="0.4">
      <c r="E1390"/>
    </row>
    <row r="1391" spans="5:5" x14ac:dyDescent="0.4">
      <c r="E1391"/>
    </row>
    <row r="1392" spans="5:5" x14ac:dyDescent="0.4">
      <c r="E1392"/>
    </row>
    <row r="1393" spans="5:5" x14ac:dyDescent="0.4">
      <c r="E1393"/>
    </row>
    <row r="1394" spans="5:5" x14ac:dyDescent="0.4">
      <c r="E1394"/>
    </row>
    <row r="1395" spans="5:5" x14ac:dyDescent="0.4">
      <c r="E1395"/>
    </row>
    <row r="1396" spans="5:5" x14ac:dyDescent="0.4">
      <c r="E1396"/>
    </row>
    <row r="1397" spans="5:5" x14ac:dyDescent="0.4">
      <c r="E1397"/>
    </row>
    <row r="1398" spans="5:5" x14ac:dyDescent="0.4">
      <c r="E1398"/>
    </row>
    <row r="1399" spans="5:5" x14ac:dyDescent="0.4">
      <c r="E1399"/>
    </row>
    <row r="1400" spans="5:5" x14ac:dyDescent="0.4">
      <c r="E1400"/>
    </row>
    <row r="1401" spans="5:5" x14ac:dyDescent="0.4">
      <c r="E1401"/>
    </row>
    <row r="1402" spans="5:5" x14ac:dyDescent="0.4">
      <c r="E1402"/>
    </row>
    <row r="1403" spans="5:5" x14ac:dyDescent="0.4">
      <c r="E1403"/>
    </row>
    <row r="1404" spans="5:5" x14ac:dyDescent="0.4">
      <c r="E1404"/>
    </row>
    <row r="1405" spans="5:5" x14ac:dyDescent="0.4">
      <c r="E1405"/>
    </row>
    <row r="1406" spans="5:5" x14ac:dyDescent="0.4">
      <c r="E1406"/>
    </row>
    <row r="1407" spans="5:5" x14ac:dyDescent="0.4">
      <c r="E1407"/>
    </row>
    <row r="1408" spans="5:5" x14ac:dyDescent="0.4">
      <c r="E1408"/>
    </row>
    <row r="1409" spans="5:5" x14ac:dyDescent="0.4">
      <c r="E1409"/>
    </row>
    <row r="1410" spans="5:5" x14ac:dyDescent="0.4">
      <c r="E1410"/>
    </row>
    <row r="1411" spans="5:5" x14ac:dyDescent="0.4">
      <c r="E1411"/>
    </row>
    <row r="1412" spans="5:5" x14ac:dyDescent="0.4">
      <c r="E1412"/>
    </row>
    <row r="1413" spans="5:5" x14ac:dyDescent="0.4">
      <c r="E1413"/>
    </row>
    <row r="1414" spans="5:5" x14ac:dyDescent="0.4">
      <c r="E1414"/>
    </row>
    <row r="1415" spans="5:5" x14ac:dyDescent="0.4">
      <c r="E1415"/>
    </row>
    <row r="1416" spans="5:5" x14ac:dyDescent="0.4">
      <c r="E1416"/>
    </row>
    <row r="1417" spans="5:5" x14ac:dyDescent="0.4">
      <c r="E1417"/>
    </row>
    <row r="1418" spans="5:5" x14ac:dyDescent="0.4">
      <c r="E1418"/>
    </row>
    <row r="1419" spans="5:5" x14ac:dyDescent="0.4">
      <c r="E1419"/>
    </row>
    <row r="1420" spans="5:5" x14ac:dyDescent="0.4">
      <c r="E1420"/>
    </row>
    <row r="1421" spans="5:5" x14ac:dyDescent="0.4">
      <c r="E1421"/>
    </row>
    <row r="1422" spans="5:5" x14ac:dyDescent="0.4">
      <c r="E1422"/>
    </row>
    <row r="1423" spans="5:5" x14ac:dyDescent="0.4">
      <c r="E1423"/>
    </row>
    <row r="1424" spans="5:5" x14ac:dyDescent="0.4">
      <c r="E1424"/>
    </row>
    <row r="1425" spans="5:5" x14ac:dyDescent="0.4">
      <c r="E1425"/>
    </row>
    <row r="1426" spans="5:5" x14ac:dyDescent="0.4">
      <c r="E1426"/>
    </row>
    <row r="1427" spans="5:5" x14ac:dyDescent="0.4">
      <c r="E1427"/>
    </row>
    <row r="1428" spans="5:5" x14ac:dyDescent="0.4">
      <c r="E1428"/>
    </row>
    <row r="1429" spans="5:5" x14ac:dyDescent="0.4">
      <c r="E1429"/>
    </row>
    <row r="1430" spans="5:5" x14ac:dyDescent="0.4">
      <c r="E1430"/>
    </row>
    <row r="1431" spans="5:5" x14ac:dyDescent="0.4">
      <c r="E1431"/>
    </row>
    <row r="1432" spans="5:5" x14ac:dyDescent="0.4">
      <c r="E1432"/>
    </row>
    <row r="1433" spans="5:5" x14ac:dyDescent="0.4">
      <c r="E1433"/>
    </row>
    <row r="1434" spans="5:5" x14ac:dyDescent="0.4">
      <c r="E1434"/>
    </row>
    <row r="1435" spans="5:5" x14ac:dyDescent="0.4">
      <c r="E1435"/>
    </row>
    <row r="1436" spans="5:5" x14ac:dyDescent="0.4">
      <c r="E1436"/>
    </row>
    <row r="1437" spans="5:5" x14ac:dyDescent="0.4">
      <c r="E1437"/>
    </row>
    <row r="1438" spans="5:5" x14ac:dyDescent="0.4">
      <c r="E1438"/>
    </row>
    <row r="1439" spans="5:5" x14ac:dyDescent="0.4">
      <c r="E1439"/>
    </row>
    <row r="1440" spans="5:5" x14ac:dyDescent="0.4">
      <c r="E1440"/>
    </row>
    <row r="1441" spans="5:5" x14ac:dyDescent="0.4">
      <c r="E1441"/>
    </row>
    <row r="1442" spans="5:5" x14ac:dyDescent="0.4">
      <c r="E1442"/>
    </row>
    <row r="1443" spans="5:5" x14ac:dyDescent="0.4">
      <c r="E1443"/>
    </row>
    <row r="1444" spans="5:5" x14ac:dyDescent="0.4">
      <c r="E1444"/>
    </row>
    <row r="1445" spans="5:5" x14ac:dyDescent="0.4">
      <c r="E1445"/>
    </row>
    <row r="1446" spans="5:5" x14ac:dyDescent="0.4">
      <c r="E1446"/>
    </row>
    <row r="1447" spans="5:5" x14ac:dyDescent="0.4">
      <c r="E1447"/>
    </row>
    <row r="1448" spans="5:5" x14ac:dyDescent="0.4">
      <c r="E1448"/>
    </row>
    <row r="1449" spans="5:5" x14ac:dyDescent="0.4">
      <c r="E1449"/>
    </row>
    <row r="1450" spans="5:5" x14ac:dyDescent="0.4">
      <c r="E1450"/>
    </row>
    <row r="1451" spans="5:5" x14ac:dyDescent="0.4">
      <c r="E1451"/>
    </row>
    <row r="1452" spans="5:5" x14ac:dyDescent="0.4">
      <c r="E1452"/>
    </row>
    <row r="1453" spans="5:5" x14ac:dyDescent="0.4">
      <c r="E1453"/>
    </row>
    <row r="1454" spans="5:5" x14ac:dyDescent="0.4">
      <c r="E1454"/>
    </row>
    <row r="1455" spans="5:5" x14ac:dyDescent="0.4">
      <c r="E1455"/>
    </row>
    <row r="1456" spans="5:5" x14ac:dyDescent="0.4">
      <c r="E1456"/>
    </row>
    <row r="1457" spans="5:5" x14ac:dyDescent="0.4">
      <c r="E1457"/>
    </row>
    <row r="1458" spans="5:5" x14ac:dyDescent="0.4">
      <c r="E1458"/>
    </row>
    <row r="1459" spans="5:5" x14ac:dyDescent="0.4">
      <c r="E1459"/>
    </row>
    <row r="1460" spans="5:5" x14ac:dyDescent="0.4">
      <c r="E1460"/>
    </row>
    <row r="1461" spans="5:5" x14ac:dyDescent="0.4">
      <c r="E1461"/>
    </row>
    <row r="1462" spans="5:5" x14ac:dyDescent="0.4">
      <c r="E1462"/>
    </row>
    <row r="1463" spans="5:5" x14ac:dyDescent="0.4">
      <c r="E1463"/>
    </row>
    <row r="1464" spans="5:5" x14ac:dyDescent="0.4">
      <c r="E1464"/>
    </row>
    <row r="1465" spans="5:5" x14ac:dyDescent="0.4">
      <c r="E1465"/>
    </row>
    <row r="1466" spans="5:5" x14ac:dyDescent="0.4">
      <c r="E1466"/>
    </row>
    <row r="1467" spans="5:5" x14ac:dyDescent="0.4">
      <c r="E1467"/>
    </row>
    <row r="1468" spans="5:5" x14ac:dyDescent="0.4">
      <c r="E1468"/>
    </row>
    <row r="1469" spans="5:5" x14ac:dyDescent="0.4">
      <c r="E1469"/>
    </row>
    <row r="1470" spans="5:5" x14ac:dyDescent="0.4">
      <c r="E1470"/>
    </row>
    <row r="1471" spans="5:5" x14ac:dyDescent="0.4">
      <c r="E1471"/>
    </row>
    <row r="1472" spans="5:5" x14ac:dyDescent="0.4">
      <c r="E1472"/>
    </row>
    <row r="1473" spans="5:5" x14ac:dyDescent="0.4">
      <c r="E1473"/>
    </row>
    <row r="1474" spans="5:5" x14ac:dyDescent="0.4">
      <c r="E1474"/>
    </row>
    <row r="1475" spans="5:5" x14ac:dyDescent="0.4">
      <c r="E1475"/>
    </row>
    <row r="1476" spans="5:5" x14ac:dyDescent="0.4">
      <c r="E1476"/>
    </row>
    <row r="1477" spans="5:5" x14ac:dyDescent="0.4">
      <c r="E1477"/>
    </row>
    <row r="1478" spans="5:5" x14ac:dyDescent="0.4">
      <c r="E1478"/>
    </row>
    <row r="1479" spans="5:5" x14ac:dyDescent="0.4">
      <c r="E1479"/>
    </row>
    <row r="1480" spans="5:5" x14ac:dyDescent="0.4">
      <c r="E1480"/>
    </row>
    <row r="1481" spans="5:5" x14ac:dyDescent="0.4">
      <c r="E1481"/>
    </row>
    <row r="1482" spans="5:5" x14ac:dyDescent="0.4">
      <c r="E1482"/>
    </row>
    <row r="1483" spans="5:5" x14ac:dyDescent="0.4">
      <c r="E1483"/>
    </row>
    <row r="1484" spans="5:5" x14ac:dyDescent="0.4">
      <c r="E1484"/>
    </row>
    <row r="1485" spans="5:5" x14ac:dyDescent="0.4">
      <c r="E1485"/>
    </row>
    <row r="1486" spans="5:5" x14ac:dyDescent="0.4">
      <c r="E1486"/>
    </row>
    <row r="1487" spans="5:5" x14ac:dyDescent="0.4">
      <c r="E1487"/>
    </row>
    <row r="1488" spans="5:5" x14ac:dyDescent="0.4">
      <c r="E1488"/>
    </row>
    <row r="1489" spans="5:5" x14ac:dyDescent="0.4">
      <c r="E1489"/>
    </row>
    <row r="1490" spans="5:5" x14ac:dyDescent="0.4">
      <c r="E1490"/>
    </row>
    <row r="1491" spans="5:5" x14ac:dyDescent="0.4">
      <c r="E1491"/>
    </row>
    <row r="1492" spans="5:5" x14ac:dyDescent="0.4">
      <c r="E1492"/>
    </row>
    <row r="1493" spans="5:5" x14ac:dyDescent="0.4">
      <c r="E1493"/>
    </row>
    <row r="1494" spans="5:5" x14ac:dyDescent="0.4">
      <c r="E1494"/>
    </row>
    <row r="1495" spans="5:5" x14ac:dyDescent="0.4">
      <c r="E1495"/>
    </row>
    <row r="1496" spans="5:5" x14ac:dyDescent="0.4">
      <c r="E1496"/>
    </row>
    <row r="1497" spans="5:5" x14ac:dyDescent="0.4">
      <c r="E1497"/>
    </row>
    <row r="1498" spans="5:5" x14ac:dyDescent="0.4">
      <c r="E1498"/>
    </row>
    <row r="1499" spans="5:5" x14ac:dyDescent="0.4">
      <c r="E1499"/>
    </row>
    <row r="1500" spans="5:5" x14ac:dyDescent="0.4">
      <c r="E1500"/>
    </row>
    <row r="1501" spans="5:5" x14ac:dyDescent="0.4">
      <c r="E1501"/>
    </row>
    <row r="1502" spans="5:5" x14ac:dyDescent="0.4">
      <c r="E1502"/>
    </row>
    <row r="1503" spans="5:5" x14ac:dyDescent="0.4">
      <c r="E1503"/>
    </row>
    <row r="1504" spans="5:5" x14ac:dyDescent="0.4">
      <c r="E1504"/>
    </row>
    <row r="1505" spans="5:5" x14ac:dyDescent="0.4">
      <c r="E1505"/>
    </row>
    <row r="1506" spans="5:5" x14ac:dyDescent="0.4">
      <c r="E1506"/>
    </row>
    <row r="1507" spans="5:5" x14ac:dyDescent="0.4">
      <c r="E1507"/>
    </row>
    <row r="1508" spans="5:5" x14ac:dyDescent="0.4">
      <c r="E1508"/>
    </row>
    <row r="1509" spans="5:5" x14ac:dyDescent="0.4">
      <c r="E1509"/>
    </row>
    <row r="1510" spans="5:5" x14ac:dyDescent="0.4">
      <c r="E1510"/>
    </row>
    <row r="1511" spans="5:5" x14ac:dyDescent="0.4">
      <c r="E1511"/>
    </row>
    <row r="1512" spans="5:5" x14ac:dyDescent="0.4">
      <c r="E1512"/>
    </row>
    <row r="1513" spans="5:5" x14ac:dyDescent="0.4">
      <c r="E1513"/>
    </row>
    <row r="1514" spans="5:5" x14ac:dyDescent="0.4">
      <c r="E1514"/>
    </row>
    <row r="1515" spans="5:5" x14ac:dyDescent="0.4">
      <c r="E1515"/>
    </row>
    <row r="1516" spans="5:5" x14ac:dyDescent="0.4">
      <c r="E1516"/>
    </row>
    <row r="1517" spans="5:5" x14ac:dyDescent="0.4">
      <c r="E1517"/>
    </row>
    <row r="1518" spans="5:5" x14ac:dyDescent="0.4">
      <c r="E1518"/>
    </row>
    <row r="1519" spans="5:5" x14ac:dyDescent="0.4">
      <c r="E1519"/>
    </row>
    <row r="1520" spans="5:5" x14ac:dyDescent="0.4">
      <c r="E1520"/>
    </row>
    <row r="1521" spans="5:5" x14ac:dyDescent="0.4">
      <c r="E1521"/>
    </row>
    <row r="1522" spans="5:5" x14ac:dyDescent="0.4">
      <c r="E1522"/>
    </row>
    <row r="1523" spans="5:5" x14ac:dyDescent="0.4">
      <c r="E1523"/>
    </row>
    <row r="1524" spans="5:5" x14ac:dyDescent="0.4">
      <c r="E1524"/>
    </row>
    <row r="1525" spans="5:5" x14ac:dyDescent="0.4">
      <c r="E1525"/>
    </row>
    <row r="1526" spans="5:5" x14ac:dyDescent="0.4">
      <c r="E1526"/>
    </row>
    <row r="1527" spans="5:5" x14ac:dyDescent="0.4">
      <c r="E1527"/>
    </row>
    <row r="1528" spans="5:5" x14ac:dyDescent="0.4">
      <c r="E1528"/>
    </row>
    <row r="1529" spans="5:5" x14ac:dyDescent="0.4">
      <c r="E1529"/>
    </row>
    <row r="1530" spans="5:5" x14ac:dyDescent="0.4">
      <c r="E1530"/>
    </row>
    <row r="1531" spans="5:5" x14ac:dyDescent="0.4">
      <c r="E1531"/>
    </row>
    <row r="1532" spans="5:5" x14ac:dyDescent="0.4">
      <c r="E1532"/>
    </row>
    <row r="1533" spans="5:5" x14ac:dyDescent="0.4">
      <c r="E1533"/>
    </row>
    <row r="1534" spans="5:5" x14ac:dyDescent="0.4">
      <c r="E1534"/>
    </row>
    <row r="1535" spans="5:5" x14ac:dyDescent="0.4">
      <c r="E1535"/>
    </row>
    <row r="1536" spans="5:5" x14ac:dyDescent="0.4">
      <c r="E1536"/>
    </row>
    <row r="1537" spans="5:5" x14ac:dyDescent="0.4">
      <c r="E1537"/>
    </row>
    <row r="1538" spans="5:5" x14ac:dyDescent="0.4">
      <c r="E1538"/>
    </row>
    <row r="1539" spans="5:5" x14ac:dyDescent="0.4">
      <c r="E1539"/>
    </row>
    <row r="1540" spans="5:5" x14ac:dyDescent="0.4">
      <c r="E1540"/>
    </row>
    <row r="1541" spans="5:5" x14ac:dyDescent="0.4">
      <c r="E1541"/>
    </row>
    <row r="1542" spans="5:5" x14ac:dyDescent="0.4">
      <c r="E1542"/>
    </row>
    <row r="1543" spans="5:5" x14ac:dyDescent="0.4">
      <c r="E1543"/>
    </row>
    <row r="1544" spans="5:5" x14ac:dyDescent="0.4">
      <c r="E1544"/>
    </row>
    <row r="1545" spans="5:5" x14ac:dyDescent="0.4">
      <c r="E1545"/>
    </row>
    <row r="1546" spans="5:5" x14ac:dyDescent="0.4">
      <c r="E1546"/>
    </row>
    <row r="1547" spans="5:5" x14ac:dyDescent="0.4">
      <c r="E1547"/>
    </row>
    <row r="1548" spans="5:5" x14ac:dyDescent="0.4">
      <c r="E1548"/>
    </row>
    <row r="1549" spans="5:5" x14ac:dyDescent="0.4">
      <c r="E1549"/>
    </row>
    <row r="1550" spans="5:5" x14ac:dyDescent="0.4">
      <c r="E1550"/>
    </row>
    <row r="1551" spans="5:5" x14ac:dyDescent="0.4">
      <c r="E1551"/>
    </row>
    <row r="1552" spans="5:5" x14ac:dyDescent="0.4">
      <c r="E1552"/>
    </row>
    <row r="1553" spans="5:5" x14ac:dyDescent="0.4">
      <c r="E1553"/>
    </row>
    <row r="1554" spans="5:5" x14ac:dyDescent="0.4">
      <c r="E1554"/>
    </row>
    <row r="1555" spans="5:5" x14ac:dyDescent="0.4">
      <c r="E1555"/>
    </row>
    <row r="1556" spans="5:5" x14ac:dyDescent="0.4">
      <c r="E1556"/>
    </row>
    <row r="1557" spans="5:5" x14ac:dyDescent="0.4">
      <c r="E1557"/>
    </row>
    <row r="1558" spans="5:5" x14ac:dyDescent="0.4">
      <c r="E1558"/>
    </row>
    <row r="1559" spans="5:5" x14ac:dyDescent="0.4">
      <c r="E1559"/>
    </row>
    <row r="1560" spans="5:5" x14ac:dyDescent="0.4">
      <c r="E1560"/>
    </row>
    <row r="1561" spans="5:5" x14ac:dyDescent="0.4">
      <c r="E1561"/>
    </row>
    <row r="1562" spans="5:5" x14ac:dyDescent="0.4">
      <c r="E1562"/>
    </row>
    <row r="1563" spans="5:5" x14ac:dyDescent="0.4">
      <c r="E1563"/>
    </row>
    <row r="1564" spans="5:5" x14ac:dyDescent="0.4">
      <c r="E1564"/>
    </row>
    <row r="1565" spans="5:5" x14ac:dyDescent="0.4">
      <c r="E1565"/>
    </row>
    <row r="1566" spans="5:5" x14ac:dyDescent="0.4">
      <c r="E1566"/>
    </row>
    <row r="1567" spans="5:5" x14ac:dyDescent="0.4">
      <c r="E1567"/>
    </row>
    <row r="1568" spans="5:5" x14ac:dyDescent="0.4">
      <c r="E1568"/>
    </row>
    <row r="1569" spans="5:5" x14ac:dyDescent="0.4">
      <c r="E1569"/>
    </row>
    <row r="1570" spans="5:5" x14ac:dyDescent="0.4">
      <c r="E1570"/>
    </row>
    <row r="1571" spans="5:5" x14ac:dyDescent="0.4">
      <c r="E1571"/>
    </row>
    <row r="1572" spans="5:5" x14ac:dyDescent="0.4">
      <c r="E1572"/>
    </row>
    <row r="1573" spans="5:5" x14ac:dyDescent="0.4">
      <c r="E1573"/>
    </row>
    <row r="1574" spans="5:5" x14ac:dyDescent="0.4">
      <c r="E1574"/>
    </row>
    <row r="1575" spans="5:5" x14ac:dyDescent="0.4">
      <c r="E1575"/>
    </row>
    <row r="1576" spans="5:5" x14ac:dyDescent="0.4">
      <c r="E1576"/>
    </row>
    <row r="1577" spans="5:5" x14ac:dyDescent="0.4">
      <c r="E1577"/>
    </row>
    <row r="1578" spans="5:5" x14ac:dyDescent="0.4">
      <c r="E1578"/>
    </row>
    <row r="1579" spans="5:5" x14ac:dyDescent="0.4">
      <c r="E1579"/>
    </row>
    <row r="1580" spans="5:5" x14ac:dyDescent="0.4">
      <c r="E1580"/>
    </row>
    <row r="1581" spans="5:5" x14ac:dyDescent="0.4">
      <c r="E1581"/>
    </row>
    <row r="1582" spans="5:5" x14ac:dyDescent="0.4">
      <c r="E1582"/>
    </row>
    <row r="1583" spans="5:5" x14ac:dyDescent="0.4">
      <c r="E1583"/>
    </row>
    <row r="1584" spans="5:5" x14ac:dyDescent="0.4">
      <c r="E1584"/>
    </row>
    <row r="1585" spans="5:5" x14ac:dyDescent="0.4">
      <c r="E1585"/>
    </row>
    <row r="1586" spans="5:5" x14ac:dyDescent="0.4">
      <c r="E1586"/>
    </row>
    <row r="1587" spans="5:5" x14ac:dyDescent="0.4">
      <c r="E1587"/>
    </row>
    <row r="1588" spans="5:5" x14ac:dyDescent="0.4">
      <c r="E1588"/>
    </row>
    <row r="1589" spans="5:5" x14ac:dyDescent="0.4">
      <c r="E1589"/>
    </row>
    <row r="1590" spans="5:5" x14ac:dyDescent="0.4">
      <c r="E1590"/>
    </row>
    <row r="1591" spans="5:5" x14ac:dyDescent="0.4">
      <c r="E1591"/>
    </row>
    <row r="1592" spans="5:5" x14ac:dyDescent="0.4">
      <c r="E1592"/>
    </row>
    <row r="1593" spans="5:5" x14ac:dyDescent="0.4">
      <c r="E1593"/>
    </row>
    <row r="1594" spans="5:5" x14ac:dyDescent="0.4">
      <c r="E1594"/>
    </row>
    <row r="1595" spans="5:5" x14ac:dyDescent="0.4">
      <c r="E1595"/>
    </row>
    <row r="1596" spans="5:5" x14ac:dyDescent="0.4">
      <c r="E1596"/>
    </row>
    <row r="1597" spans="5:5" x14ac:dyDescent="0.4">
      <c r="E1597"/>
    </row>
    <row r="1598" spans="5:5" x14ac:dyDescent="0.4">
      <c r="E1598"/>
    </row>
    <row r="1599" spans="5:5" x14ac:dyDescent="0.4">
      <c r="E1599"/>
    </row>
    <row r="1600" spans="5:5" x14ac:dyDescent="0.4">
      <c r="E1600"/>
    </row>
    <row r="1601" spans="5:5" x14ac:dyDescent="0.4">
      <c r="E1601"/>
    </row>
    <row r="1602" spans="5:5" x14ac:dyDescent="0.4">
      <c r="E1602"/>
    </row>
    <row r="1603" spans="5:5" x14ac:dyDescent="0.4">
      <c r="E1603"/>
    </row>
    <row r="1604" spans="5:5" x14ac:dyDescent="0.4">
      <c r="E1604"/>
    </row>
    <row r="1605" spans="5:5" x14ac:dyDescent="0.4">
      <c r="E1605"/>
    </row>
    <row r="1606" spans="5:5" x14ac:dyDescent="0.4">
      <c r="E1606"/>
    </row>
    <row r="1607" spans="5:5" x14ac:dyDescent="0.4">
      <c r="E1607"/>
    </row>
    <row r="1608" spans="5:5" x14ac:dyDescent="0.4">
      <c r="E1608"/>
    </row>
    <row r="1609" spans="5:5" x14ac:dyDescent="0.4">
      <c r="E1609"/>
    </row>
    <row r="1610" spans="5:5" x14ac:dyDescent="0.4">
      <c r="E1610"/>
    </row>
    <row r="1611" spans="5:5" x14ac:dyDescent="0.4">
      <c r="E1611"/>
    </row>
    <row r="1612" spans="5:5" x14ac:dyDescent="0.4">
      <c r="E1612"/>
    </row>
    <row r="1613" spans="5:5" x14ac:dyDescent="0.4">
      <c r="E1613"/>
    </row>
    <row r="1614" spans="5:5" x14ac:dyDescent="0.4">
      <c r="E1614"/>
    </row>
    <row r="1615" spans="5:5" x14ac:dyDescent="0.4">
      <c r="E1615"/>
    </row>
    <row r="1616" spans="5:5" x14ac:dyDescent="0.4">
      <c r="E1616"/>
    </row>
    <row r="1617" spans="5:5" x14ac:dyDescent="0.4">
      <c r="E1617"/>
    </row>
    <row r="1618" spans="5:5" x14ac:dyDescent="0.4">
      <c r="E1618"/>
    </row>
    <row r="1619" spans="5:5" x14ac:dyDescent="0.4">
      <c r="E1619"/>
    </row>
    <row r="1620" spans="5:5" x14ac:dyDescent="0.4">
      <c r="E1620"/>
    </row>
    <row r="1621" spans="5:5" x14ac:dyDescent="0.4">
      <c r="E1621"/>
    </row>
    <row r="1622" spans="5:5" x14ac:dyDescent="0.4">
      <c r="E1622"/>
    </row>
    <row r="1623" spans="5:5" x14ac:dyDescent="0.4">
      <c r="E1623"/>
    </row>
    <row r="1624" spans="5:5" x14ac:dyDescent="0.4">
      <c r="E1624"/>
    </row>
    <row r="1625" spans="5:5" x14ac:dyDescent="0.4">
      <c r="E1625"/>
    </row>
    <row r="1626" spans="5:5" x14ac:dyDescent="0.4">
      <c r="E1626"/>
    </row>
    <row r="1627" spans="5:5" x14ac:dyDescent="0.4">
      <c r="E1627"/>
    </row>
    <row r="1628" spans="5:5" x14ac:dyDescent="0.4">
      <c r="E1628"/>
    </row>
    <row r="1629" spans="5:5" x14ac:dyDescent="0.4">
      <c r="E1629"/>
    </row>
    <row r="1630" spans="5:5" x14ac:dyDescent="0.4">
      <c r="E1630"/>
    </row>
    <row r="1631" spans="5:5" x14ac:dyDescent="0.4">
      <c r="E1631"/>
    </row>
    <row r="1632" spans="5:5" x14ac:dyDescent="0.4">
      <c r="E1632"/>
    </row>
    <row r="1633" spans="5:5" x14ac:dyDescent="0.4">
      <c r="E1633"/>
    </row>
    <row r="1634" spans="5:5" x14ac:dyDescent="0.4">
      <c r="E1634"/>
    </row>
    <row r="1635" spans="5:5" x14ac:dyDescent="0.4">
      <c r="E1635"/>
    </row>
    <row r="1636" spans="5:5" x14ac:dyDescent="0.4">
      <c r="E1636"/>
    </row>
    <row r="1637" spans="5:5" x14ac:dyDescent="0.4">
      <c r="E1637"/>
    </row>
    <row r="1638" spans="5:5" x14ac:dyDescent="0.4">
      <c r="E1638"/>
    </row>
    <row r="1639" spans="5:5" x14ac:dyDescent="0.4">
      <c r="E1639"/>
    </row>
    <row r="1640" spans="5:5" x14ac:dyDescent="0.4">
      <c r="E1640"/>
    </row>
    <row r="1641" spans="5:5" x14ac:dyDescent="0.4">
      <c r="E1641"/>
    </row>
    <row r="1642" spans="5:5" x14ac:dyDescent="0.4">
      <c r="E1642"/>
    </row>
    <row r="1643" spans="5:5" x14ac:dyDescent="0.4">
      <c r="E1643"/>
    </row>
    <row r="1644" spans="5:5" x14ac:dyDescent="0.4">
      <c r="E1644"/>
    </row>
    <row r="1645" spans="5:5" x14ac:dyDescent="0.4">
      <c r="E1645"/>
    </row>
    <row r="1646" spans="5:5" x14ac:dyDescent="0.4">
      <c r="E1646"/>
    </row>
    <row r="1647" spans="5:5" x14ac:dyDescent="0.4">
      <c r="E1647"/>
    </row>
    <row r="1648" spans="5:5" x14ac:dyDescent="0.4">
      <c r="E1648"/>
    </row>
    <row r="1649" spans="5:5" x14ac:dyDescent="0.4">
      <c r="E1649"/>
    </row>
    <row r="1650" spans="5:5" x14ac:dyDescent="0.4">
      <c r="E1650"/>
    </row>
    <row r="1651" spans="5:5" x14ac:dyDescent="0.4">
      <c r="E1651"/>
    </row>
    <row r="1652" spans="5:5" x14ac:dyDescent="0.4">
      <c r="E1652"/>
    </row>
    <row r="1653" spans="5:5" x14ac:dyDescent="0.4">
      <c r="E1653"/>
    </row>
    <row r="1654" spans="5:5" x14ac:dyDescent="0.4">
      <c r="E1654"/>
    </row>
    <row r="1655" spans="5:5" x14ac:dyDescent="0.4">
      <c r="E1655"/>
    </row>
    <row r="1656" spans="5:5" x14ac:dyDescent="0.4">
      <c r="E1656"/>
    </row>
    <row r="1657" spans="5:5" x14ac:dyDescent="0.4">
      <c r="E1657"/>
    </row>
    <row r="1658" spans="5:5" x14ac:dyDescent="0.4">
      <c r="E1658"/>
    </row>
    <row r="1659" spans="5:5" x14ac:dyDescent="0.4">
      <c r="E1659"/>
    </row>
    <row r="1660" spans="5:5" x14ac:dyDescent="0.4">
      <c r="E1660"/>
    </row>
    <row r="1661" spans="5:5" x14ac:dyDescent="0.4">
      <c r="E1661"/>
    </row>
    <row r="1662" spans="5:5" x14ac:dyDescent="0.4">
      <c r="E1662"/>
    </row>
    <row r="1663" spans="5:5" x14ac:dyDescent="0.4">
      <c r="E1663"/>
    </row>
    <row r="1664" spans="5:5" x14ac:dyDescent="0.4">
      <c r="E1664"/>
    </row>
    <row r="1665" spans="5:5" x14ac:dyDescent="0.4">
      <c r="E1665"/>
    </row>
    <row r="1666" spans="5:5" x14ac:dyDescent="0.4">
      <c r="E1666"/>
    </row>
    <row r="1667" spans="5:5" x14ac:dyDescent="0.4">
      <c r="E1667"/>
    </row>
    <row r="1668" spans="5:5" x14ac:dyDescent="0.4">
      <c r="E1668"/>
    </row>
    <row r="1669" spans="5:5" x14ac:dyDescent="0.4">
      <c r="E1669"/>
    </row>
    <row r="1670" spans="5:5" x14ac:dyDescent="0.4">
      <c r="E1670"/>
    </row>
    <row r="1671" spans="5:5" x14ac:dyDescent="0.4">
      <c r="E1671"/>
    </row>
    <row r="1672" spans="5:5" x14ac:dyDescent="0.4">
      <c r="E1672"/>
    </row>
    <row r="1673" spans="5:5" x14ac:dyDescent="0.4">
      <c r="E1673"/>
    </row>
    <row r="1674" spans="5:5" x14ac:dyDescent="0.4">
      <c r="E1674"/>
    </row>
    <row r="1675" spans="5:5" x14ac:dyDescent="0.4">
      <c r="E1675"/>
    </row>
    <row r="1676" spans="5:5" x14ac:dyDescent="0.4">
      <c r="E1676"/>
    </row>
    <row r="1677" spans="5:5" x14ac:dyDescent="0.4">
      <c r="E1677"/>
    </row>
    <row r="1678" spans="5:5" x14ac:dyDescent="0.4">
      <c r="E1678"/>
    </row>
    <row r="1679" spans="5:5" x14ac:dyDescent="0.4">
      <c r="E1679"/>
    </row>
    <row r="1680" spans="5:5" x14ac:dyDescent="0.4">
      <c r="E1680"/>
    </row>
    <row r="1681" spans="5:5" x14ac:dyDescent="0.4">
      <c r="E1681"/>
    </row>
    <row r="1682" spans="5:5" x14ac:dyDescent="0.4">
      <c r="E1682"/>
    </row>
    <row r="1683" spans="5:5" x14ac:dyDescent="0.4">
      <c r="E1683"/>
    </row>
    <row r="1684" spans="5:5" x14ac:dyDescent="0.4">
      <c r="E1684"/>
    </row>
    <row r="1685" spans="5:5" x14ac:dyDescent="0.4">
      <c r="E1685"/>
    </row>
    <row r="1686" spans="5:5" x14ac:dyDescent="0.4">
      <c r="E1686"/>
    </row>
    <row r="1687" spans="5:5" x14ac:dyDescent="0.4">
      <c r="E1687"/>
    </row>
    <row r="1688" spans="5:5" x14ac:dyDescent="0.4">
      <c r="E1688"/>
    </row>
    <row r="1689" spans="5:5" x14ac:dyDescent="0.4">
      <c r="E1689"/>
    </row>
    <row r="1690" spans="5:5" x14ac:dyDescent="0.4">
      <c r="E1690"/>
    </row>
    <row r="1691" spans="5:5" x14ac:dyDescent="0.4">
      <c r="E1691"/>
    </row>
    <row r="1692" spans="5:5" x14ac:dyDescent="0.4">
      <c r="E1692"/>
    </row>
    <row r="1693" spans="5:5" x14ac:dyDescent="0.4">
      <c r="E1693"/>
    </row>
    <row r="1694" spans="5:5" x14ac:dyDescent="0.4">
      <c r="E1694"/>
    </row>
    <row r="1695" spans="5:5" x14ac:dyDescent="0.4">
      <c r="E1695"/>
    </row>
    <row r="1696" spans="5:5" x14ac:dyDescent="0.4">
      <c r="E1696"/>
    </row>
    <row r="1697" spans="5:5" x14ac:dyDescent="0.4">
      <c r="E1697"/>
    </row>
    <row r="1698" spans="5:5" x14ac:dyDescent="0.4">
      <c r="E1698"/>
    </row>
    <row r="1699" spans="5:5" x14ac:dyDescent="0.4">
      <c r="E1699"/>
    </row>
    <row r="1700" spans="5:5" x14ac:dyDescent="0.4">
      <c r="E1700"/>
    </row>
    <row r="1701" spans="5:5" x14ac:dyDescent="0.4">
      <c r="E1701"/>
    </row>
    <row r="1702" spans="5:5" x14ac:dyDescent="0.4">
      <c r="E1702"/>
    </row>
    <row r="1703" spans="5:5" x14ac:dyDescent="0.4">
      <c r="E1703"/>
    </row>
    <row r="1704" spans="5:5" x14ac:dyDescent="0.4">
      <c r="E1704"/>
    </row>
    <row r="1705" spans="5:5" x14ac:dyDescent="0.4">
      <c r="E1705"/>
    </row>
    <row r="1706" spans="5:5" x14ac:dyDescent="0.4">
      <c r="E1706"/>
    </row>
    <row r="1707" spans="5:5" x14ac:dyDescent="0.4">
      <c r="E1707"/>
    </row>
    <row r="1708" spans="5:5" x14ac:dyDescent="0.4">
      <c r="E1708"/>
    </row>
    <row r="1709" spans="5:5" x14ac:dyDescent="0.4">
      <c r="E1709"/>
    </row>
    <row r="1710" spans="5:5" x14ac:dyDescent="0.4">
      <c r="E1710"/>
    </row>
    <row r="1711" spans="5:5" x14ac:dyDescent="0.4">
      <c r="E1711"/>
    </row>
    <row r="1712" spans="5:5" x14ac:dyDescent="0.4">
      <c r="E1712"/>
    </row>
    <row r="1713" spans="5:5" x14ac:dyDescent="0.4">
      <c r="E1713"/>
    </row>
    <row r="1714" spans="5:5" x14ac:dyDescent="0.4">
      <c r="E1714"/>
    </row>
    <row r="1715" spans="5:5" x14ac:dyDescent="0.4">
      <c r="E1715"/>
    </row>
    <row r="1716" spans="5:5" x14ac:dyDescent="0.4">
      <c r="E1716"/>
    </row>
    <row r="1717" spans="5:5" x14ac:dyDescent="0.4">
      <c r="E1717"/>
    </row>
    <row r="1718" spans="5:5" x14ac:dyDescent="0.4">
      <c r="E1718"/>
    </row>
    <row r="1719" spans="5:5" x14ac:dyDescent="0.4">
      <c r="E1719"/>
    </row>
    <row r="1720" spans="5:5" x14ac:dyDescent="0.4">
      <c r="E1720"/>
    </row>
    <row r="1721" spans="5:5" x14ac:dyDescent="0.4">
      <c r="E1721"/>
    </row>
    <row r="1722" spans="5:5" x14ac:dyDescent="0.4">
      <c r="E1722"/>
    </row>
    <row r="1723" spans="5:5" x14ac:dyDescent="0.4">
      <c r="E1723"/>
    </row>
    <row r="1724" spans="5:5" x14ac:dyDescent="0.4">
      <c r="E1724"/>
    </row>
    <row r="1725" spans="5:5" x14ac:dyDescent="0.4">
      <c r="E1725"/>
    </row>
    <row r="1726" spans="5:5" x14ac:dyDescent="0.4">
      <c r="E1726"/>
    </row>
    <row r="1727" spans="5:5" x14ac:dyDescent="0.4">
      <c r="E1727"/>
    </row>
    <row r="1728" spans="5:5" x14ac:dyDescent="0.4">
      <c r="E1728"/>
    </row>
    <row r="1729" spans="5:5" x14ac:dyDescent="0.4">
      <c r="E1729"/>
    </row>
    <row r="1730" spans="5:5" x14ac:dyDescent="0.4">
      <c r="E1730"/>
    </row>
    <row r="1731" spans="5:5" x14ac:dyDescent="0.4">
      <c r="E1731"/>
    </row>
    <row r="1732" spans="5:5" x14ac:dyDescent="0.4">
      <c r="E1732"/>
    </row>
    <row r="1733" spans="5:5" x14ac:dyDescent="0.4">
      <c r="E1733"/>
    </row>
    <row r="1734" spans="5:5" x14ac:dyDescent="0.4">
      <c r="E1734"/>
    </row>
    <row r="1735" spans="5:5" x14ac:dyDescent="0.4">
      <c r="E1735"/>
    </row>
    <row r="1736" spans="5:5" x14ac:dyDescent="0.4">
      <c r="E1736"/>
    </row>
    <row r="1737" spans="5:5" x14ac:dyDescent="0.4">
      <c r="E1737"/>
    </row>
    <row r="1738" spans="5:5" x14ac:dyDescent="0.4">
      <c r="E1738"/>
    </row>
    <row r="1739" spans="5:5" x14ac:dyDescent="0.4">
      <c r="E1739"/>
    </row>
    <row r="1740" spans="5:5" x14ac:dyDescent="0.4">
      <c r="E1740"/>
    </row>
    <row r="1741" spans="5:5" x14ac:dyDescent="0.4">
      <c r="E1741"/>
    </row>
    <row r="1742" spans="5:5" x14ac:dyDescent="0.4">
      <c r="E1742"/>
    </row>
    <row r="1743" spans="5:5" x14ac:dyDescent="0.4">
      <c r="E1743"/>
    </row>
    <row r="1744" spans="5:5" x14ac:dyDescent="0.4">
      <c r="E1744"/>
    </row>
    <row r="1745" spans="5:5" x14ac:dyDescent="0.4">
      <c r="E1745"/>
    </row>
    <row r="1746" spans="5:5" x14ac:dyDescent="0.4">
      <c r="E1746"/>
    </row>
    <row r="1747" spans="5:5" x14ac:dyDescent="0.4">
      <c r="E1747"/>
    </row>
    <row r="1748" spans="5:5" x14ac:dyDescent="0.4">
      <c r="E1748"/>
    </row>
    <row r="1749" spans="5:5" x14ac:dyDescent="0.4">
      <c r="E1749"/>
    </row>
    <row r="1750" spans="5:5" x14ac:dyDescent="0.4">
      <c r="E1750"/>
    </row>
    <row r="1751" spans="5:5" x14ac:dyDescent="0.4">
      <c r="E1751"/>
    </row>
    <row r="1752" spans="5:5" x14ac:dyDescent="0.4">
      <c r="E1752"/>
    </row>
    <row r="1753" spans="5:5" x14ac:dyDescent="0.4">
      <c r="E1753"/>
    </row>
    <row r="1754" spans="5:5" x14ac:dyDescent="0.4">
      <c r="E1754"/>
    </row>
    <row r="1755" spans="5:5" x14ac:dyDescent="0.4">
      <c r="E1755"/>
    </row>
    <row r="1756" spans="5:5" x14ac:dyDescent="0.4">
      <c r="E1756"/>
    </row>
    <row r="1757" spans="5:5" x14ac:dyDescent="0.4">
      <c r="E1757"/>
    </row>
    <row r="1758" spans="5:5" x14ac:dyDescent="0.4">
      <c r="E1758"/>
    </row>
    <row r="1759" spans="5:5" x14ac:dyDescent="0.4">
      <c r="E1759"/>
    </row>
    <row r="1760" spans="5:5" x14ac:dyDescent="0.4">
      <c r="E1760"/>
    </row>
    <row r="1761" spans="5:5" x14ac:dyDescent="0.4">
      <c r="E1761"/>
    </row>
    <row r="1762" spans="5:5" x14ac:dyDescent="0.4">
      <c r="E1762"/>
    </row>
    <row r="1763" spans="5:5" x14ac:dyDescent="0.4">
      <c r="E1763"/>
    </row>
    <row r="1764" spans="5:5" x14ac:dyDescent="0.4">
      <c r="E1764"/>
    </row>
    <row r="1765" spans="5:5" x14ac:dyDescent="0.4">
      <c r="E1765"/>
    </row>
    <row r="1766" spans="5:5" x14ac:dyDescent="0.4">
      <c r="E1766"/>
    </row>
    <row r="1767" spans="5:5" x14ac:dyDescent="0.4">
      <c r="E1767"/>
    </row>
    <row r="1768" spans="5:5" x14ac:dyDescent="0.4">
      <c r="E1768"/>
    </row>
    <row r="1769" spans="5:5" x14ac:dyDescent="0.4">
      <c r="E1769"/>
    </row>
    <row r="1770" spans="5:5" x14ac:dyDescent="0.4">
      <c r="E1770"/>
    </row>
    <row r="1771" spans="5:5" x14ac:dyDescent="0.4">
      <c r="E1771"/>
    </row>
    <row r="1772" spans="5:5" x14ac:dyDescent="0.4">
      <c r="E1772"/>
    </row>
    <row r="1773" spans="5:5" x14ac:dyDescent="0.4">
      <c r="E1773"/>
    </row>
    <row r="1774" spans="5:5" x14ac:dyDescent="0.4">
      <c r="E1774"/>
    </row>
    <row r="1775" spans="5:5" x14ac:dyDescent="0.4">
      <c r="E1775"/>
    </row>
    <row r="1776" spans="5:5" x14ac:dyDescent="0.4">
      <c r="E1776"/>
    </row>
    <row r="1777" spans="5:5" x14ac:dyDescent="0.4">
      <c r="E1777"/>
    </row>
    <row r="1778" spans="5:5" x14ac:dyDescent="0.4">
      <c r="E1778"/>
    </row>
    <row r="1779" spans="5:5" x14ac:dyDescent="0.4">
      <c r="E1779"/>
    </row>
    <row r="1780" spans="5:5" x14ac:dyDescent="0.4">
      <c r="E1780"/>
    </row>
    <row r="1781" spans="5:5" x14ac:dyDescent="0.4">
      <c r="E1781"/>
    </row>
    <row r="1782" spans="5:5" x14ac:dyDescent="0.4">
      <c r="E1782"/>
    </row>
    <row r="1783" spans="5:5" x14ac:dyDescent="0.4">
      <c r="E1783"/>
    </row>
    <row r="1784" spans="5:5" x14ac:dyDescent="0.4">
      <c r="E1784"/>
    </row>
    <row r="1785" spans="5:5" x14ac:dyDescent="0.4">
      <c r="E1785"/>
    </row>
    <row r="1786" spans="5:5" x14ac:dyDescent="0.4">
      <c r="E1786"/>
    </row>
    <row r="1787" spans="5:5" x14ac:dyDescent="0.4">
      <c r="E1787"/>
    </row>
    <row r="1788" spans="5:5" x14ac:dyDescent="0.4">
      <c r="E1788"/>
    </row>
    <row r="1789" spans="5:5" x14ac:dyDescent="0.4">
      <c r="E1789"/>
    </row>
    <row r="1790" spans="5:5" x14ac:dyDescent="0.4">
      <c r="E1790"/>
    </row>
    <row r="1791" spans="5:5" x14ac:dyDescent="0.4">
      <c r="E1791"/>
    </row>
    <row r="1792" spans="5:5" x14ac:dyDescent="0.4">
      <c r="E1792"/>
    </row>
    <row r="1793" spans="5:5" x14ac:dyDescent="0.4">
      <c r="E1793"/>
    </row>
    <row r="1794" spans="5:5" x14ac:dyDescent="0.4">
      <c r="E1794"/>
    </row>
    <row r="1795" spans="5:5" x14ac:dyDescent="0.4">
      <c r="E1795"/>
    </row>
    <row r="1796" spans="5:5" x14ac:dyDescent="0.4">
      <c r="E1796"/>
    </row>
    <row r="1797" spans="5:5" x14ac:dyDescent="0.4">
      <c r="E1797"/>
    </row>
    <row r="1798" spans="5:5" x14ac:dyDescent="0.4">
      <c r="E1798"/>
    </row>
    <row r="1799" spans="5:5" x14ac:dyDescent="0.4">
      <c r="E1799"/>
    </row>
    <row r="1800" spans="5:5" x14ac:dyDescent="0.4">
      <c r="E1800"/>
    </row>
    <row r="1801" spans="5:5" x14ac:dyDescent="0.4">
      <c r="E1801"/>
    </row>
    <row r="1802" spans="5:5" x14ac:dyDescent="0.4">
      <c r="E1802"/>
    </row>
    <row r="1803" spans="5:5" x14ac:dyDescent="0.4">
      <c r="E1803"/>
    </row>
    <row r="1804" spans="5:5" x14ac:dyDescent="0.4">
      <c r="E1804"/>
    </row>
    <row r="1805" spans="5:5" x14ac:dyDescent="0.4">
      <c r="E1805"/>
    </row>
    <row r="1806" spans="5:5" x14ac:dyDescent="0.4">
      <c r="E1806"/>
    </row>
    <row r="1807" spans="5:5" x14ac:dyDescent="0.4">
      <c r="E1807"/>
    </row>
    <row r="1808" spans="5:5" x14ac:dyDescent="0.4">
      <c r="E1808"/>
    </row>
    <row r="1809" spans="5:5" x14ac:dyDescent="0.4">
      <c r="E1809"/>
    </row>
    <row r="1810" spans="5:5" x14ac:dyDescent="0.4">
      <c r="E1810"/>
    </row>
    <row r="1811" spans="5:5" x14ac:dyDescent="0.4">
      <c r="E1811"/>
    </row>
    <row r="1812" spans="5:5" x14ac:dyDescent="0.4">
      <c r="E1812"/>
    </row>
    <row r="1813" spans="5:5" x14ac:dyDescent="0.4">
      <c r="E1813"/>
    </row>
    <row r="1814" spans="5:5" x14ac:dyDescent="0.4">
      <c r="E1814"/>
    </row>
    <row r="1815" spans="5:5" x14ac:dyDescent="0.4">
      <c r="E1815"/>
    </row>
    <row r="1816" spans="5:5" x14ac:dyDescent="0.4">
      <c r="E1816"/>
    </row>
    <row r="1817" spans="5:5" x14ac:dyDescent="0.4">
      <c r="E1817"/>
    </row>
    <row r="1818" spans="5:5" x14ac:dyDescent="0.4">
      <c r="E1818"/>
    </row>
    <row r="1819" spans="5:5" x14ac:dyDescent="0.4">
      <c r="E1819"/>
    </row>
    <row r="1820" spans="5:5" x14ac:dyDescent="0.4">
      <c r="E1820"/>
    </row>
    <row r="1821" spans="5:5" x14ac:dyDescent="0.4">
      <c r="E1821"/>
    </row>
    <row r="1822" spans="5:5" x14ac:dyDescent="0.4">
      <c r="E1822"/>
    </row>
    <row r="1823" spans="5:5" x14ac:dyDescent="0.4">
      <c r="E1823"/>
    </row>
    <row r="1824" spans="5:5" x14ac:dyDescent="0.4">
      <c r="E1824"/>
    </row>
    <row r="1825" spans="5:5" x14ac:dyDescent="0.4">
      <c r="E1825"/>
    </row>
    <row r="1826" spans="5:5" x14ac:dyDescent="0.4">
      <c r="E1826"/>
    </row>
    <row r="1827" spans="5:5" x14ac:dyDescent="0.4">
      <c r="E1827"/>
    </row>
    <row r="1828" spans="5:5" x14ac:dyDescent="0.4">
      <c r="E1828"/>
    </row>
    <row r="1829" spans="5:5" x14ac:dyDescent="0.4">
      <c r="E1829"/>
    </row>
    <row r="1830" spans="5:5" x14ac:dyDescent="0.4">
      <c r="E1830"/>
    </row>
    <row r="1831" spans="5:5" x14ac:dyDescent="0.4">
      <c r="E1831"/>
    </row>
    <row r="1832" spans="5:5" x14ac:dyDescent="0.4">
      <c r="E1832"/>
    </row>
    <row r="1833" spans="5:5" x14ac:dyDescent="0.4">
      <c r="E1833"/>
    </row>
    <row r="1834" spans="5:5" x14ac:dyDescent="0.4">
      <c r="E1834"/>
    </row>
    <row r="1835" spans="5:5" x14ac:dyDescent="0.4">
      <c r="E1835"/>
    </row>
    <row r="1836" spans="5:5" x14ac:dyDescent="0.4">
      <c r="E1836"/>
    </row>
    <row r="1837" spans="5:5" x14ac:dyDescent="0.4">
      <c r="E1837"/>
    </row>
    <row r="1838" spans="5:5" x14ac:dyDescent="0.4">
      <c r="E1838"/>
    </row>
    <row r="1839" spans="5:5" x14ac:dyDescent="0.4">
      <c r="E1839"/>
    </row>
    <row r="1840" spans="5:5" x14ac:dyDescent="0.4">
      <c r="E1840"/>
    </row>
    <row r="1841" spans="5:5" x14ac:dyDescent="0.4">
      <c r="E1841"/>
    </row>
    <row r="1842" spans="5:5" x14ac:dyDescent="0.4">
      <c r="E1842"/>
    </row>
    <row r="1843" spans="5:5" x14ac:dyDescent="0.4">
      <c r="E1843"/>
    </row>
    <row r="1844" spans="5:5" x14ac:dyDescent="0.4">
      <c r="E1844"/>
    </row>
    <row r="1845" spans="5:5" x14ac:dyDescent="0.4">
      <c r="E1845"/>
    </row>
    <row r="1846" spans="5:5" x14ac:dyDescent="0.4">
      <c r="E1846"/>
    </row>
    <row r="1847" spans="5:5" x14ac:dyDescent="0.4">
      <c r="E1847"/>
    </row>
    <row r="1848" spans="5:5" x14ac:dyDescent="0.4">
      <c r="E1848"/>
    </row>
    <row r="1849" spans="5:5" x14ac:dyDescent="0.4">
      <c r="E1849"/>
    </row>
    <row r="1850" spans="5:5" x14ac:dyDescent="0.4">
      <c r="E1850"/>
    </row>
    <row r="1851" spans="5:5" x14ac:dyDescent="0.4">
      <c r="E1851"/>
    </row>
    <row r="1852" spans="5:5" x14ac:dyDescent="0.4">
      <c r="E1852"/>
    </row>
    <row r="1853" spans="5:5" x14ac:dyDescent="0.4">
      <c r="E1853"/>
    </row>
    <row r="1854" spans="5:5" x14ac:dyDescent="0.4">
      <c r="E1854"/>
    </row>
    <row r="1855" spans="5:5" x14ac:dyDescent="0.4">
      <c r="E1855"/>
    </row>
    <row r="1856" spans="5:5" x14ac:dyDescent="0.4">
      <c r="E1856"/>
    </row>
    <row r="1857" spans="5:5" x14ac:dyDescent="0.4">
      <c r="E1857"/>
    </row>
    <row r="1858" spans="5:5" x14ac:dyDescent="0.4">
      <c r="E1858"/>
    </row>
    <row r="1859" spans="5:5" x14ac:dyDescent="0.4">
      <c r="E1859"/>
    </row>
    <row r="1860" spans="5:5" x14ac:dyDescent="0.4">
      <c r="E1860"/>
    </row>
    <row r="1861" spans="5:5" x14ac:dyDescent="0.4">
      <c r="E1861"/>
    </row>
    <row r="1862" spans="5:5" x14ac:dyDescent="0.4">
      <c r="E1862"/>
    </row>
    <row r="1863" spans="5:5" x14ac:dyDescent="0.4">
      <c r="E1863"/>
    </row>
    <row r="1864" spans="5:5" x14ac:dyDescent="0.4">
      <c r="E1864"/>
    </row>
    <row r="1865" spans="5:5" x14ac:dyDescent="0.4">
      <c r="E1865"/>
    </row>
    <row r="1866" spans="5:5" x14ac:dyDescent="0.4">
      <c r="E1866"/>
    </row>
    <row r="1867" spans="5:5" x14ac:dyDescent="0.4">
      <c r="E1867"/>
    </row>
    <row r="1868" spans="5:5" x14ac:dyDescent="0.4">
      <c r="E1868"/>
    </row>
    <row r="1869" spans="5:5" x14ac:dyDescent="0.4">
      <c r="E1869"/>
    </row>
    <row r="1870" spans="5:5" x14ac:dyDescent="0.4">
      <c r="E1870"/>
    </row>
    <row r="1871" spans="5:5" x14ac:dyDescent="0.4">
      <c r="E1871"/>
    </row>
    <row r="1872" spans="5:5" x14ac:dyDescent="0.4">
      <c r="E1872"/>
    </row>
    <row r="1873" spans="5:5" x14ac:dyDescent="0.4">
      <c r="E1873"/>
    </row>
    <row r="1874" spans="5:5" x14ac:dyDescent="0.4">
      <c r="E1874"/>
    </row>
    <row r="1875" spans="5:5" x14ac:dyDescent="0.4">
      <c r="E1875"/>
    </row>
    <row r="1876" spans="5:5" x14ac:dyDescent="0.4">
      <c r="E1876"/>
    </row>
    <row r="1877" spans="5:5" x14ac:dyDescent="0.4">
      <c r="E1877"/>
    </row>
    <row r="1878" spans="5:5" x14ac:dyDescent="0.4">
      <c r="E1878"/>
    </row>
    <row r="1879" spans="5:5" x14ac:dyDescent="0.4">
      <c r="E1879"/>
    </row>
    <row r="1880" spans="5:5" x14ac:dyDescent="0.4">
      <c r="E1880"/>
    </row>
    <row r="1881" spans="5:5" x14ac:dyDescent="0.4">
      <c r="E1881"/>
    </row>
    <row r="1882" spans="5:5" x14ac:dyDescent="0.4">
      <c r="E1882"/>
    </row>
    <row r="1883" spans="5:5" x14ac:dyDescent="0.4">
      <c r="E1883"/>
    </row>
    <row r="1884" spans="5:5" x14ac:dyDescent="0.4">
      <c r="E1884"/>
    </row>
    <row r="1885" spans="5:5" x14ac:dyDescent="0.4">
      <c r="E1885"/>
    </row>
    <row r="1886" spans="5:5" x14ac:dyDescent="0.4">
      <c r="E1886"/>
    </row>
    <row r="1887" spans="5:5" x14ac:dyDescent="0.4">
      <c r="E1887"/>
    </row>
    <row r="1888" spans="5:5" x14ac:dyDescent="0.4">
      <c r="E1888"/>
    </row>
    <row r="1889" spans="5:5" x14ac:dyDescent="0.4">
      <c r="E1889"/>
    </row>
    <row r="1890" spans="5:5" x14ac:dyDescent="0.4">
      <c r="E1890"/>
    </row>
    <row r="1891" spans="5:5" x14ac:dyDescent="0.4">
      <c r="E1891"/>
    </row>
    <row r="1892" spans="5:5" x14ac:dyDescent="0.4">
      <c r="E1892"/>
    </row>
    <row r="1893" spans="5:5" x14ac:dyDescent="0.4">
      <c r="E1893"/>
    </row>
    <row r="1894" spans="5:5" x14ac:dyDescent="0.4">
      <c r="E1894"/>
    </row>
    <row r="1895" spans="5:5" x14ac:dyDescent="0.4">
      <c r="E1895"/>
    </row>
    <row r="1896" spans="5:5" x14ac:dyDescent="0.4">
      <c r="E1896"/>
    </row>
    <row r="1897" spans="5:5" x14ac:dyDescent="0.4">
      <c r="E1897"/>
    </row>
    <row r="1898" spans="5:5" x14ac:dyDescent="0.4">
      <c r="E1898"/>
    </row>
    <row r="1899" spans="5:5" x14ac:dyDescent="0.4">
      <c r="E1899"/>
    </row>
    <row r="1900" spans="5:5" x14ac:dyDescent="0.4">
      <c r="E1900"/>
    </row>
    <row r="1901" spans="5:5" x14ac:dyDescent="0.4">
      <c r="E1901"/>
    </row>
    <row r="1902" spans="5:5" x14ac:dyDescent="0.4">
      <c r="E1902"/>
    </row>
    <row r="1903" spans="5:5" x14ac:dyDescent="0.4">
      <c r="E1903"/>
    </row>
    <row r="1904" spans="5:5" x14ac:dyDescent="0.4">
      <c r="E1904"/>
    </row>
    <row r="1905" spans="5:5" x14ac:dyDescent="0.4">
      <c r="E1905"/>
    </row>
    <row r="1906" spans="5:5" x14ac:dyDescent="0.4">
      <c r="E1906"/>
    </row>
    <row r="1907" spans="5:5" x14ac:dyDescent="0.4">
      <c r="E1907"/>
    </row>
    <row r="1908" spans="5:5" x14ac:dyDescent="0.4">
      <c r="E1908"/>
    </row>
    <row r="1909" spans="5:5" x14ac:dyDescent="0.4">
      <c r="E1909"/>
    </row>
    <row r="1910" spans="5:5" x14ac:dyDescent="0.4">
      <c r="E1910"/>
    </row>
    <row r="1911" spans="5:5" x14ac:dyDescent="0.4">
      <c r="E1911"/>
    </row>
    <row r="1912" spans="5:5" x14ac:dyDescent="0.4">
      <c r="E1912"/>
    </row>
    <row r="1913" spans="5:5" x14ac:dyDescent="0.4">
      <c r="E1913"/>
    </row>
    <row r="1914" spans="5:5" x14ac:dyDescent="0.4">
      <c r="E1914"/>
    </row>
    <row r="1915" spans="5:5" x14ac:dyDescent="0.4">
      <c r="E1915"/>
    </row>
    <row r="1916" spans="5:5" x14ac:dyDescent="0.4">
      <c r="E1916"/>
    </row>
    <row r="1917" spans="5:5" x14ac:dyDescent="0.4">
      <c r="E1917"/>
    </row>
    <row r="1918" spans="5:5" x14ac:dyDescent="0.4">
      <c r="E1918"/>
    </row>
    <row r="1919" spans="5:5" x14ac:dyDescent="0.4">
      <c r="E1919"/>
    </row>
    <row r="1920" spans="5:5" x14ac:dyDescent="0.4">
      <c r="E1920"/>
    </row>
    <row r="1921" spans="5:5" x14ac:dyDescent="0.4">
      <c r="E1921"/>
    </row>
    <row r="1922" spans="5:5" x14ac:dyDescent="0.4">
      <c r="E1922"/>
    </row>
    <row r="1923" spans="5:5" x14ac:dyDescent="0.4">
      <c r="E1923"/>
    </row>
    <row r="1924" spans="5:5" x14ac:dyDescent="0.4">
      <c r="E1924"/>
    </row>
    <row r="1925" spans="5:5" x14ac:dyDescent="0.4">
      <c r="E1925"/>
    </row>
    <row r="1926" spans="5:5" x14ac:dyDescent="0.4">
      <c r="E1926"/>
    </row>
    <row r="1927" spans="5:5" x14ac:dyDescent="0.4">
      <c r="E1927"/>
    </row>
    <row r="1928" spans="5:5" x14ac:dyDescent="0.4">
      <c r="E1928"/>
    </row>
    <row r="1929" spans="5:5" x14ac:dyDescent="0.4">
      <c r="E1929"/>
    </row>
    <row r="1930" spans="5:5" x14ac:dyDescent="0.4">
      <c r="E1930"/>
    </row>
    <row r="1931" spans="5:5" x14ac:dyDescent="0.4">
      <c r="E1931"/>
    </row>
    <row r="1932" spans="5:5" x14ac:dyDescent="0.4">
      <c r="E1932"/>
    </row>
    <row r="1933" spans="5:5" x14ac:dyDescent="0.4">
      <c r="E1933"/>
    </row>
    <row r="1934" spans="5:5" x14ac:dyDescent="0.4">
      <c r="E1934"/>
    </row>
    <row r="1935" spans="5:5" x14ac:dyDescent="0.4">
      <c r="E1935"/>
    </row>
    <row r="1936" spans="5:5" x14ac:dyDescent="0.4">
      <c r="E1936"/>
    </row>
    <row r="1937" spans="5:5" x14ac:dyDescent="0.4">
      <c r="E1937"/>
    </row>
    <row r="1938" spans="5:5" x14ac:dyDescent="0.4">
      <c r="E1938"/>
    </row>
    <row r="1939" spans="5:5" x14ac:dyDescent="0.4">
      <c r="E1939"/>
    </row>
    <row r="1940" spans="5:5" x14ac:dyDescent="0.4">
      <c r="E1940"/>
    </row>
    <row r="1941" spans="5:5" x14ac:dyDescent="0.4">
      <c r="E1941"/>
    </row>
    <row r="1942" spans="5:5" x14ac:dyDescent="0.4">
      <c r="E1942"/>
    </row>
    <row r="1943" spans="5:5" x14ac:dyDescent="0.4">
      <c r="E1943"/>
    </row>
    <row r="1944" spans="5:5" x14ac:dyDescent="0.4">
      <c r="E1944"/>
    </row>
    <row r="1945" spans="5:5" x14ac:dyDescent="0.4">
      <c r="E1945"/>
    </row>
    <row r="1946" spans="5:5" x14ac:dyDescent="0.4">
      <c r="E1946"/>
    </row>
    <row r="1947" spans="5:5" x14ac:dyDescent="0.4">
      <c r="E1947"/>
    </row>
    <row r="1948" spans="5:5" x14ac:dyDescent="0.4">
      <c r="E1948"/>
    </row>
    <row r="1949" spans="5:5" x14ac:dyDescent="0.4">
      <c r="E1949"/>
    </row>
    <row r="1950" spans="5:5" x14ac:dyDescent="0.4">
      <c r="E1950"/>
    </row>
    <row r="1951" spans="5:5" x14ac:dyDescent="0.4">
      <c r="E1951"/>
    </row>
    <row r="1952" spans="5:5" x14ac:dyDescent="0.4">
      <c r="E1952"/>
    </row>
    <row r="1953" spans="5:5" x14ac:dyDescent="0.4">
      <c r="E1953"/>
    </row>
    <row r="1954" spans="5:5" x14ac:dyDescent="0.4">
      <c r="E1954"/>
    </row>
    <row r="1955" spans="5:5" x14ac:dyDescent="0.4">
      <c r="E1955"/>
    </row>
    <row r="1956" spans="5:5" x14ac:dyDescent="0.4">
      <c r="E1956"/>
    </row>
    <row r="1957" spans="5:5" x14ac:dyDescent="0.4">
      <c r="E1957"/>
    </row>
    <row r="1958" spans="5:5" x14ac:dyDescent="0.4">
      <c r="E1958"/>
    </row>
    <row r="1959" spans="5:5" x14ac:dyDescent="0.4">
      <c r="E1959"/>
    </row>
    <row r="1960" spans="5:5" x14ac:dyDescent="0.4">
      <c r="E1960"/>
    </row>
    <row r="1961" spans="5:5" x14ac:dyDescent="0.4">
      <c r="E1961"/>
    </row>
    <row r="1962" spans="5:5" x14ac:dyDescent="0.4">
      <c r="E1962"/>
    </row>
    <row r="1963" spans="5:5" x14ac:dyDescent="0.4">
      <c r="E1963"/>
    </row>
    <row r="1964" spans="5:5" x14ac:dyDescent="0.4">
      <c r="E1964"/>
    </row>
    <row r="1965" spans="5:5" x14ac:dyDescent="0.4">
      <c r="E1965"/>
    </row>
    <row r="1966" spans="5:5" x14ac:dyDescent="0.4">
      <c r="E1966"/>
    </row>
    <row r="1967" spans="5:5" x14ac:dyDescent="0.4">
      <c r="E1967"/>
    </row>
    <row r="1968" spans="5:5" x14ac:dyDescent="0.4">
      <c r="E1968"/>
    </row>
    <row r="1969" spans="5:5" x14ac:dyDescent="0.4">
      <c r="E1969"/>
    </row>
    <row r="1970" spans="5:5" x14ac:dyDescent="0.4">
      <c r="E1970"/>
    </row>
    <row r="1971" spans="5:5" x14ac:dyDescent="0.4">
      <c r="E1971"/>
    </row>
    <row r="1972" spans="5:5" x14ac:dyDescent="0.4">
      <c r="E1972"/>
    </row>
    <row r="1973" spans="5:5" x14ac:dyDescent="0.4">
      <c r="E1973"/>
    </row>
    <row r="1974" spans="5:5" x14ac:dyDescent="0.4">
      <c r="E1974"/>
    </row>
    <row r="1975" spans="5:5" x14ac:dyDescent="0.4">
      <c r="E1975"/>
    </row>
    <row r="1976" spans="5:5" x14ac:dyDescent="0.4">
      <c r="E1976"/>
    </row>
    <row r="1977" spans="5:5" x14ac:dyDescent="0.4">
      <c r="E1977"/>
    </row>
    <row r="1978" spans="5:5" x14ac:dyDescent="0.4">
      <c r="E1978"/>
    </row>
    <row r="1979" spans="5:5" x14ac:dyDescent="0.4">
      <c r="E1979"/>
    </row>
    <row r="1980" spans="5:5" x14ac:dyDescent="0.4">
      <c r="E1980"/>
    </row>
    <row r="1981" spans="5:5" x14ac:dyDescent="0.4">
      <c r="E1981"/>
    </row>
    <row r="1982" spans="5:5" x14ac:dyDescent="0.4">
      <c r="E1982"/>
    </row>
    <row r="1983" spans="5:5" x14ac:dyDescent="0.4">
      <c r="E1983"/>
    </row>
    <row r="1984" spans="5:5" x14ac:dyDescent="0.4">
      <c r="E1984"/>
    </row>
    <row r="1985" spans="5:5" x14ac:dyDescent="0.4">
      <c r="E1985"/>
    </row>
    <row r="1986" spans="5:5" x14ac:dyDescent="0.4">
      <c r="E1986"/>
    </row>
    <row r="1987" spans="5:5" x14ac:dyDescent="0.4">
      <c r="E1987"/>
    </row>
    <row r="1988" spans="5:5" x14ac:dyDescent="0.4">
      <c r="E1988"/>
    </row>
    <row r="1989" spans="5:5" x14ac:dyDescent="0.4">
      <c r="E1989"/>
    </row>
    <row r="1990" spans="5:5" x14ac:dyDescent="0.4">
      <c r="E1990"/>
    </row>
    <row r="1991" spans="5:5" x14ac:dyDescent="0.4">
      <c r="E1991"/>
    </row>
    <row r="1992" spans="5:5" x14ac:dyDescent="0.4">
      <c r="E1992"/>
    </row>
    <row r="1993" spans="5:5" x14ac:dyDescent="0.4">
      <c r="E1993"/>
    </row>
    <row r="1994" spans="5:5" x14ac:dyDescent="0.4">
      <c r="E1994"/>
    </row>
    <row r="1995" spans="5:5" x14ac:dyDescent="0.4">
      <c r="E1995"/>
    </row>
    <row r="1996" spans="5:5" x14ac:dyDescent="0.4">
      <c r="E1996"/>
    </row>
    <row r="1997" spans="5:5" x14ac:dyDescent="0.4">
      <c r="E1997"/>
    </row>
    <row r="1998" spans="5:5" x14ac:dyDescent="0.4">
      <c r="E1998"/>
    </row>
    <row r="1999" spans="5:5" x14ac:dyDescent="0.4">
      <c r="E1999"/>
    </row>
    <row r="2000" spans="5:5" x14ac:dyDescent="0.4">
      <c r="E2000"/>
    </row>
    <row r="2001" spans="5:5" x14ac:dyDescent="0.4">
      <c r="E2001"/>
    </row>
    <row r="2002" spans="5:5" x14ac:dyDescent="0.4">
      <c r="E2002"/>
    </row>
    <row r="2003" spans="5:5" x14ac:dyDescent="0.4">
      <c r="E2003"/>
    </row>
    <row r="2004" spans="5:5" x14ac:dyDescent="0.4">
      <c r="E2004"/>
    </row>
    <row r="2005" spans="5:5" x14ac:dyDescent="0.4">
      <c r="E2005"/>
    </row>
    <row r="2006" spans="5:5" x14ac:dyDescent="0.4">
      <c r="E2006"/>
    </row>
    <row r="2007" spans="5:5" x14ac:dyDescent="0.4">
      <c r="E2007"/>
    </row>
    <row r="2008" spans="5:5" x14ac:dyDescent="0.4">
      <c r="E2008"/>
    </row>
    <row r="2009" spans="5:5" x14ac:dyDescent="0.4">
      <c r="E2009"/>
    </row>
    <row r="2010" spans="5:5" x14ac:dyDescent="0.4">
      <c r="E2010"/>
    </row>
    <row r="2011" spans="5:5" x14ac:dyDescent="0.4">
      <c r="E2011"/>
    </row>
    <row r="2012" spans="5:5" x14ac:dyDescent="0.4">
      <c r="E2012"/>
    </row>
    <row r="2013" spans="5:5" x14ac:dyDescent="0.4">
      <c r="E2013"/>
    </row>
    <row r="2014" spans="5:5" x14ac:dyDescent="0.4">
      <c r="E2014"/>
    </row>
    <row r="2015" spans="5:5" x14ac:dyDescent="0.4">
      <c r="E2015"/>
    </row>
    <row r="2016" spans="5:5" x14ac:dyDescent="0.4">
      <c r="E2016"/>
    </row>
    <row r="2017" spans="5:5" x14ac:dyDescent="0.4">
      <c r="E2017"/>
    </row>
    <row r="2018" spans="5:5" x14ac:dyDescent="0.4">
      <c r="E2018"/>
    </row>
    <row r="2019" spans="5:5" x14ac:dyDescent="0.4">
      <c r="E2019"/>
    </row>
    <row r="2020" spans="5:5" x14ac:dyDescent="0.4">
      <c r="E2020"/>
    </row>
    <row r="2021" spans="5:5" x14ac:dyDescent="0.4">
      <c r="E2021"/>
    </row>
    <row r="2022" spans="5:5" x14ac:dyDescent="0.4">
      <c r="E2022"/>
    </row>
    <row r="2023" spans="5:5" x14ac:dyDescent="0.4">
      <c r="E2023"/>
    </row>
    <row r="2024" spans="5:5" x14ac:dyDescent="0.4">
      <c r="E2024"/>
    </row>
    <row r="2025" spans="5:5" x14ac:dyDescent="0.4">
      <c r="E2025"/>
    </row>
    <row r="2026" spans="5:5" x14ac:dyDescent="0.4">
      <c r="E2026"/>
    </row>
    <row r="2027" spans="5:5" x14ac:dyDescent="0.4">
      <c r="E2027"/>
    </row>
    <row r="2028" spans="5:5" x14ac:dyDescent="0.4">
      <c r="E2028"/>
    </row>
    <row r="2029" spans="5:5" x14ac:dyDescent="0.4">
      <c r="E2029"/>
    </row>
    <row r="2030" spans="5:5" x14ac:dyDescent="0.4">
      <c r="E2030"/>
    </row>
    <row r="2031" spans="5:5" x14ac:dyDescent="0.4">
      <c r="E2031"/>
    </row>
    <row r="2032" spans="5:5" x14ac:dyDescent="0.4">
      <c r="E2032"/>
    </row>
    <row r="2033" spans="5:5" x14ac:dyDescent="0.4">
      <c r="E2033"/>
    </row>
    <row r="2034" spans="5:5" x14ac:dyDescent="0.4">
      <c r="E2034"/>
    </row>
    <row r="2035" spans="5:5" x14ac:dyDescent="0.4">
      <c r="E2035"/>
    </row>
    <row r="2036" spans="5:5" x14ac:dyDescent="0.4">
      <c r="E2036"/>
    </row>
    <row r="2037" spans="5:5" x14ac:dyDescent="0.4">
      <c r="E2037"/>
    </row>
    <row r="2038" spans="5:5" x14ac:dyDescent="0.4">
      <c r="E2038"/>
    </row>
    <row r="2039" spans="5:5" x14ac:dyDescent="0.4">
      <c r="E2039"/>
    </row>
    <row r="2040" spans="5:5" x14ac:dyDescent="0.4">
      <c r="E2040"/>
    </row>
    <row r="2041" spans="5:5" x14ac:dyDescent="0.4">
      <c r="E2041"/>
    </row>
    <row r="2042" spans="5:5" x14ac:dyDescent="0.4">
      <c r="E2042"/>
    </row>
    <row r="2043" spans="5:5" x14ac:dyDescent="0.4">
      <c r="E2043"/>
    </row>
    <row r="2044" spans="5:5" x14ac:dyDescent="0.4">
      <c r="E2044"/>
    </row>
    <row r="2045" spans="5:5" x14ac:dyDescent="0.4">
      <c r="E2045"/>
    </row>
    <row r="2046" spans="5:5" x14ac:dyDescent="0.4">
      <c r="E2046"/>
    </row>
    <row r="2047" spans="5:5" x14ac:dyDescent="0.4">
      <c r="E2047"/>
    </row>
    <row r="2048" spans="5:5" x14ac:dyDescent="0.4">
      <c r="E2048"/>
    </row>
    <row r="2049" spans="5:5" x14ac:dyDescent="0.4">
      <c r="E2049"/>
    </row>
    <row r="2050" spans="5:5" x14ac:dyDescent="0.4">
      <c r="E2050"/>
    </row>
    <row r="2051" spans="5:5" x14ac:dyDescent="0.4">
      <c r="E2051"/>
    </row>
    <row r="2052" spans="5:5" x14ac:dyDescent="0.4">
      <c r="E2052"/>
    </row>
    <row r="2053" spans="5:5" x14ac:dyDescent="0.4">
      <c r="E2053"/>
    </row>
    <row r="2054" spans="5:5" x14ac:dyDescent="0.4">
      <c r="E2054"/>
    </row>
    <row r="2055" spans="5:5" x14ac:dyDescent="0.4">
      <c r="E2055"/>
    </row>
    <row r="2056" spans="5:5" x14ac:dyDescent="0.4">
      <c r="E2056"/>
    </row>
    <row r="2057" spans="5:5" x14ac:dyDescent="0.4">
      <c r="E2057"/>
    </row>
    <row r="2058" spans="5:5" x14ac:dyDescent="0.4">
      <c r="E2058"/>
    </row>
    <row r="2059" spans="5:5" x14ac:dyDescent="0.4">
      <c r="E2059"/>
    </row>
    <row r="2060" spans="5:5" x14ac:dyDescent="0.4">
      <c r="E2060"/>
    </row>
    <row r="2061" spans="5:5" x14ac:dyDescent="0.4">
      <c r="E2061"/>
    </row>
    <row r="2062" spans="5:5" x14ac:dyDescent="0.4">
      <c r="E2062"/>
    </row>
    <row r="2063" spans="5:5" x14ac:dyDescent="0.4">
      <c r="E2063"/>
    </row>
    <row r="2064" spans="5:5" x14ac:dyDescent="0.4">
      <c r="E2064"/>
    </row>
    <row r="2065" spans="5:5" x14ac:dyDescent="0.4">
      <c r="E2065"/>
    </row>
    <row r="2066" spans="5:5" x14ac:dyDescent="0.4">
      <c r="E2066"/>
    </row>
    <row r="2067" spans="5:5" x14ac:dyDescent="0.4">
      <c r="E2067"/>
    </row>
    <row r="2068" spans="5:5" x14ac:dyDescent="0.4">
      <c r="E2068"/>
    </row>
    <row r="2069" spans="5:5" x14ac:dyDescent="0.4">
      <c r="E2069"/>
    </row>
    <row r="2070" spans="5:5" x14ac:dyDescent="0.4">
      <c r="E2070"/>
    </row>
    <row r="2071" spans="5:5" x14ac:dyDescent="0.4">
      <c r="E2071"/>
    </row>
    <row r="2072" spans="5:5" x14ac:dyDescent="0.4">
      <c r="E2072"/>
    </row>
    <row r="2073" spans="5:5" x14ac:dyDescent="0.4">
      <c r="E2073"/>
    </row>
    <row r="2074" spans="5:5" x14ac:dyDescent="0.4">
      <c r="E2074"/>
    </row>
    <row r="2075" spans="5:5" x14ac:dyDescent="0.4">
      <c r="E2075"/>
    </row>
    <row r="2076" spans="5:5" x14ac:dyDescent="0.4">
      <c r="E2076"/>
    </row>
    <row r="2077" spans="5:5" x14ac:dyDescent="0.4">
      <c r="E2077"/>
    </row>
    <row r="2078" spans="5:5" x14ac:dyDescent="0.4">
      <c r="E2078"/>
    </row>
    <row r="2079" spans="5:5" x14ac:dyDescent="0.4">
      <c r="E2079"/>
    </row>
    <row r="2080" spans="5:5" x14ac:dyDescent="0.4">
      <c r="E2080"/>
    </row>
    <row r="2081" spans="5:5" x14ac:dyDescent="0.4">
      <c r="E2081"/>
    </row>
    <row r="2082" spans="5:5" x14ac:dyDescent="0.4">
      <c r="E2082"/>
    </row>
    <row r="2083" spans="5:5" x14ac:dyDescent="0.4">
      <c r="E2083"/>
    </row>
    <row r="2084" spans="5:5" x14ac:dyDescent="0.4">
      <c r="E2084"/>
    </row>
    <row r="2085" spans="5:5" x14ac:dyDescent="0.4">
      <c r="E2085"/>
    </row>
    <row r="2086" spans="5:5" x14ac:dyDescent="0.4">
      <c r="E2086"/>
    </row>
    <row r="2087" spans="5:5" x14ac:dyDescent="0.4">
      <c r="E2087"/>
    </row>
    <row r="2088" spans="5:5" x14ac:dyDescent="0.4">
      <c r="E2088"/>
    </row>
    <row r="2089" spans="5:5" x14ac:dyDescent="0.4">
      <c r="E2089"/>
    </row>
    <row r="2090" spans="5:5" x14ac:dyDescent="0.4">
      <c r="E2090"/>
    </row>
    <row r="2091" spans="5:5" x14ac:dyDescent="0.4">
      <c r="E2091"/>
    </row>
    <row r="2092" spans="5:5" x14ac:dyDescent="0.4">
      <c r="E2092"/>
    </row>
    <row r="2093" spans="5:5" x14ac:dyDescent="0.4">
      <c r="E2093"/>
    </row>
    <row r="2094" spans="5:5" x14ac:dyDescent="0.4">
      <c r="E2094"/>
    </row>
    <row r="2095" spans="5:5" x14ac:dyDescent="0.4">
      <c r="E2095"/>
    </row>
    <row r="2096" spans="5:5" x14ac:dyDescent="0.4">
      <c r="E2096"/>
    </row>
    <row r="2097" spans="5:5" x14ac:dyDescent="0.4">
      <c r="E2097"/>
    </row>
    <row r="2098" spans="5:5" x14ac:dyDescent="0.4">
      <c r="E2098"/>
    </row>
    <row r="2099" spans="5:5" x14ac:dyDescent="0.4">
      <c r="E2099"/>
    </row>
    <row r="2100" spans="5:5" x14ac:dyDescent="0.4">
      <c r="E2100"/>
    </row>
    <row r="2101" spans="5:5" x14ac:dyDescent="0.4">
      <c r="E2101"/>
    </row>
    <row r="2102" spans="5:5" x14ac:dyDescent="0.4">
      <c r="E2102"/>
    </row>
    <row r="2103" spans="5:5" x14ac:dyDescent="0.4">
      <c r="E2103"/>
    </row>
    <row r="2104" spans="5:5" x14ac:dyDescent="0.4">
      <c r="E2104"/>
    </row>
    <row r="2105" spans="5:5" x14ac:dyDescent="0.4">
      <c r="E2105"/>
    </row>
    <row r="2106" spans="5:5" x14ac:dyDescent="0.4">
      <c r="E2106"/>
    </row>
    <row r="2107" spans="5:5" x14ac:dyDescent="0.4">
      <c r="E2107"/>
    </row>
    <row r="2108" spans="5:5" x14ac:dyDescent="0.4">
      <c r="E2108"/>
    </row>
    <row r="2109" spans="5:5" x14ac:dyDescent="0.4">
      <c r="E2109"/>
    </row>
    <row r="2110" spans="5:5" x14ac:dyDescent="0.4">
      <c r="E2110"/>
    </row>
    <row r="2111" spans="5:5" x14ac:dyDescent="0.4">
      <c r="E2111"/>
    </row>
    <row r="2112" spans="5:5" x14ac:dyDescent="0.4">
      <c r="E2112"/>
    </row>
    <row r="2113" spans="5:5" x14ac:dyDescent="0.4">
      <c r="E2113"/>
    </row>
    <row r="2114" spans="5:5" x14ac:dyDescent="0.4">
      <c r="E2114"/>
    </row>
    <row r="2115" spans="5:5" x14ac:dyDescent="0.4">
      <c r="E2115"/>
    </row>
    <row r="2116" spans="5:5" x14ac:dyDescent="0.4">
      <c r="E2116"/>
    </row>
    <row r="2117" spans="5:5" x14ac:dyDescent="0.4">
      <c r="E2117"/>
    </row>
    <row r="2118" spans="5:5" x14ac:dyDescent="0.4">
      <c r="E2118"/>
    </row>
    <row r="2119" spans="5:5" x14ac:dyDescent="0.4">
      <c r="E2119"/>
    </row>
    <row r="2120" spans="5:5" x14ac:dyDescent="0.4">
      <c r="E2120"/>
    </row>
    <row r="2121" spans="5:5" x14ac:dyDescent="0.4">
      <c r="E2121"/>
    </row>
    <row r="2122" spans="5:5" x14ac:dyDescent="0.4">
      <c r="E2122"/>
    </row>
    <row r="2123" spans="5:5" x14ac:dyDescent="0.4">
      <c r="E2123"/>
    </row>
    <row r="2124" spans="5:5" x14ac:dyDescent="0.4">
      <c r="E2124"/>
    </row>
    <row r="2125" spans="5:5" x14ac:dyDescent="0.4">
      <c r="E2125"/>
    </row>
    <row r="2126" spans="5:5" x14ac:dyDescent="0.4">
      <c r="E2126"/>
    </row>
    <row r="2127" spans="5:5" x14ac:dyDescent="0.4">
      <c r="E2127"/>
    </row>
    <row r="2128" spans="5:5" x14ac:dyDescent="0.4">
      <c r="E2128"/>
    </row>
    <row r="2129" spans="5:5" x14ac:dyDescent="0.4">
      <c r="E2129"/>
    </row>
    <row r="2130" spans="5:5" x14ac:dyDescent="0.4">
      <c r="E2130"/>
    </row>
    <row r="2131" spans="5:5" x14ac:dyDescent="0.4">
      <c r="E2131"/>
    </row>
    <row r="2132" spans="5:5" x14ac:dyDescent="0.4">
      <c r="E2132"/>
    </row>
    <row r="2133" spans="5:5" x14ac:dyDescent="0.4">
      <c r="E2133"/>
    </row>
    <row r="2134" spans="5:5" x14ac:dyDescent="0.4">
      <c r="E2134"/>
    </row>
    <row r="2135" spans="5:5" x14ac:dyDescent="0.4">
      <c r="E2135"/>
    </row>
    <row r="2136" spans="5:5" x14ac:dyDescent="0.4">
      <c r="E2136"/>
    </row>
    <row r="2137" spans="5:5" x14ac:dyDescent="0.4">
      <c r="E2137"/>
    </row>
    <row r="2138" spans="5:5" x14ac:dyDescent="0.4">
      <c r="E2138"/>
    </row>
    <row r="2139" spans="5:5" x14ac:dyDescent="0.4">
      <c r="E2139"/>
    </row>
    <row r="2140" spans="5:5" x14ac:dyDescent="0.4">
      <c r="E2140"/>
    </row>
    <row r="2141" spans="5:5" x14ac:dyDescent="0.4">
      <c r="E2141"/>
    </row>
    <row r="2142" spans="5:5" x14ac:dyDescent="0.4">
      <c r="E2142"/>
    </row>
    <row r="2143" spans="5:5" x14ac:dyDescent="0.4">
      <c r="E2143"/>
    </row>
    <row r="2144" spans="5:5" x14ac:dyDescent="0.4">
      <c r="E2144"/>
    </row>
    <row r="2145" spans="5:5" x14ac:dyDescent="0.4">
      <c r="E2145"/>
    </row>
    <row r="2146" spans="5:5" x14ac:dyDescent="0.4">
      <c r="E2146"/>
    </row>
    <row r="2147" spans="5:5" x14ac:dyDescent="0.4">
      <c r="E2147"/>
    </row>
    <row r="2148" spans="5:5" x14ac:dyDescent="0.4">
      <c r="E2148"/>
    </row>
    <row r="2149" spans="5:5" x14ac:dyDescent="0.4">
      <c r="E2149"/>
    </row>
    <row r="2150" spans="5:5" x14ac:dyDescent="0.4">
      <c r="E2150"/>
    </row>
    <row r="2151" spans="5:5" x14ac:dyDescent="0.4">
      <c r="E2151"/>
    </row>
    <row r="2152" spans="5:5" x14ac:dyDescent="0.4">
      <c r="E2152"/>
    </row>
    <row r="2153" spans="5:5" x14ac:dyDescent="0.4">
      <c r="E2153"/>
    </row>
    <row r="2154" spans="5:5" x14ac:dyDescent="0.4">
      <c r="E2154"/>
    </row>
    <row r="2155" spans="5:5" x14ac:dyDescent="0.4">
      <c r="E2155"/>
    </row>
    <row r="2156" spans="5:5" x14ac:dyDescent="0.4">
      <c r="E2156"/>
    </row>
    <row r="2157" spans="5:5" x14ac:dyDescent="0.4">
      <c r="E2157"/>
    </row>
    <row r="2158" spans="5:5" x14ac:dyDescent="0.4">
      <c r="E2158"/>
    </row>
    <row r="2159" spans="5:5" x14ac:dyDescent="0.4">
      <c r="E2159"/>
    </row>
    <row r="2160" spans="5:5" x14ac:dyDescent="0.4">
      <c r="E2160"/>
    </row>
    <row r="2161" spans="5:5" x14ac:dyDescent="0.4">
      <c r="E2161"/>
    </row>
    <row r="2162" spans="5:5" x14ac:dyDescent="0.4">
      <c r="E2162"/>
    </row>
    <row r="2163" spans="5:5" x14ac:dyDescent="0.4">
      <c r="E2163"/>
    </row>
    <row r="2164" spans="5:5" x14ac:dyDescent="0.4">
      <c r="E2164"/>
    </row>
    <row r="2165" spans="5:5" x14ac:dyDescent="0.4">
      <c r="E2165"/>
    </row>
    <row r="2166" spans="5:5" x14ac:dyDescent="0.4">
      <c r="E2166"/>
    </row>
    <row r="2167" spans="5:5" x14ac:dyDescent="0.4">
      <c r="E2167"/>
    </row>
    <row r="2168" spans="5:5" x14ac:dyDescent="0.4">
      <c r="E2168"/>
    </row>
    <row r="2169" spans="5:5" x14ac:dyDescent="0.4">
      <c r="E2169"/>
    </row>
    <row r="2170" spans="5:5" x14ac:dyDescent="0.4">
      <c r="E2170"/>
    </row>
    <row r="2171" spans="5:5" x14ac:dyDescent="0.4">
      <c r="E2171"/>
    </row>
    <row r="2172" spans="5:5" x14ac:dyDescent="0.4">
      <c r="E2172"/>
    </row>
    <row r="2173" spans="5:5" x14ac:dyDescent="0.4">
      <c r="E2173"/>
    </row>
    <row r="2174" spans="5:5" x14ac:dyDescent="0.4">
      <c r="E2174"/>
    </row>
    <row r="2175" spans="5:5" x14ac:dyDescent="0.4">
      <c r="E2175"/>
    </row>
    <row r="2176" spans="5:5" x14ac:dyDescent="0.4">
      <c r="E2176"/>
    </row>
    <row r="2177" spans="5:5" x14ac:dyDescent="0.4">
      <c r="E2177"/>
    </row>
    <row r="2178" spans="5:5" x14ac:dyDescent="0.4">
      <c r="E2178"/>
    </row>
    <row r="2179" spans="5:5" x14ac:dyDescent="0.4">
      <c r="E2179"/>
    </row>
    <row r="2180" spans="5:5" x14ac:dyDescent="0.4">
      <c r="E2180"/>
    </row>
    <row r="2181" spans="5:5" x14ac:dyDescent="0.4">
      <c r="E2181"/>
    </row>
    <row r="2182" spans="5:5" x14ac:dyDescent="0.4">
      <c r="E2182"/>
    </row>
    <row r="2183" spans="5:5" x14ac:dyDescent="0.4">
      <c r="E2183"/>
    </row>
    <row r="2184" spans="5:5" x14ac:dyDescent="0.4">
      <c r="E2184"/>
    </row>
    <row r="2185" spans="5:5" x14ac:dyDescent="0.4">
      <c r="E2185"/>
    </row>
    <row r="2186" spans="5:5" x14ac:dyDescent="0.4">
      <c r="E2186"/>
    </row>
    <row r="2187" spans="5:5" x14ac:dyDescent="0.4">
      <c r="E2187"/>
    </row>
    <row r="2188" spans="5:5" x14ac:dyDescent="0.4">
      <c r="E2188"/>
    </row>
    <row r="2189" spans="5:5" x14ac:dyDescent="0.4">
      <c r="E2189"/>
    </row>
    <row r="2190" spans="5:5" x14ac:dyDescent="0.4">
      <c r="E2190"/>
    </row>
    <row r="2191" spans="5:5" x14ac:dyDescent="0.4">
      <c r="E2191"/>
    </row>
    <row r="2192" spans="5:5" x14ac:dyDescent="0.4">
      <c r="E2192"/>
    </row>
    <row r="2193" spans="5:5" x14ac:dyDescent="0.4">
      <c r="E2193"/>
    </row>
    <row r="2194" spans="5:5" x14ac:dyDescent="0.4">
      <c r="E2194"/>
    </row>
    <row r="2195" spans="5:5" x14ac:dyDescent="0.4">
      <c r="E2195"/>
    </row>
    <row r="2196" spans="5:5" x14ac:dyDescent="0.4">
      <c r="E2196"/>
    </row>
    <row r="2197" spans="5:5" x14ac:dyDescent="0.4">
      <c r="E2197"/>
    </row>
    <row r="2198" spans="5:5" x14ac:dyDescent="0.4">
      <c r="E2198"/>
    </row>
    <row r="2199" spans="5:5" x14ac:dyDescent="0.4">
      <c r="E2199"/>
    </row>
    <row r="2200" spans="5:5" x14ac:dyDescent="0.4">
      <c r="E2200"/>
    </row>
    <row r="2201" spans="5:5" x14ac:dyDescent="0.4">
      <c r="E2201"/>
    </row>
    <row r="2202" spans="5:5" x14ac:dyDescent="0.4">
      <c r="E2202"/>
    </row>
    <row r="2203" spans="5:5" x14ac:dyDescent="0.4">
      <c r="E2203"/>
    </row>
    <row r="2204" spans="5:5" x14ac:dyDescent="0.4">
      <c r="E2204"/>
    </row>
    <row r="2205" spans="5:5" x14ac:dyDescent="0.4">
      <c r="E2205"/>
    </row>
    <row r="2206" spans="5:5" x14ac:dyDescent="0.4">
      <c r="E2206"/>
    </row>
    <row r="2207" spans="5:5" x14ac:dyDescent="0.4">
      <c r="E2207"/>
    </row>
    <row r="2208" spans="5:5" x14ac:dyDescent="0.4">
      <c r="E2208"/>
    </row>
    <row r="2209" spans="5:5" x14ac:dyDescent="0.4">
      <c r="E2209"/>
    </row>
    <row r="2210" spans="5:5" x14ac:dyDescent="0.4">
      <c r="E2210"/>
    </row>
    <row r="2211" spans="5:5" x14ac:dyDescent="0.4">
      <c r="E2211"/>
    </row>
    <row r="2212" spans="5:5" x14ac:dyDescent="0.4">
      <c r="E2212"/>
    </row>
    <row r="2213" spans="5:5" x14ac:dyDescent="0.4">
      <c r="E2213"/>
    </row>
    <row r="2214" spans="5:5" x14ac:dyDescent="0.4">
      <c r="E2214"/>
    </row>
    <row r="2215" spans="5:5" x14ac:dyDescent="0.4">
      <c r="E2215"/>
    </row>
    <row r="2216" spans="5:5" x14ac:dyDescent="0.4">
      <c r="E2216"/>
    </row>
    <row r="2217" spans="5:5" x14ac:dyDescent="0.4">
      <c r="E2217"/>
    </row>
    <row r="2218" spans="5:5" x14ac:dyDescent="0.4">
      <c r="E2218"/>
    </row>
    <row r="2219" spans="5:5" x14ac:dyDescent="0.4">
      <c r="E2219"/>
    </row>
    <row r="2220" spans="5:5" x14ac:dyDescent="0.4">
      <c r="E2220"/>
    </row>
    <row r="2221" spans="5:5" x14ac:dyDescent="0.4">
      <c r="E2221"/>
    </row>
    <row r="2222" spans="5:5" x14ac:dyDescent="0.4">
      <c r="E2222"/>
    </row>
    <row r="2223" spans="5:5" x14ac:dyDescent="0.4">
      <c r="E2223"/>
    </row>
    <row r="2224" spans="5:5" x14ac:dyDescent="0.4">
      <c r="E2224"/>
    </row>
    <row r="2225" spans="5:5" x14ac:dyDescent="0.4">
      <c r="E2225"/>
    </row>
    <row r="2226" spans="5:5" x14ac:dyDescent="0.4">
      <c r="E2226"/>
    </row>
    <row r="2227" spans="5:5" x14ac:dyDescent="0.4">
      <c r="E2227"/>
    </row>
    <row r="2228" spans="5:5" x14ac:dyDescent="0.4">
      <c r="E2228"/>
    </row>
    <row r="2229" spans="5:5" x14ac:dyDescent="0.4">
      <c r="E2229"/>
    </row>
    <row r="2230" spans="5:5" x14ac:dyDescent="0.4">
      <c r="E2230"/>
    </row>
    <row r="2231" spans="5:5" x14ac:dyDescent="0.4">
      <c r="E2231"/>
    </row>
    <row r="2232" spans="5:5" x14ac:dyDescent="0.4">
      <c r="E2232"/>
    </row>
    <row r="2233" spans="5:5" x14ac:dyDescent="0.4">
      <c r="E2233"/>
    </row>
    <row r="2234" spans="5:5" x14ac:dyDescent="0.4">
      <c r="E2234"/>
    </row>
    <row r="2235" spans="5:5" x14ac:dyDescent="0.4">
      <c r="E2235"/>
    </row>
    <row r="2236" spans="5:5" x14ac:dyDescent="0.4">
      <c r="E2236"/>
    </row>
    <row r="2237" spans="5:5" x14ac:dyDescent="0.4">
      <c r="E2237"/>
    </row>
    <row r="2238" spans="5:5" x14ac:dyDescent="0.4">
      <c r="E2238"/>
    </row>
    <row r="2239" spans="5:5" x14ac:dyDescent="0.4">
      <c r="E2239"/>
    </row>
    <row r="2240" spans="5:5" x14ac:dyDescent="0.4">
      <c r="E2240"/>
    </row>
    <row r="2241" spans="5:5" x14ac:dyDescent="0.4">
      <c r="E2241"/>
    </row>
    <row r="2242" spans="5:5" x14ac:dyDescent="0.4">
      <c r="E2242"/>
    </row>
    <row r="2243" spans="5:5" x14ac:dyDescent="0.4">
      <c r="E2243"/>
    </row>
    <row r="2244" spans="5:5" x14ac:dyDescent="0.4">
      <c r="E2244"/>
    </row>
    <row r="2245" spans="5:5" x14ac:dyDescent="0.4">
      <c r="E2245"/>
    </row>
    <row r="2246" spans="5:5" x14ac:dyDescent="0.4">
      <c r="E2246"/>
    </row>
    <row r="2247" spans="5:5" x14ac:dyDescent="0.4">
      <c r="E2247"/>
    </row>
    <row r="2248" spans="5:5" x14ac:dyDescent="0.4">
      <c r="E2248"/>
    </row>
    <row r="2249" spans="5:5" x14ac:dyDescent="0.4">
      <c r="E2249"/>
    </row>
    <row r="2250" spans="5:5" x14ac:dyDescent="0.4">
      <c r="E2250"/>
    </row>
    <row r="2251" spans="5:5" x14ac:dyDescent="0.4">
      <c r="E2251"/>
    </row>
    <row r="2252" spans="5:5" x14ac:dyDescent="0.4">
      <c r="E2252"/>
    </row>
    <row r="2253" spans="5:5" x14ac:dyDescent="0.4">
      <c r="E2253"/>
    </row>
    <row r="2254" spans="5:5" x14ac:dyDescent="0.4">
      <c r="E2254"/>
    </row>
    <row r="2255" spans="5:5" x14ac:dyDescent="0.4">
      <c r="E2255"/>
    </row>
    <row r="2256" spans="5:5" x14ac:dyDescent="0.4">
      <c r="E2256"/>
    </row>
    <row r="2257" spans="5:5" x14ac:dyDescent="0.4">
      <c r="E2257"/>
    </row>
    <row r="2258" spans="5:5" x14ac:dyDescent="0.4">
      <c r="E2258"/>
    </row>
    <row r="2259" spans="5:5" x14ac:dyDescent="0.4">
      <c r="E2259"/>
    </row>
    <row r="2260" spans="5:5" x14ac:dyDescent="0.4">
      <c r="E2260"/>
    </row>
    <row r="2261" spans="5:5" x14ac:dyDescent="0.4">
      <c r="E2261"/>
    </row>
    <row r="2262" spans="5:5" x14ac:dyDescent="0.4">
      <c r="E2262"/>
    </row>
    <row r="2263" spans="5:5" x14ac:dyDescent="0.4">
      <c r="E2263"/>
    </row>
    <row r="2264" spans="5:5" x14ac:dyDescent="0.4">
      <c r="E2264"/>
    </row>
    <row r="2265" spans="5:5" x14ac:dyDescent="0.4">
      <c r="E2265"/>
    </row>
    <row r="2266" spans="5:5" x14ac:dyDescent="0.4">
      <c r="E2266"/>
    </row>
    <row r="2267" spans="5:5" x14ac:dyDescent="0.4">
      <c r="E2267"/>
    </row>
    <row r="2268" spans="5:5" x14ac:dyDescent="0.4">
      <c r="E2268"/>
    </row>
    <row r="2269" spans="5:5" x14ac:dyDescent="0.4">
      <c r="E2269"/>
    </row>
    <row r="2270" spans="5:5" x14ac:dyDescent="0.4">
      <c r="E2270"/>
    </row>
    <row r="2271" spans="5:5" x14ac:dyDescent="0.4">
      <c r="E2271"/>
    </row>
    <row r="2272" spans="5:5" x14ac:dyDescent="0.4">
      <c r="E2272"/>
    </row>
    <row r="2273" spans="5:5" x14ac:dyDescent="0.4">
      <c r="E2273"/>
    </row>
    <row r="2274" spans="5:5" x14ac:dyDescent="0.4">
      <c r="E2274"/>
    </row>
    <row r="2275" spans="5:5" x14ac:dyDescent="0.4">
      <c r="E2275"/>
    </row>
    <row r="2276" spans="5:5" x14ac:dyDescent="0.4">
      <c r="E2276"/>
    </row>
    <row r="2277" spans="5:5" x14ac:dyDescent="0.4">
      <c r="E2277"/>
    </row>
    <row r="2278" spans="5:5" x14ac:dyDescent="0.4">
      <c r="E2278"/>
    </row>
    <row r="2279" spans="5:5" x14ac:dyDescent="0.4">
      <c r="E2279"/>
    </row>
    <row r="2280" spans="5:5" x14ac:dyDescent="0.4">
      <c r="E2280"/>
    </row>
    <row r="2281" spans="5:5" x14ac:dyDescent="0.4">
      <c r="E2281"/>
    </row>
    <row r="2282" spans="5:5" x14ac:dyDescent="0.4">
      <c r="E2282"/>
    </row>
    <row r="2283" spans="5:5" x14ac:dyDescent="0.4">
      <c r="E2283"/>
    </row>
    <row r="2284" spans="5:5" x14ac:dyDescent="0.4">
      <c r="E2284"/>
    </row>
    <row r="2285" spans="5:5" x14ac:dyDescent="0.4">
      <c r="E2285"/>
    </row>
    <row r="2286" spans="5:5" x14ac:dyDescent="0.4">
      <c r="E2286"/>
    </row>
    <row r="2287" spans="5:5" x14ac:dyDescent="0.4">
      <c r="E2287"/>
    </row>
    <row r="2288" spans="5:5" x14ac:dyDescent="0.4">
      <c r="E2288"/>
    </row>
    <row r="2289" spans="5:5" x14ac:dyDescent="0.4">
      <c r="E2289"/>
    </row>
    <row r="2290" spans="5:5" x14ac:dyDescent="0.4">
      <c r="E2290"/>
    </row>
    <row r="2291" spans="5:5" x14ac:dyDescent="0.4">
      <c r="E2291"/>
    </row>
    <row r="2292" spans="5:5" x14ac:dyDescent="0.4">
      <c r="E2292"/>
    </row>
    <row r="2293" spans="5:5" x14ac:dyDescent="0.4">
      <c r="E2293"/>
    </row>
    <row r="2294" spans="5:5" x14ac:dyDescent="0.4">
      <c r="E2294"/>
    </row>
    <row r="2295" spans="5:5" x14ac:dyDescent="0.4">
      <c r="E2295"/>
    </row>
    <row r="2296" spans="5:5" x14ac:dyDescent="0.4">
      <c r="E2296"/>
    </row>
    <row r="2297" spans="5:5" x14ac:dyDescent="0.4">
      <c r="E2297"/>
    </row>
    <row r="2298" spans="5:5" x14ac:dyDescent="0.4">
      <c r="E2298"/>
    </row>
    <row r="2299" spans="5:5" x14ac:dyDescent="0.4">
      <c r="E2299"/>
    </row>
    <row r="2300" spans="5:5" x14ac:dyDescent="0.4">
      <c r="E2300"/>
    </row>
    <row r="2301" spans="5:5" x14ac:dyDescent="0.4">
      <c r="E2301"/>
    </row>
    <row r="2302" spans="5:5" x14ac:dyDescent="0.4">
      <c r="E2302"/>
    </row>
    <row r="2303" spans="5:5" x14ac:dyDescent="0.4">
      <c r="E2303"/>
    </row>
    <row r="2304" spans="5:5" x14ac:dyDescent="0.4">
      <c r="E2304"/>
    </row>
    <row r="2305" spans="5:5" x14ac:dyDescent="0.4">
      <c r="E2305"/>
    </row>
    <row r="2306" spans="5:5" x14ac:dyDescent="0.4">
      <c r="E2306"/>
    </row>
    <row r="2307" spans="5:5" x14ac:dyDescent="0.4">
      <c r="E2307"/>
    </row>
    <row r="2308" spans="5:5" x14ac:dyDescent="0.4">
      <c r="E2308"/>
    </row>
    <row r="2309" spans="5:5" x14ac:dyDescent="0.4">
      <c r="E2309"/>
    </row>
    <row r="2310" spans="5:5" x14ac:dyDescent="0.4">
      <c r="E2310"/>
    </row>
    <row r="2311" spans="5:5" x14ac:dyDescent="0.4">
      <c r="E2311"/>
    </row>
    <row r="2312" spans="5:5" x14ac:dyDescent="0.4">
      <c r="E2312"/>
    </row>
    <row r="2313" spans="5:5" x14ac:dyDescent="0.4">
      <c r="E2313"/>
    </row>
    <row r="2314" spans="5:5" x14ac:dyDescent="0.4">
      <c r="E2314"/>
    </row>
    <row r="2315" spans="5:5" x14ac:dyDescent="0.4">
      <c r="E2315"/>
    </row>
    <row r="2316" spans="5:5" x14ac:dyDescent="0.4">
      <c r="E2316"/>
    </row>
    <row r="2317" spans="5:5" x14ac:dyDescent="0.4">
      <c r="E2317"/>
    </row>
    <row r="2318" spans="5:5" x14ac:dyDescent="0.4">
      <c r="E2318"/>
    </row>
    <row r="2319" spans="5:5" x14ac:dyDescent="0.4">
      <c r="E2319"/>
    </row>
    <row r="2320" spans="5:5" x14ac:dyDescent="0.4">
      <c r="E2320"/>
    </row>
    <row r="2321" spans="5:5" x14ac:dyDescent="0.4">
      <c r="E2321"/>
    </row>
    <row r="2322" spans="5:5" x14ac:dyDescent="0.4">
      <c r="E2322"/>
    </row>
    <row r="2323" spans="5:5" x14ac:dyDescent="0.4">
      <c r="E2323"/>
    </row>
    <row r="2324" spans="5:5" x14ac:dyDescent="0.4">
      <c r="E2324"/>
    </row>
    <row r="2325" spans="5:5" x14ac:dyDescent="0.4">
      <c r="E2325"/>
    </row>
    <row r="2326" spans="5:5" x14ac:dyDescent="0.4">
      <c r="E2326"/>
    </row>
    <row r="2327" spans="5:5" x14ac:dyDescent="0.4">
      <c r="E2327"/>
    </row>
    <row r="2328" spans="5:5" x14ac:dyDescent="0.4">
      <c r="E2328"/>
    </row>
    <row r="2329" spans="5:5" x14ac:dyDescent="0.4">
      <c r="E2329"/>
    </row>
    <row r="2330" spans="5:5" x14ac:dyDescent="0.4">
      <c r="E2330"/>
    </row>
    <row r="2331" spans="5:5" x14ac:dyDescent="0.4">
      <c r="E2331"/>
    </row>
    <row r="2332" spans="5:5" x14ac:dyDescent="0.4">
      <c r="E2332"/>
    </row>
    <row r="2333" spans="5:5" x14ac:dyDescent="0.4">
      <c r="E2333"/>
    </row>
    <row r="2334" spans="5:5" x14ac:dyDescent="0.4">
      <c r="E2334"/>
    </row>
    <row r="2335" spans="5:5" x14ac:dyDescent="0.4">
      <c r="E2335"/>
    </row>
    <row r="2336" spans="5:5" x14ac:dyDescent="0.4">
      <c r="E2336"/>
    </row>
    <row r="2337" spans="5:5" x14ac:dyDescent="0.4">
      <c r="E2337"/>
    </row>
    <row r="2338" spans="5:5" x14ac:dyDescent="0.4">
      <c r="E2338"/>
    </row>
    <row r="2339" spans="5:5" x14ac:dyDescent="0.4">
      <c r="E2339"/>
    </row>
    <row r="2340" spans="5:5" x14ac:dyDescent="0.4">
      <c r="E2340"/>
    </row>
    <row r="2341" spans="5:5" x14ac:dyDescent="0.4">
      <c r="E2341"/>
    </row>
    <row r="2342" spans="5:5" x14ac:dyDescent="0.4">
      <c r="E2342"/>
    </row>
    <row r="2343" spans="5:5" x14ac:dyDescent="0.4">
      <c r="E2343"/>
    </row>
    <row r="2344" spans="5:5" x14ac:dyDescent="0.4">
      <c r="E2344"/>
    </row>
    <row r="2345" spans="5:5" x14ac:dyDescent="0.4">
      <c r="E2345"/>
    </row>
    <row r="2346" spans="5:5" x14ac:dyDescent="0.4">
      <c r="E2346"/>
    </row>
    <row r="2347" spans="5:5" x14ac:dyDescent="0.4">
      <c r="E2347"/>
    </row>
    <row r="2348" spans="5:5" x14ac:dyDescent="0.4">
      <c r="E2348"/>
    </row>
    <row r="2349" spans="5:5" x14ac:dyDescent="0.4">
      <c r="E2349"/>
    </row>
    <row r="2350" spans="5:5" x14ac:dyDescent="0.4">
      <c r="E2350"/>
    </row>
    <row r="2351" spans="5:5" x14ac:dyDescent="0.4">
      <c r="E2351"/>
    </row>
    <row r="2352" spans="5:5" x14ac:dyDescent="0.4">
      <c r="E2352"/>
    </row>
    <row r="2353" spans="5:5" x14ac:dyDescent="0.4">
      <c r="E2353"/>
    </row>
    <row r="2354" spans="5:5" x14ac:dyDescent="0.4">
      <c r="E2354"/>
    </row>
    <row r="2355" spans="5:5" x14ac:dyDescent="0.4">
      <c r="E2355"/>
    </row>
    <row r="2356" spans="5:5" x14ac:dyDescent="0.4">
      <c r="E2356"/>
    </row>
    <row r="2357" spans="5:5" x14ac:dyDescent="0.4">
      <c r="E2357"/>
    </row>
    <row r="2358" spans="5:5" x14ac:dyDescent="0.4">
      <c r="E2358"/>
    </row>
    <row r="2359" spans="5:5" x14ac:dyDescent="0.4">
      <c r="E2359"/>
    </row>
    <row r="2360" spans="5:5" x14ac:dyDescent="0.4">
      <c r="E2360"/>
    </row>
    <row r="2361" spans="5:5" x14ac:dyDescent="0.4">
      <c r="E2361"/>
    </row>
    <row r="2362" spans="5:5" x14ac:dyDescent="0.4">
      <c r="E2362"/>
    </row>
    <row r="2363" spans="5:5" x14ac:dyDescent="0.4">
      <c r="E2363"/>
    </row>
    <row r="2364" spans="5:5" x14ac:dyDescent="0.4">
      <c r="E2364"/>
    </row>
    <row r="2365" spans="5:5" x14ac:dyDescent="0.4">
      <c r="E2365"/>
    </row>
    <row r="2366" spans="5:5" x14ac:dyDescent="0.4">
      <c r="E2366"/>
    </row>
    <row r="2367" spans="5:5" x14ac:dyDescent="0.4">
      <c r="E2367"/>
    </row>
    <row r="2368" spans="5:5" x14ac:dyDescent="0.4">
      <c r="E2368"/>
    </row>
    <row r="2369" spans="5:5" x14ac:dyDescent="0.4">
      <c r="E2369"/>
    </row>
    <row r="2370" spans="5:5" x14ac:dyDescent="0.4">
      <c r="E2370"/>
    </row>
    <row r="2371" spans="5:5" x14ac:dyDescent="0.4">
      <c r="E2371"/>
    </row>
    <row r="2372" spans="5:5" x14ac:dyDescent="0.4">
      <c r="E2372"/>
    </row>
    <row r="2373" spans="5:5" x14ac:dyDescent="0.4">
      <c r="E2373"/>
    </row>
    <row r="2374" spans="5:5" x14ac:dyDescent="0.4">
      <c r="E2374"/>
    </row>
    <row r="2375" spans="5:5" x14ac:dyDescent="0.4">
      <c r="E2375"/>
    </row>
    <row r="2376" spans="5:5" x14ac:dyDescent="0.4">
      <c r="E2376"/>
    </row>
    <row r="2377" spans="5:5" x14ac:dyDescent="0.4">
      <c r="E2377"/>
    </row>
    <row r="2378" spans="5:5" x14ac:dyDescent="0.4">
      <c r="E2378"/>
    </row>
    <row r="2379" spans="5:5" x14ac:dyDescent="0.4">
      <c r="E2379"/>
    </row>
    <row r="2380" spans="5:5" x14ac:dyDescent="0.4">
      <c r="E2380"/>
    </row>
    <row r="2381" spans="5:5" x14ac:dyDescent="0.4">
      <c r="E2381"/>
    </row>
    <row r="2382" spans="5:5" x14ac:dyDescent="0.4">
      <c r="E2382"/>
    </row>
    <row r="2383" spans="5:5" x14ac:dyDescent="0.4">
      <c r="E2383"/>
    </row>
    <row r="2384" spans="5:5" x14ac:dyDescent="0.4">
      <c r="E2384"/>
    </row>
    <row r="2385" spans="5:5" x14ac:dyDescent="0.4">
      <c r="E2385"/>
    </row>
    <row r="2386" spans="5:5" x14ac:dyDescent="0.4">
      <c r="E2386"/>
    </row>
    <row r="2387" spans="5:5" x14ac:dyDescent="0.4">
      <c r="E2387"/>
    </row>
    <row r="2388" spans="5:5" x14ac:dyDescent="0.4">
      <c r="E2388"/>
    </row>
    <row r="2389" spans="5:5" x14ac:dyDescent="0.4">
      <c r="E2389"/>
    </row>
    <row r="2390" spans="5:5" x14ac:dyDescent="0.4">
      <c r="E2390"/>
    </row>
    <row r="2391" spans="5:5" x14ac:dyDescent="0.4">
      <c r="E2391"/>
    </row>
    <row r="2392" spans="5:5" x14ac:dyDescent="0.4">
      <c r="E2392"/>
    </row>
    <row r="2393" spans="5:5" x14ac:dyDescent="0.4">
      <c r="E2393"/>
    </row>
    <row r="2394" spans="5:5" x14ac:dyDescent="0.4">
      <c r="E2394"/>
    </row>
    <row r="2395" spans="5:5" x14ac:dyDescent="0.4">
      <c r="E2395"/>
    </row>
    <row r="2396" spans="5:5" x14ac:dyDescent="0.4">
      <c r="E2396"/>
    </row>
    <row r="2397" spans="5:5" x14ac:dyDescent="0.4">
      <c r="E2397"/>
    </row>
    <row r="2398" spans="5:5" x14ac:dyDescent="0.4">
      <c r="E2398"/>
    </row>
    <row r="2399" spans="5:5" x14ac:dyDescent="0.4">
      <c r="E2399"/>
    </row>
    <row r="2400" spans="5:5" x14ac:dyDescent="0.4">
      <c r="E2400"/>
    </row>
    <row r="2401" spans="5:5" x14ac:dyDescent="0.4">
      <c r="E2401"/>
    </row>
    <row r="2402" spans="5:5" x14ac:dyDescent="0.4">
      <c r="E2402"/>
    </row>
    <row r="2403" spans="5:5" x14ac:dyDescent="0.4">
      <c r="E2403"/>
    </row>
    <row r="2404" spans="5:5" x14ac:dyDescent="0.4">
      <c r="E2404"/>
    </row>
    <row r="2405" spans="5:5" x14ac:dyDescent="0.4">
      <c r="E2405"/>
    </row>
    <row r="2406" spans="5:5" x14ac:dyDescent="0.4">
      <c r="E2406"/>
    </row>
    <row r="2407" spans="5:5" x14ac:dyDescent="0.4">
      <c r="E2407"/>
    </row>
    <row r="2408" spans="5:5" x14ac:dyDescent="0.4">
      <c r="E2408"/>
    </row>
    <row r="2409" spans="5:5" x14ac:dyDescent="0.4">
      <c r="E2409"/>
    </row>
    <row r="2410" spans="5:5" x14ac:dyDescent="0.4">
      <c r="E2410"/>
    </row>
    <row r="2411" spans="5:5" x14ac:dyDescent="0.4">
      <c r="E2411"/>
    </row>
    <row r="2412" spans="5:5" x14ac:dyDescent="0.4">
      <c r="E2412"/>
    </row>
    <row r="2413" spans="5:5" x14ac:dyDescent="0.4">
      <c r="E2413"/>
    </row>
    <row r="2414" spans="5:5" x14ac:dyDescent="0.4">
      <c r="E2414"/>
    </row>
    <row r="2415" spans="5:5" x14ac:dyDescent="0.4">
      <c r="E2415"/>
    </row>
    <row r="2416" spans="5:5" x14ac:dyDescent="0.4">
      <c r="E2416"/>
    </row>
    <row r="2417" spans="5:5" x14ac:dyDescent="0.4">
      <c r="E2417"/>
    </row>
    <row r="2418" spans="5:5" x14ac:dyDescent="0.4">
      <c r="E2418"/>
    </row>
    <row r="2419" spans="5:5" x14ac:dyDescent="0.4">
      <c r="E2419"/>
    </row>
    <row r="2420" spans="5:5" x14ac:dyDescent="0.4">
      <c r="E2420"/>
    </row>
    <row r="2421" spans="5:5" x14ac:dyDescent="0.4">
      <c r="E2421"/>
    </row>
    <row r="2422" spans="5:5" x14ac:dyDescent="0.4">
      <c r="E2422"/>
    </row>
    <row r="2423" spans="5:5" x14ac:dyDescent="0.4">
      <c r="E2423"/>
    </row>
    <row r="2424" spans="5:5" x14ac:dyDescent="0.4">
      <c r="E2424"/>
    </row>
    <row r="2425" spans="5:5" x14ac:dyDescent="0.4">
      <c r="E2425"/>
    </row>
    <row r="2426" spans="5:5" x14ac:dyDescent="0.4">
      <c r="E2426"/>
    </row>
    <row r="2427" spans="5:5" x14ac:dyDescent="0.4">
      <c r="E2427"/>
    </row>
    <row r="2428" spans="5:5" x14ac:dyDescent="0.4">
      <c r="E2428"/>
    </row>
    <row r="2429" spans="5:5" x14ac:dyDescent="0.4">
      <c r="E2429"/>
    </row>
    <row r="2430" spans="5:5" x14ac:dyDescent="0.4">
      <c r="E2430"/>
    </row>
    <row r="2431" spans="5:5" x14ac:dyDescent="0.4">
      <c r="E2431"/>
    </row>
    <row r="2432" spans="5:5" x14ac:dyDescent="0.4">
      <c r="E2432"/>
    </row>
    <row r="2433" spans="5:5" x14ac:dyDescent="0.4">
      <c r="E2433"/>
    </row>
    <row r="2434" spans="5:5" x14ac:dyDescent="0.4">
      <c r="E2434"/>
    </row>
    <row r="2435" spans="5:5" x14ac:dyDescent="0.4">
      <c r="E2435"/>
    </row>
    <row r="2436" spans="5:5" x14ac:dyDescent="0.4">
      <c r="E2436"/>
    </row>
    <row r="2437" spans="5:5" x14ac:dyDescent="0.4">
      <c r="E2437"/>
    </row>
    <row r="2438" spans="5:5" x14ac:dyDescent="0.4">
      <c r="E2438"/>
    </row>
    <row r="2439" spans="5:5" x14ac:dyDescent="0.4">
      <c r="E2439"/>
    </row>
    <row r="2440" spans="5:5" x14ac:dyDescent="0.4">
      <c r="E2440"/>
    </row>
    <row r="2441" spans="5:5" x14ac:dyDescent="0.4">
      <c r="E2441"/>
    </row>
    <row r="2442" spans="5:5" x14ac:dyDescent="0.4">
      <c r="E2442"/>
    </row>
    <row r="2443" spans="5:5" x14ac:dyDescent="0.4">
      <c r="E2443"/>
    </row>
    <row r="2444" spans="5:5" x14ac:dyDescent="0.4">
      <c r="E2444"/>
    </row>
    <row r="2445" spans="5:5" x14ac:dyDescent="0.4">
      <c r="E2445"/>
    </row>
    <row r="2446" spans="5:5" x14ac:dyDescent="0.4">
      <c r="E2446"/>
    </row>
    <row r="2447" spans="5:5" x14ac:dyDescent="0.4">
      <c r="E2447"/>
    </row>
    <row r="2448" spans="5:5" x14ac:dyDescent="0.4">
      <c r="E2448"/>
    </row>
    <row r="2449" spans="5:5" x14ac:dyDescent="0.4">
      <c r="E2449"/>
    </row>
    <row r="2450" spans="5:5" x14ac:dyDescent="0.4">
      <c r="E2450"/>
    </row>
    <row r="2451" spans="5:5" x14ac:dyDescent="0.4">
      <c r="E2451"/>
    </row>
    <row r="2452" spans="5:5" x14ac:dyDescent="0.4">
      <c r="E2452"/>
    </row>
    <row r="2453" spans="5:5" x14ac:dyDescent="0.4">
      <c r="E2453"/>
    </row>
    <row r="2454" spans="5:5" x14ac:dyDescent="0.4">
      <c r="E2454"/>
    </row>
    <row r="2455" spans="5:5" x14ac:dyDescent="0.4">
      <c r="E2455"/>
    </row>
    <row r="2456" spans="5:5" x14ac:dyDescent="0.4">
      <c r="E2456"/>
    </row>
    <row r="2457" spans="5:5" x14ac:dyDescent="0.4">
      <c r="E2457"/>
    </row>
    <row r="2458" spans="5:5" x14ac:dyDescent="0.4">
      <c r="E2458"/>
    </row>
    <row r="2459" spans="5:5" x14ac:dyDescent="0.4">
      <c r="E2459"/>
    </row>
    <row r="2460" spans="5:5" x14ac:dyDescent="0.4">
      <c r="E2460"/>
    </row>
    <row r="2461" spans="5:5" x14ac:dyDescent="0.4">
      <c r="E2461"/>
    </row>
    <row r="2462" spans="5:5" x14ac:dyDescent="0.4">
      <c r="E2462"/>
    </row>
    <row r="2463" spans="5:5" x14ac:dyDescent="0.4">
      <c r="E2463"/>
    </row>
    <row r="2464" spans="5:5" x14ac:dyDescent="0.4">
      <c r="E2464"/>
    </row>
    <row r="2465" spans="5:5" x14ac:dyDescent="0.4">
      <c r="E2465"/>
    </row>
    <row r="2466" spans="5:5" x14ac:dyDescent="0.4">
      <c r="E2466"/>
    </row>
    <row r="2467" spans="5:5" x14ac:dyDescent="0.4">
      <c r="E2467"/>
    </row>
    <row r="2468" spans="5:5" x14ac:dyDescent="0.4">
      <c r="E2468"/>
    </row>
    <row r="2469" spans="5:5" x14ac:dyDescent="0.4">
      <c r="E2469"/>
    </row>
    <row r="2470" spans="5:5" x14ac:dyDescent="0.4">
      <c r="E2470"/>
    </row>
    <row r="2471" spans="5:5" x14ac:dyDescent="0.4">
      <c r="E2471"/>
    </row>
    <row r="2472" spans="5:5" x14ac:dyDescent="0.4">
      <c r="E2472"/>
    </row>
    <row r="2473" spans="5:5" x14ac:dyDescent="0.4">
      <c r="E2473"/>
    </row>
    <row r="2474" spans="5:5" x14ac:dyDescent="0.4">
      <c r="E2474"/>
    </row>
    <row r="2475" spans="5:5" x14ac:dyDescent="0.4">
      <c r="E2475"/>
    </row>
    <row r="2476" spans="5:5" x14ac:dyDescent="0.4">
      <c r="E2476"/>
    </row>
    <row r="2477" spans="5:5" x14ac:dyDescent="0.4">
      <c r="E2477"/>
    </row>
    <row r="2478" spans="5:5" x14ac:dyDescent="0.4">
      <c r="E2478"/>
    </row>
    <row r="2479" spans="5:5" x14ac:dyDescent="0.4">
      <c r="E2479"/>
    </row>
    <row r="2480" spans="5:5" x14ac:dyDescent="0.4">
      <c r="E2480"/>
    </row>
    <row r="2481" spans="5:5" x14ac:dyDescent="0.4">
      <c r="E2481"/>
    </row>
    <row r="2482" spans="5:5" x14ac:dyDescent="0.4">
      <c r="E2482"/>
    </row>
    <row r="2483" spans="5:5" x14ac:dyDescent="0.4">
      <c r="E2483"/>
    </row>
    <row r="2484" spans="5:5" x14ac:dyDescent="0.4">
      <c r="E2484"/>
    </row>
    <row r="2485" spans="5:5" x14ac:dyDescent="0.4">
      <c r="E2485"/>
    </row>
    <row r="2486" spans="5:5" x14ac:dyDescent="0.4">
      <c r="E2486"/>
    </row>
    <row r="2487" spans="5:5" x14ac:dyDescent="0.4">
      <c r="E2487"/>
    </row>
    <row r="2488" spans="5:5" x14ac:dyDescent="0.4">
      <c r="E2488"/>
    </row>
    <row r="2489" spans="5:5" x14ac:dyDescent="0.4">
      <c r="E2489"/>
    </row>
    <row r="2490" spans="5:5" x14ac:dyDescent="0.4">
      <c r="E2490"/>
    </row>
    <row r="2491" spans="5:5" x14ac:dyDescent="0.4">
      <c r="E2491"/>
    </row>
    <row r="2492" spans="5:5" x14ac:dyDescent="0.4">
      <c r="E2492"/>
    </row>
    <row r="2493" spans="5:5" x14ac:dyDescent="0.4">
      <c r="E2493"/>
    </row>
    <row r="2494" spans="5:5" x14ac:dyDescent="0.4">
      <c r="E2494"/>
    </row>
    <row r="2495" spans="5:5" x14ac:dyDescent="0.4">
      <c r="E2495"/>
    </row>
    <row r="2496" spans="5:5" x14ac:dyDescent="0.4">
      <c r="E2496"/>
    </row>
    <row r="2497" spans="5:5" x14ac:dyDescent="0.4">
      <c r="E2497"/>
    </row>
    <row r="2498" spans="5:5" x14ac:dyDescent="0.4">
      <c r="E2498"/>
    </row>
    <row r="2499" spans="5:5" x14ac:dyDescent="0.4">
      <c r="E2499"/>
    </row>
    <row r="2500" spans="5:5" x14ac:dyDescent="0.4">
      <c r="E2500"/>
    </row>
    <row r="2501" spans="5:5" x14ac:dyDescent="0.4">
      <c r="E2501"/>
    </row>
    <row r="2502" spans="5:5" x14ac:dyDescent="0.4">
      <c r="E2502"/>
    </row>
    <row r="2503" spans="5:5" x14ac:dyDescent="0.4">
      <c r="E2503"/>
    </row>
    <row r="2504" spans="5:5" x14ac:dyDescent="0.4">
      <c r="E2504"/>
    </row>
    <row r="2505" spans="5:5" x14ac:dyDescent="0.4">
      <c r="E2505"/>
    </row>
    <row r="2506" spans="5:5" x14ac:dyDescent="0.4">
      <c r="E2506"/>
    </row>
    <row r="2507" spans="5:5" x14ac:dyDescent="0.4">
      <c r="E2507"/>
    </row>
    <row r="2508" spans="5:5" x14ac:dyDescent="0.4">
      <c r="E2508"/>
    </row>
    <row r="2509" spans="5:5" x14ac:dyDescent="0.4">
      <c r="E2509"/>
    </row>
    <row r="2510" spans="5:5" x14ac:dyDescent="0.4">
      <c r="E2510"/>
    </row>
    <row r="2511" spans="5:5" x14ac:dyDescent="0.4">
      <c r="E2511"/>
    </row>
    <row r="2512" spans="5:5" x14ac:dyDescent="0.4">
      <c r="E2512"/>
    </row>
    <row r="2513" spans="5:5" x14ac:dyDescent="0.4">
      <c r="E2513"/>
    </row>
    <row r="2514" spans="5:5" x14ac:dyDescent="0.4">
      <c r="E2514"/>
    </row>
    <row r="2515" spans="5:5" x14ac:dyDescent="0.4">
      <c r="E2515"/>
    </row>
    <row r="2516" spans="5:5" x14ac:dyDescent="0.4">
      <c r="E2516"/>
    </row>
    <row r="2517" spans="5:5" x14ac:dyDescent="0.4">
      <c r="E2517"/>
    </row>
    <row r="2518" spans="5:5" x14ac:dyDescent="0.4">
      <c r="E2518"/>
    </row>
    <row r="2519" spans="5:5" x14ac:dyDescent="0.4">
      <c r="E2519"/>
    </row>
    <row r="2520" spans="5:5" x14ac:dyDescent="0.4">
      <c r="E2520"/>
    </row>
    <row r="2521" spans="5:5" x14ac:dyDescent="0.4">
      <c r="E2521"/>
    </row>
    <row r="2522" spans="5:5" x14ac:dyDescent="0.4">
      <c r="E2522"/>
    </row>
    <row r="2523" spans="5:5" x14ac:dyDescent="0.4">
      <c r="E2523"/>
    </row>
    <row r="2524" spans="5:5" x14ac:dyDescent="0.4">
      <c r="E2524"/>
    </row>
    <row r="2525" spans="5:5" x14ac:dyDescent="0.4">
      <c r="E2525"/>
    </row>
    <row r="2526" spans="5:5" x14ac:dyDescent="0.4">
      <c r="E2526"/>
    </row>
    <row r="2527" spans="5:5" x14ac:dyDescent="0.4">
      <c r="E2527"/>
    </row>
    <row r="2528" spans="5:5" x14ac:dyDescent="0.4">
      <c r="E2528"/>
    </row>
    <row r="2529" spans="5:5" x14ac:dyDescent="0.4">
      <c r="E2529"/>
    </row>
    <row r="2530" spans="5:5" x14ac:dyDescent="0.4">
      <c r="E2530"/>
    </row>
    <row r="2531" spans="5:5" x14ac:dyDescent="0.4">
      <c r="E2531"/>
    </row>
    <row r="2532" spans="5:5" x14ac:dyDescent="0.4">
      <c r="E2532"/>
    </row>
    <row r="2533" spans="5:5" x14ac:dyDescent="0.4">
      <c r="E2533"/>
    </row>
    <row r="2534" spans="5:5" x14ac:dyDescent="0.4">
      <c r="E2534"/>
    </row>
    <row r="2535" spans="5:5" x14ac:dyDescent="0.4">
      <c r="E2535"/>
    </row>
    <row r="2536" spans="5:5" x14ac:dyDescent="0.4">
      <c r="E2536"/>
    </row>
    <row r="2537" spans="5:5" x14ac:dyDescent="0.4">
      <c r="E2537"/>
    </row>
    <row r="2538" spans="5:5" x14ac:dyDescent="0.4">
      <c r="E2538"/>
    </row>
    <row r="2539" spans="5:5" x14ac:dyDescent="0.4">
      <c r="E2539"/>
    </row>
    <row r="2540" spans="5:5" x14ac:dyDescent="0.4">
      <c r="E2540"/>
    </row>
    <row r="2541" spans="5:5" x14ac:dyDescent="0.4">
      <c r="E2541"/>
    </row>
    <row r="2542" spans="5:5" x14ac:dyDescent="0.4">
      <c r="E2542"/>
    </row>
    <row r="2543" spans="5:5" x14ac:dyDescent="0.4">
      <c r="E2543"/>
    </row>
    <row r="2544" spans="5:5" x14ac:dyDescent="0.4">
      <c r="E2544"/>
    </row>
    <row r="2545" spans="5:5" x14ac:dyDescent="0.4">
      <c r="E2545"/>
    </row>
    <row r="2546" spans="5:5" x14ac:dyDescent="0.4">
      <c r="E2546"/>
    </row>
    <row r="2547" spans="5:5" x14ac:dyDescent="0.4">
      <c r="E2547"/>
    </row>
    <row r="2548" spans="5:5" x14ac:dyDescent="0.4">
      <c r="E2548"/>
    </row>
    <row r="2549" spans="5:5" x14ac:dyDescent="0.4">
      <c r="E2549"/>
    </row>
    <row r="2550" spans="5:5" x14ac:dyDescent="0.4">
      <c r="E2550"/>
    </row>
    <row r="2551" spans="5:5" x14ac:dyDescent="0.4">
      <c r="E2551"/>
    </row>
    <row r="2552" spans="5:5" x14ac:dyDescent="0.4">
      <c r="E2552"/>
    </row>
    <row r="2553" spans="5:5" x14ac:dyDescent="0.4">
      <c r="E2553"/>
    </row>
    <row r="2554" spans="5:5" x14ac:dyDescent="0.4">
      <c r="E2554"/>
    </row>
    <row r="2555" spans="5:5" x14ac:dyDescent="0.4">
      <c r="E2555"/>
    </row>
    <row r="2556" spans="5:5" x14ac:dyDescent="0.4">
      <c r="E2556"/>
    </row>
    <row r="2557" spans="5:5" x14ac:dyDescent="0.4">
      <c r="E2557"/>
    </row>
    <row r="2558" spans="5:5" x14ac:dyDescent="0.4">
      <c r="E2558"/>
    </row>
    <row r="2559" spans="5:5" x14ac:dyDescent="0.4">
      <c r="E2559"/>
    </row>
    <row r="2560" spans="5:5" x14ac:dyDescent="0.4">
      <c r="E2560"/>
    </row>
    <row r="2561" spans="5:5" x14ac:dyDescent="0.4">
      <c r="E2561"/>
    </row>
    <row r="2562" spans="5:5" x14ac:dyDescent="0.4">
      <c r="E2562"/>
    </row>
    <row r="2563" spans="5:5" x14ac:dyDescent="0.4">
      <c r="E2563"/>
    </row>
    <row r="2564" spans="5:5" x14ac:dyDescent="0.4">
      <c r="E2564"/>
    </row>
    <row r="2565" spans="5:5" x14ac:dyDescent="0.4">
      <c r="E2565"/>
    </row>
    <row r="2566" spans="5:5" x14ac:dyDescent="0.4">
      <c r="E2566"/>
    </row>
    <row r="2567" spans="5:5" x14ac:dyDescent="0.4">
      <c r="E2567"/>
    </row>
    <row r="2568" spans="5:5" x14ac:dyDescent="0.4">
      <c r="E2568"/>
    </row>
    <row r="2569" spans="5:5" x14ac:dyDescent="0.4">
      <c r="E2569"/>
    </row>
    <row r="2570" spans="5:5" x14ac:dyDescent="0.4">
      <c r="E2570"/>
    </row>
    <row r="2571" spans="5:5" x14ac:dyDescent="0.4">
      <c r="E2571"/>
    </row>
    <row r="2572" spans="5:5" x14ac:dyDescent="0.4">
      <c r="E2572"/>
    </row>
    <row r="2573" spans="5:5" x14ac:dyDescent="0.4">
      <c r="E2573"/>
    </row>
    <row r="2574" spans="5:5" x14ac:dyDescent="0.4">
      <c r="E2574"/>
    </row>
    <row r="2575" spans="5:5" x14ac:dyDescent="0.4">
      <c r="E2575"/>
    </row>
    <row r="2576" spans="5:5" x14ac:dyDescent="0.4">
      <c r="E2576"/>
    </row>
    <row r="2577" spans="5:5" x14ac:dyDescent="0.4">
      <c r="E2577"/>
    </row>
    <row r="2578" spans="5:5" x14ac:dyDescent="0.4">
      <c r="E2578"/>
    </row>
    <row r="2579" spans="5:5" x14ac:dyDescent="0.4">
      <c r="E2579"/>
    </row>
    <row r="2580" spans="5:5" x14ac:dyDescent="0.4">
      <c r="E2580"/>
    </row>
    <row r="2581" spans="5:5" x14ac:dyDescent="0.4">
      <c r="E2581"/>
    </row>
    <row r="2582" spans="5:5" x14ac:dyDescent="0.4">
      <c r="E2582"/>
    </row>
    <row r="2583" spans="5:5" x14ac:dyDescent="0.4">
      <c r="E2583"/>
    </row>
    <row r="2584" spans="5:5" x14ac:dyDescent="0.4">
      <c r="E2584"/>
    </row>
    <row r="2585" spans="5:5" x14ac:dyDescent="0.4">
      <c r="E2585"/>
    </row>
    <row r="2586" spans="5:5" x14ac:dyDescent="0.4">
      <c r="E2586"/>
    </row>
    <row r="2587" spans="5:5" x14ac:dyDescent="0.4">
      <c r="E2587"/>
    </row>
    <row r="2588" spans="5:5" x14ac:dyDescent="0.4">
      <c r="E2588"/>
    </row>
    <row r="2589" spans="5:5" x14ac:dyDescent="0.4">
      <c r="E2589"/>
    </row>
    <row r="2590" spans="5:5" x14ac:dyDescent="0.4">
      <c r="E2590"/>
    </row>
    <row r="2591" spans="5:5" x14ac:dyDescent="0.4">
      <c r="E2591"/>
    </row>
    <row r="2592" spans="5:5" x14ac:dyDescent="0.4">
      <c r="E2592"/>
    </row>
    <row r="2593" spans="5:5" x14ac:dyDescent="0.4">
      <c r="E2593"/>
    </row>
    <row r="2594" spans="5:5" x14ac:dyDescent="0.4">
      <c r="E2594"/>
    </row>
    <row r="2595" spans="5:5" x14ac:dyDescent="0.4">
      <c r="E2595"/>
    </row>
    <row r="2596" spans="5:5" x14ac:dyDescent="0.4">
      <c r="E2596"/>
    </row>
    <row r="2597" spans="5:5" x14ac:dyDescent="0.4">
      <c r="E2597"/>
    </row>
    <row r="2598" spans="5:5" x14ac:dyDescent="0.4">
      <c r="E2598"/>
    </row>
    <row r="2599" spans="5:5" x14ac:dyDescent="0.4">
      <c r="E2599"/>
    </row>
    <row r="2600" spans="5:5" x14ac:dyDescent="0.4">
      <c r="E2600"/>
    </row>
    <row r="2601" spans="5:5" x14ac:dyDescent="0.4">
      <c r="E2601"/>
    </row>
    <row r="2602" spans="5:5" x14ac:dyDescent="0.4">
      <c r="E2602"/>
    </row>
    <row r="2603" spans="5:5" x14ac:dyDescent="0.4">
      <c r="E2603"/>
    </row>
    <row r="2604" spans="5:5" x14ac:dyDescent="0.4">
      <c r="E2604"/>
    </row>
    <row r="2605" spans="5:5" x14ac:dyDescent="0.4">
      <c r="E2605"/>
    </row>
    <row r="2606" spans="5:5" x14ac:dyDescent="0.4">
      <c r="E2606"/>
    </row>
    <row r="2607" spans="5:5" x14ac:dyDescent="0.4">
      <c r="E2607"/>
    </row>
    <row r="2608" spans="5:5" x14ac:dyDescent="0.4">
      <c r="E2608"/>
    </row>
    <row r="2609" spans="5:5" x14ac:dyDescent="0.4">
      <c r="E2609"/>
    </row>
    <row r="2610" spans="5:5" x14ac:dyDescent="0.4">
      <c r="E2610"/>
    </row>
    <row r="2611" spans="5:5" x14ac:dyDescent="0.4">
      <c r="E2611"/>
    </row>
    <row r="2612" spans="5:5" x14ac:dyDescent="0.4">
      <c r="E2612"/>
    </row>
    <row r="2613" spans="5:5" x14ac:dyDescent="0.4">
      <c r="E2613"/>
    </row>
    <row r="2614" spans="5:5" x14ac:dyDescent="0.4">
      <c r="E2614"/>
    </row>
    <row r="2615" spans="5:5" x14ac:dyDescent="0.4">
      <c r="E2615"/>
    </row>
    <row r="2616" spans="5:5" x14ac:dyDescent="0.4">
      <c r="E2616"/>
    </row>
    <row r="2617" spans="5:5" x14ac:dyDescent="0.4">
      <c r="E2617"/>
    </row>
    <row r="2618" spans="5:5" x14ac:dyDescent="0.4">
      <c r="E2618"/>
    </row>
    <row r="2619" spans="5:5" x14ac:dyDescent="0.4">
      <c r="E2619"/>
    </row>
    <row r="2620" spans="5:5" x14ac:dyDescent="0.4">
      <c r="E2620"/>
    </row>
    <row r="2621" spans="5:5" x14ac:dyDescent="0.4">
      <c r="E2621"/>
    </row>
    <row r="2622" spans="5:5" x14ac:dyDescent="0.4">
      <c r="E2622"/>
    </row>
    <row r="2623" spans="5:5" x14ac:dyDescent="0.4">
      <c r="E2623"/>
    </row>
    <row r="2624" spans="5:5" x14ac:dyDescent="0.4">
      <c r="E2624"/>
    </row>
    <row r="2625" spans="5:5" x14ac:dyDescent="0.4">
      <c r="E2625"/>
    </row>
    <row r="2626" spans="5:5" x14ac:dyDescent="0.4">
      <c r="E2626"/>
    </row>
    <row r="2627" spans="5:5" x14ac:dyDescent="0.4">
      <c r="E2627"/>
    </row>
    <row r="2628" spans="5:5" x14ac:dyDescent="0.4">
      <c r="E2628"/>
    </row>
    <row r="2629" spans="5:5" x14ac:dyDescent="0.4">
      <c r="E2629"/>
    </row>
    <row r="2630" spans="5:5" x14ac:dyDescent="0.4">
      <c r="E2630"/>
    </row>
    <row r="2631" spans="5:5" x14ac:dyDescent="0.4">
      <c r="E2631"/>
    </row>
    <row r="2632" spans="5:5" x14ac:dyDescent="0.4">
      <c r="E2632"/>
    </row>
    <row r="2633" spans="5:5" x14ac:dyDescent="0.4">
      <c r="E2633"/>
    </row>
    <row r="2634" spans="5:5" x14ac:dyDescent="0.4">
      <c r="E2634"/>
    </row>
    <row r="2635" spans="5:5" x14ac:dyDescent="0.4">
      <c r="E2635"/>
    </row>
    <row r="2636" spans="5:5" x14ac:dyDescent="0.4">
      <c r="E2636"/>
    </row>
    <row r="2637" spans="5:5" x14ac:dyDescent="0.4">
      <c r="E2637"/>
    </row>
    <row r="2638" spans="5:5" x14ac:dyDescent="0.4">
      <c r="E2638"/>
    </row>
    <row r="2639" spans="5:5" x14ac:dyDescent="0.4">
      <c r="E2639"/>
    </row>
    <row r="2640" spans="5:5" x14ac:dyDescent="0.4">
      <c r="E2640"/>
    </row>
    <row r="2641" spans="5:5" x14ac:dyDescent="0.4">
      <c r="E2641"/>
    </row>
    <row r="2642" spans="5:5" x14ac:dyDescent="0.4">
      <c r="E2642"/>
    </row>
    <row r="2643" spans="5:5" x14ac:dyDescent="0.4">
      <c r="E2643"/>
    </row>
    <row r="2644" spans="5:5" x14ac:dyDescent="0.4">
      <c r="E2644"/>
    </row>
    <row r="2645" spans="5:5" x14ac:dyDescent="0.4">
      <c r="E2645"/>
    </row>
    <row r="2646" spans="5:5" x14ac:dyDescent="0.4">
      <c r="E2646"/>
    </row>
    <row r="2647" spans="5:5" x14ac:dyDescent="0.4">
      <c r="E2647"/>
    </row>
    <row r="2648" spans="5:5" x14ac:dyDescent="0.4">
      <c r="E2648"/>
    </row>
    <row r="2649" spans="5:5" x14ac:dyDescent="0.4">
      <c r="E2649"/>
    </row>
    <row r="2650" spans="5:5" x14ac:dyDescent="0.4">
      <c r="E2650"/>
    </row>
    <row r="2651" spans="5:5" x14ac:dyDescent="0.4">
      <c r="E2651"/>
    </row>
    <row r="2652" spans="5:5" x14ac:dyDescent="0.4">
      <c r="E2652"/>
    </row>
    <row r="2653" spans="5:5" x14ac:dyDescent="0.4">
      <c r="E2653"/>
    </row>
    <row r="2654" spans="5:5" x14ac:dyDescent="0.4">
      <c r="E2654"/>
    </row>
    <row r="2655" spans="5:5" x14ac:dyDescent="0.4">
      <c r="E2655"/>
    </row>
    <row r="2656" spans="5:5" x14ac:dyDescent="0.4">
      <c r="E2656"/>
    </row>
    <row r="2657" spans="5:5" x14ac:dyDescent="0.4">
      <c r="E2657"/>
    </row>
    <row r="2658" spans="5:5" x14ac:dyDescent="0.4">
      <c r="E2658"/>
    </row>
    <row r="2659" spans="5:5" x14ac:dyDescent="0.4">
      <c r="E2659"/>
    </row>
    <row r="2660" spans="5:5" x14ac:dyDescent="0.4">
      <c r="E2660"/>
    </row>
    <row r="2661" spans="5:5" x14ac:dyDescent="0.4">
      <c r="E2661"/>
    </row>
    <row r="2662" spans="5:5" x14ac:dyDescent="0.4">
      <c r="E2662"/>
    </row>
    <row r="2663" spans="5:5" x14ac:dyDescent="0.4">
      <c r="E2663"/>
    </row>
    <row r="2664" spans="5:5" x14ac:dyDescent="0.4">
      <c r="E2664"/>
    </row>
    <row r="2665" spans="5:5" x14ac:dyDescent="0.4">
      <c r="E2665"/>
    </row>
    <row r="2666" spans="5:5" x14ac:dyDescent="0.4">
      <c r="E2666"/>
    </row>
    <row r="2667" spans="5:5" x14ac:dyDescent="0.4">
      <c r="E2667"/>
    </row>
    <row r="2668" spans="5:5" x14ac:dyDescent="0.4">
      <c r="E2668"/>
    </row>
    <row r="2669" spans="5:5" x14ac:dyDescent="0.4">
      <c r="E2669"/>
    </row>
    <row r="2670" spans="5:5" x14ac:dyDescent="0.4">
      <c r="E2670"/>
    </row>
    <row r="2671" spans="5:5" x14ac:dyDescent="0.4">
      <c r="E2671"/>
    </row>
    <row r="2672" spans="5:5" x14ac:dyDescent="0.4">
      <c r="E2672"/>
    </row>
    <row r="2673" spans="5:5" x14ac:dyDescent="0.4">
      <c r="E2673"/>
    </row>
    <row r="2674" spans="5:5" x14ac:dyDescent="0.4">
      <c r="E2674"/>
    </row>
    <row r="2675" spans="5:5" x14ac:dyDescent="0.4">
      <c r="E2675"/>
    </row>
    <row r="2676" spans="5:5" x14ac:dyDescent="0.4">
      <c r="E2676"/>
    </row>
    <row r="2677" spans="5:5" x14ac:dyDescent="0.4">
      <c r="E2677"/>
    </row>
    <row r="2678" spans="5:5" x14ac:dyDescent="0.4">
      <c r="E2678"/>
    </row>
    <row r="2679" spans="5:5" x14ac:dyDescent="0.4">
      <c r="E2679"/>
    </row>
    <row r="2680" spans="5:5" x14ac:dyDescent="0.4">
      <c r="E2680"/>
    </row>
    <row r="2681" spans="5:5" x14ac:dyDescent="0.4">
      <c r="E2681"/>
    </row>
    <row r="2682" spans="5:5" x14ac:dyDescent="0.4">
      <c r="E2682"/>
    </row>
    <row r="2683" spans="5:5" x14ac:dyDescent="0.4">
      <c r="E2683"/>
    </row>
    <row r="2684" spans="5:5" x14ac:dyDescent="0.4">
      <c r="E2684"/>
    </row>
    <row r="2685" spans="5:5" x14ac:dyDescent="0.4">
      <c r="E2685"/>
    </row>
    <row r="2686" spans="5:5" x14ac:dyDescent="0.4">
      <c r="E2686"/>
    </row>
    <row r="2687" spans="5:5" x14ac:dyDescent="0.4">
      <c r="E2687"/>
    </row>
    <row r="2688" spans="5:5" x14ac:dyDescent="0.4">
      <c r="E2688"/>
    </row>
    <row r="2689" spans="5:5" x14ac:dyDescent="0.4">
      <c r="E2689"/>
    </row>
    <row r="2690" spans="5:5" x14ac:dyDescent="0.4">
      <c r="E2690"/>
    </row>
    <row r="2691" spans="5:5" x14ac:dyDescent="0.4">
      <c r="E2691"/>
    </row>
    <row r="2692" spans="5:5" x14ac:dyDescent="0.4">
      <c r="E2692"/>
    </row>
    <row r="2693" spans="5:5" x14ac:dyDescent="0.4">
      <c r="E2693"/>
    </row>
    <row r="2694" spans="5:5" x14ac:dyDescent="0.4">
      <c r="E2694"/>
    </row>
    <row r="2695" spans="5:5" x14ac:dyDescent="0.4">
      <c r="E2695"/>
    </row>
    <row r="2696" spans="5:5" x14ac:dyDescent="0.4">
      <c r="E2696"/>
    </row>
    <row r="2697" spans="5:5" x14ac:dyDescent="0.4">
      <c r="E2697"/>
    </row>
    <row r="2698" spans="5:5" x14ac:dyDescent="0.4">
      <c r="E2698"/>
    </row>
    <row r="2699" spans="5:5" x14ac:dyDescent="0.4">
      <c r="E2699"/>
    </row>
    <row r="2700" spans="5:5" x14ac:dyDescent="0.4">
      <c r="E2700"/>
    </row>
    <row r="2701" spans="5:5" x14ac:dyDescent="0.4">
      <c r="E2701"/>
    </row>
    <row r="2702" spans="5:5" x14ac:dyDescent="0.4">
      <c r="E2702"/>
    </row>
    <row r="2703" spans="5:5" x14ac:dyDescent="0.4">
      <c r="E2703"/>
    </row>
    <row r="2704" spans="5:5" x14ac:dyDescent="0.4">
      <c r="E2704"/>
    </row>
    <row r="2705" spans="5:5" x14ac:dyDescent="0.4">
      <c r="E2705"/>
    </row>
    <row r="2706" spans="5:5" x14ac:dyDescent="0.4">
      <c r="E2706"/>
    </row>
    <row r="2707" spans="5:5" x14ac:dyDescent="0.4">
      <c r="E2707"/>
    </row>
    <row r="2708" spans="5:5" x14ac:dyDescent="0.4">
      <c r="E2708"/>
    </row>
    <row r="2709" spans="5:5" x14ac:dyDescent="0.4">
      <c r="E2709"/>
    </row>
    <row r="2710" spans="5:5" x14ac:dyDescent="0.4">
      <c r="E2710"/>
    </row>
    <row r="2711" spans="5:5" x14ac:dyDescent="0.4">
      <c r="E2711"/>
    </row>
    <row r="2712" spans="5:5" x14ac:dyDescent="0.4">
      <c r="E2712"/>
    </row>
    <row r="2713" spans="5:5" x14ac:dyDescent="0.4">
      <c r="E2713"/>
    </row>
    <row r="2714" spans="5:5" x14ac:dyDescent="0.4">
      <c r="E2714"/>
    </row>
    <row r="2715" spans="5:5" x14ac:dyDescent="0.4">
      <c r="E2715"/>
    </row>
    <row r="2716" spans="5:5" x14ac:dyDescent="0.4">
      <c r="E2716"/>
    </row>
    <row r="2717" spans="5:5" x14ac:dyDescent="0.4">
      <c r="E2717"/>
    </row>
    <row r="2718" spans="5:5" x14ac:dyDescent="0.4">
      <c r="E2718"/>
    </row>
    <row r="2719" spans="5:5" x14ac:dyDescent="0.4">
      <c r="E2719"/>
    </row>
    <row r="2720" spans="5:5" x14ac:dyDescent="0.4">
      <c r="E2720"/>
    </row>
    <row r="2721" spans="5:5" x14ac:dyDescent="0.4">
      <c r="E2721"/>
    </row>
    <row r="2722" spans="5:5" x14ac:dyDescent="0.4">
      <c r="E2722"/>
    </row>
    <row r="2723" spans="5:5" x14ac:dyDescent="0.4">
      <c r="E2723"/>
    </row>
    <row r="2724" spans="5:5" x14ac:dyDescent="0.4">
      <c r="E2724"/>
    </row>
    <row r="2725" spans="5:5" x14ac:dyDescent="0.4">
      <c r="E2725"/>
    </row>
    <row r="2726" spans="5:5" x14ac:dyDescent="0.4">
      <c r="E2726"/>
    </row>
    <row r="2727" spans="5:5" x14ac:dyDescent="0.4">
      <c r="E2727"/>
    </row>
    <row r="2728" spans="5:5" x14ac:dyDescent="0.4">
      <c r="E2728"/>
    </row>
    <row r="2729" spans="5:5" x14ac:dyDescent="0.4">
      <c r="E2729"/>
    </row>
    <row r="2730" spans="5:5" x14ac:dyDescent="0.4">
      <c r="E2730"/>
    </row>
    <row r="2731" spans="5:5" x14ac:dyDescent="0.4">
      <c r="E2731"/>
    </row>
    <row r="2732" spans="5:5" x14ac:dyDescent="0.4">
      <c r="E2732"/>
    </row>
    <row r="2733" spans="5:5" x14ac:dyDescent="0.4">
      <c r="E2733"/>
    </row>
    <row r="2734" spans="5:5" x14ac:dyDescent="0.4">
      <c r="E2734"/>
    </row>
    <row r="2735" spans="5:5" x14ac:dyDescent="0.4">
      <c r="E2735"/>
    </row>
    <row r="2736" spans="5:5" x14ac:dyDescent="0.4">
      <c r="E2736"/>
    </row>
    <row r="2737" spans="5:5" x14ac:dyDescent="0.4">
      <c r="E2737"/>
    </row>
    <row r="2738" spans="5:5" x14ac:dyDescent="0.4">
      <c r="E2738"/>
    </row>
    <row r="2739" spans="5:5" x14ac:dyDescent="0.4">
      <c r="E2739"/>
    </row>
    <row r="2740" spans="5:5" x14ac:dyDescent="0.4">
      <c r="E2740"/>
    </row>
    <row r="2741" spans="5:5" x14ac:dyDescent="0.4">
      <c r="E2741"/>
    </row>
    <row r="2742" spans="5:5" x14ac:dyDescent="0.4">
      <c r="E2742"/>
    </row>
    <row r="2743" spans="5:5" x14ac:dyDescent="0.4">
      <c r="E2743"/>
    </row>
    <row r="2744" spans="5:5" x14ac:dyDescent="0.4">
      <c r="E2744"/>
    </row>
    <row r="2745" spans="5:5" x14ac:dyDescent="0.4">
      <c r="E2745"/>
    </row>
    <row r="2746" spans="5:5" x14ac:dyDescent="0.4">
      <c r="E2746"/>
    </row>
    <row r="2747" spans="5:5" x14ac:dyDescent="0.4">
      <c r="E2747"/>
    </row>
    <row r="2748" spans="5:5" x14ac:dyDescent="0.4">
      <c r="E2748"/>
    </row>
    <row r="2749" spans="5:5" x14ac:dyDescent="0.4">
      <c r="E2749"/>
    </row>
    <row r="2750" spans="5:5" x14ac:dyDescent="0.4">
      <c r="E2750"/>
    </row>
    <row r="2751" spans="5:5" x14ac:dyDescent="0.4">
      <c r="E2751"/>
    </row>
    <row r="2752" spans="5:5" x14ac:dyDescent="0.4">
      <c r="E2752"/>
    </row>
    <row r="2753" spans="5:5" x14ac:dyDescent="0.4">
      <c r="E2753"/>
    </row>
    <row r="2754" spans="5:5" x14ac:dyDescent="0.4">
      <c r="E2754"/>
    </row>
    <row r="2755" spans="5:5" x14ac:dyDescent="0.4">
      <c r="E2755"/>
    </row>
    <row r="2756" spans="5:5" x14ac:dyDescent="0.4">
      <c r="E2756"/>
    </row>
    <row r="2757" spans="5:5" x14ac:dyDescent="0.4">
      <c r="E2757"/>
    </row>
    <row r="2758" spans="5:5" x14ac:dyDescent="0.4">
      <c r="E2758"/>
    </row>
    <row r="2759" spans="5:5" x14ac:dyDescent="0.4">
      <c r="E2759"/>
    </row>
    <row r="2760" spans="5:5" x14ac:dyDescent="0.4">
      <c r="E2760"/>
    </row>
    <row r="2761" spans="5:5" x14ac:dyDescent="0.4">
      <c r="E2761"/>
    </row>
    <row r="2762" spans="5:5" x14ac:dyDescent="0.4">
      <c r="E2762"/>
    </row>
    <row r="2763" spans="5:5" x14ac:dyDescent="0.4">
      <c r="E2763"/>
    </row>
    <row r="2764" spans="5:5" x14ac:dyDescent="0.4">
      <c r="E2764"/>
    </row>
    <row r="2765" spans="5:5" x14ac:dyDescent="0.4">
      <c r="E2765"/>
    </row>
    <row r="2766" spans="5:5" x14ac:dyDescent="0.4">
      <c r="E2766"/>
    </row>
    <row r="2767" spans="5:5" x14ac:dyDescent="0.4">
      <c r="E2767"/>
    </row>
    <row r="2768" spans="5:5" x14ac:dyDescent="0.4">
      <c r="E2768"/>
    </row>
    <row r="2769" spans="5:5" x14ac:dyDescent="0.4">
      <c r="E2769"/>
    </row>
    <row r="2770" spans="5:5" x14ac:dyDescent="0.4">
      <c r="E2770"/>
    </row>
    <row r="2771" spans="5:5" x14ac:dyDescent="0.4">
      <c r="E2771"/>
    </row>
    <row r="2772" spans="5:5" x14ac:dyDescent="0.4">
      <c r="E2772"/>
    </row>
    <row r="2773" spans="5:5" x14ac:dyDescent="0.4">
      <c r="E2773"/>
    </row>
    <row r="2774" spans="5:5" x14ac:dyDescent="0.4">
      <c r="E2774"/>
    </row>
    <row r="2775" spans="5:5" x14ac:dyDescent="0.4">
      <c r="E2775"/>
    </row>
    <row r="2776" spans="5:5" x14ac:dyDescent="0.4">
      <c r="E2776"/>
    </row>
    <row r="2777" spans="5:5" x14ac:dyDescent="0.4">
      <c r="E2777"/>
    </row>
    <row r="2778" spans="5:5" x14ac:dyDescent="0.4">
      <c r="E2778"/>
    </row>
    <row r="2779" spans="5:5" x14ac:dyDescent="0.4">
      <c r="E2779"/>
    </row>
    <row r="2780" spans="5:5" x14ac:dyDescent="0.4">
      <c r="E2780"/>
    </row>
    <row r="2781" spans="5:5" x14ac:dyDescent="0.4">
      <c r="E2781"/>
    </row>
    <row r="2782" spans="5:5" x14ac:dyDescent="0.4">
      <c r="E2782"/>
    </row>
    <row r="2783" spans="5:5" x14ac:dyDescent="0.4">
      <c r="E2783"/>
    </row>
    <row r="2784" spans="5:5" x14ac:dyDescent="0.4">
      <c r="E2784"/>
    </row>
    <row r="2785" spans="5:5" x14ac:dyDescent="0.4">
      <c r="E2785"/>
    </row>
    <row r="2786" spans="5:5" x14ac:dyDescent="0.4">
      <c r="E2786"/>
    </row>
    <row r="2787" spans="5:5" x14ac:dyDescent="0.4">
      <c r="E2787"/>
    </row>
    <row r="2788" spans="5:5" x14ac:dyDescent="0.4">
      <c r="E2788"/>
    </row>
    <row r="2789" spans="5:5" x14ac:dyDescent="0.4">
      <c r="E2789"/>
    </row>
    <row r="2790" spans="5:5" x14ac:dyDescent="0.4">
      <c r="E2790"/>
    </row>
    <row r="2791" spans="5:5" x14ac:dyDescent="0.4">
      <c r="E2791"/>
    </row>
    <row r="2792" spans="5:5" x14ac:dyDescent="0.4">
      <c r="E2792"/>
    </row>
    <row r="2793" spans="5:5" x14ac:dyDescent="0.4">
      <c r="E2793"/>
    </row>
    <row r="2794" spans="5:5" x14ac:dyDescent="0.4">
      <c r="E2794"/>
    </row>
    <row r="2795" spans="5:5" x14ac:dyDescent="0.4">
      <c r="E2795"/>
    </row>
    <row r="2796" spans="5:5" x14ac:dyDescent="0.4">
      <c r="E2796"/>
    </row>
    <row r="2797" spans="5:5" x14ac:dyDescent="0.4">
      <c r="E2797"/>
    </row>
    <row r="2798" spans="5:5" x14ac:dyDescent="0.4">
      <c r="E2798"/>
    </row>
    <row r="2799" spans="5:5" x14ac:dyDescent="0.4">
      <c r="E2799"/>
    </row>
    <row r="2800" spans="5:5" x14ac:dyDescent="0.4">
      <c r="E2800"/>
    </row>
    <row r="2801" spans="5:5" x14ac:dyDescent="0.4">
      <c r="E2801"/>
    </row>
    <row r="2802" spans="5:5" x14ac:dyDescent="0.4">
      <c r="E2802"/>
    </row>
    <row r="2803" spans="5:5" x14ac:dyDescent="0.4">
      <c r="E2803"/>
    </row>
    <row r="2804" spans="5:5" x14ac:dyDescent="0.4">
      <c r="E2804"/>
    </row>
    <row r="2805" spans="5:5" x14ac:dyDescent="0.4">
      <c r="E2805"/>
    </row>
    <row r="2806" spans="5:5" x14ac:dyDescent="0.4">
      <c r="E2806"/>
    </row>
    <row r="2807" spans="5:5" x14ac:dyDescent="0.4">
      <c r="E2807"/>
    </row>
    <row r="2808" spans="5:5" x14ac:dyDescent="0.4">
      <c r="E2808"/>
    </row>
    <row r="2809" spans="5:5" x14ac:dyDescent="0.4">
      <c r="E2809"/>
    </row>
    <row r="2810" spans="5:5" x14ac:dyDescent="0.4">
      <c r="E2810"/>
    </row>
    <row r="2811" spans="5:5" x14ac:dyDescent="0.4">
      <c r="E2811"/>
    </row>
    <row r="2812" spans="5:5" x14ac:dyDescent="0.4">
      <c r="E2812"/>
    </row>
    <row r="2813" spans="5:5" x14ac:dyDescent="0.4">
      <c r="E2813"/>
    </row>
    <row r="2814" spans="5:5" x14ac:dyDescent="0.4">
      <c r="E2814"/>
    </row>
    <row r="2815" spans="5:5" x14ac:dyDescent="0.4">
      <c r="E2815"/>
    </row>
    <row r="2816" spans="5:5" x14ac:dyDescent="0.4">
      <c r="E2816"/>
    </row>
    <row r="2817" spans="5:5" x14ac:dyDescent="0.4">
      <c r="E2817"/>
    </row>
    <row r="2818" spans="5:5" x14ac:dyDescent="0.4">
      <c r="E2818"/>
    </row>
    <row r="2819" spans="5:5" x14ac:dyDescent="0.4">
      <c r="E2819"/>
    </row>
    <row r="2820" spans="5:5" x14ac:dyDescent="0.4">
      <c r="E2820"/>
    </row>
    <row r="2821" spans="5:5" x14ac:dyDescent="0.4">
      <c r="E2821"/>
    </row>
    <row r="2822" spans="5:5" x14ac:dyDescent="0.4">
      <c r="E2822"/>
    </row>
    <row r="2823" spans="5:5" x14ac:dyDescent="0.4">
      <c r="E2823"/>
    </row>
    <row r="2824" spans="5:5" x14ac:dyDescent="0.4">
      <c r="E2824"/>
    </row>
    <row r="2825" spans="5:5" x14ac:dyDescent="0.4">
      <c r="E2825"/>
    </row>
    <row r="2826" spans="5:5" x14ac:dyDescent="0.4">
      <c r="E2826"/>
    </row>
    <row r="2827" spans="5:5" x14ac:dyDescent="0.4">
      <c r="E2827"/>
    </row>
    <row r="2828" spans="5:5" x14ac:dyDescent="0.4">
      <c r="E2828"/>
    </row>
    <row r="2829" spans="5:5" x14ac:dyDescent="0.4">
      <c r="E2829"/>
    </row>
    <row r="2830" spans="5:5" x14ac:dyDescent="0.4">
      <c r="E2830"/>
    </row>
    <row r="2831" spans="5:5" x14ac:dyDescent="0.4">
      <c r="E2831"/>
    </row>
    <row r="2832" spans="5:5" x14ac:dyDescent="0.4">
      <c r="E2832"/>
    </row>
    <row r="2833" spans="5:5" x14ac:dyDescent="0.4">
      <c r="E2833"/>
    </row>
    <row r="2834" spans="5:5" x14ac:dyDescent="0.4">
      <c r="E2834"/>
    </row>
    <row r="2835" spans="5:5" x14ac:dyDescent="0.4">
      <c r="E2835"/>
    </row>
    <row r="2836" spans="5:5" x14ac:dyDescent="0.4">
      <c r="E2836"/>
    </row>
    <row r="2837" spans="5:5" x14ac:dyDescent="0.4">
      <c r="E2837"/>
    </row>
    <row r="2838" spans="5:5" x14ac:dyDescent="0.4">
      <c r="E2838"/>
    </row>
    <row r="2839" spans="5:5" x14ac:dyDescent="0.4">
      <c r="E2839"/>
    </row>
    <row r="2840" spans="5:5" x14ac:dyDescent="0.4">
      <c r="E2840"/>
    </row>
    <row r="2841" spans="5:5" x14ac:dyDescent="0.4">
      <c r="E2841"/>
    </row>
    <row r="2842" spans="5:5" x14ac:dyDescent="0.4">
      <c r="E2842"/>
    </row>
    <row r="2843" spans="5:5" x14ac:dyDescent="0.4">
      <c r="E2843"/>
    </row>
    <row r="2844" spans="5:5" x14ac:dyDescent="0.4">
      <c r="E2844"/>
    </row>
    <row r="2845" spans="5:5" x14ac:dyDescent="0.4">
      <c r="E2845"/>
    </row>
    <row r="2846" spans="5:5" x14ac:dyDescent="0.4">
      <c r="E2846"/>
    </row>
    <row r="2847" spans="5:5" x14ac:dyDescent="0.4">
      <c r="E2847"/>
    </row>
    <row r="2848" spans="5:5" x14ac:dyDescent="0.4">
      <c r="E2848"/>
    </row>
    <row r="2849" spans="5:5" x14ac:dyDescent="0.4">
      <c r="E2849"/>
    </row>
    <row r="2850" spans="5:5" x14ac:dyDescent="0.4">
      <c r="E2850"/>
    </row>
    <row r="2851" spans="5:5" x14ac:dyDescent="0.4">
      <c r="E2851"/>
    </row>
    <row r="2852" spans="5:5" x14ac:dyDescent="0.4">
      <c r="E2852"/>
    </row>
    <row r="2853" spans="5:5" x14ac:dyDescent="0.4">
      <c r="E2853"/>
    </row>
    <row r="2854" spans="5:5" x14ac:dyDescent="0.4">
      <c r="E2854"/>
    </row>
    <row r="2855" spans="5:5" x14ac:dyDescent="0.4">
      <c r="E2855"/>
    </row>
    <row r="2856" spans="5:5" x14ac:dyDescent="0.4">
      <c r="E2856"/>
    </row>
    <row r="2857" spans="5:5" x14ac:dyDescent="0.4">
      <c r="E2857"/>
    </row>
    <row r="2858" spans="5:5" x14ac:dyDescent="0.4">
      <c r="E2858"/>
    </row>
    <row r="2859" spans="5:5" x14ac:dyDescent="0.4">
      <c r="E2859"/>
    </row>
    <row r="2860" spans="5:5" x14ac:dyDescent="0.4">
      <c r="E2860"/>
    </row>
    <row r="2861" spans="5:5" x14ac:dyDescent="0.4">
      <c r="E2861"/>
    </row>
    <row r="2862" spans="5:5" x14ac:dyDescent="0.4">
      <c r="E2862"/>
    </row>
    <row r="2863" spans="5:5" x14ac:dyDescent="0.4">
      <c r="E2863"/>
    </row>
    <row r="2864" spans="5:5" x14ac:dyDescent="0.4">
      <c r="E2864"/>
    </row>
    <row r="2865" spans="5:5" x14ac:dyDescent="0.4">
      <c r="E2865"/>
    </row>
    <row r="2866" spans="5:5" x14ac:dyDescent="0.4">
      <c r="E2866"/>
    </row>
    <row r="2867" spans="5:5" x14ac:dyDescent="0.4">
      <c r="E2867"/>
    </row>
    <row r="2868" spans="5:5" x14ac:dyDescent="0.4">
      <c r="E2868"/>
    </row>
    <row r="2869" spans="5:5" x14ac:dyDescent="0.4">
      <c r="E2869"/>
    </row>
    <row r="2870" spans="5:5" x14ac:dyDescent="0.4">
      <c r="E2870"/>
    </row>
    <row r="2871" spans="5:5" x14ac:dyDescent="0.4">
      <c r="E2871"/>
    </row>
    <row r="2872" spans="5:5" x14ac:dyDescent="0.4">
      <c r="E2872"/>
    </row>
    <row r="2873" spans="5:5" x14ac:dyDescent="0.4">
      <c r="E2873"/>
    </row>
    <row r="2874" spans="5:5" x14ac:dyDescent="0.4">
      <c r="E2874"/>
    </row>
    <row r="2875" spans="5:5" x14ac:dyDescent="0.4">
      <c r="E2875"/>
    </row>
    <row r="2876" spans="5:5" x14ac:dyDescent="0.4">
      <c r="E2876"/>
    </row>
    <row r="2877" spans="5:5" x14ac:dyDescent="0.4">
      <c r="E2877"/>
    </row>
    <row r="2878" spans="5:5" x14ac:dyDescent="0.4">
      <c r="E2878"/>
    </row>
    <row r="2879" spans="5:5" x14ac:dyDescent="0.4">
      <c r="E2879"/>
    </row>
    <row r="2880" spans="5:5" x14ac:dyDescent="0.4">
      <c r="E2880"/>
    </row>
    <row r="2881" spans="5:5" x14ac:dyDescent="0.4">
      <c r="E2881"/>
    </row>
    <row r="2882" spans="5:5" x14ac:dyDescent="0.4">
      <c r="E2882"/>
    </row>
    <row r="2883" spans="5:5" x14ac:dyDescent="0.4">
      <c r="E2883"/>
    </row>
    <row r="2884" spans="5:5" x14ac:dyDescent="0.4">
      <c r="E2884"/>
    </row>
    <row r="2885" spans="5:5" x14ac:dyDescent="0.4">
      <c r="E2885"/>
    </row>
    <row r="2886" spans="5:5" x14ac:dyDescent="0.4">
      <c r="E2886"/>
    </row>
    <row r="2887" spans="5:5" x14ac:dyDescent="0.4">
      <c r="E2887"/>
    </row>
    <row r="2888" spans="5:5" x14ac:dyDescent="0.4">
      <c r="E2888"/>
    </row>
    <row r="2889" spans="5:5" x14ac:dyDescent="0.4">
      <c r="E2889"/>
    </row>
    <row r="2890" spans="5:5" x14ac:dyDescent="0.4">
      <c r="E2890"/>
    </row>
    <row r="2891" spans="5:5" x14ac:dyDescent="0.4">
      <c r="E2891"/>
    </row>
    <row r="2892" spans="5:5" x14ac:dyDescent="0.4">
      <c r="E2892"/>
    </row>
    <row r="2893" spans="5:5" x14ac:dyDescent="0.4">
      <c r="E2893"/>
    </row>
    <row r="2894" spans="5:5" x14ac:dyDescent="0.4">
      <c r="E2894"/>
    </row>
    <row r="2895" spans="5:5" x14ac:dyDescent="0.4">
      <c r="E2895"/>
    </row>
    <row r="2896" spans="5:5" x14ac:dyDescent="0.4">
      <c r="E2896"/>
    </row>
    <row r="2897" spans="5:5" x14ac:dyDescent="0.4">
      <c r="E2897"/>
    </row>
    <row r="2898" spans="5:5" x14ac:dyDescent="0.4">
      <c r="E2898"/>
    </row>
    <row r="2899" spans="5:5" x14ac:dyDescent="0.4">
      <c r="E2899"/>
    </row>
    <row r="2900" spans="5:5" x14ac:dyDescent="0.4">
      <c r="E2900"/>
    </row>
    <row r="2901" spans="5:5" x14ac:dyDescent="0.4">
      <c r="E2901"/>
    </row>
    <row r="2902" spans="5:5" x14ac:dyDescent="0.4">
      <c r="E2902"/>
    </row>
    <row r="2903" spans="5:5" x14ac:dyDescent="0.4">
      <c r="E2903"/>
    </row>
    <row r="2904" spans="5:5" x14ac:dyDescent="0.4">
      <c r="E2904"/>
    </row>
    <row r="2905" spans="5:5" x14ac:dyDescent="0.4">
      <c r="E2905"/>
    </row>
    <row r="2906" spans="5:5" x14ac:dyDescent="0.4">
      <c r="E2906"/>
    </row>
    <row r="2907" spans="5:5" x14ac:dyDescent="0.4">
      <c r="E2907"/>
    </row>
    <row r="2908" spans="5:5" x14ac:dyDescent="0.4">
      <c r="E2908"/>
    </row>
    <row r="2909" spans="5:5" x14ac:dyDescent="0.4">
      <c r="E2909"/>
    </row>
    <row r="2910" spans="5:5" x14ac:dyDescent="0.4">
      <c r="E2910"/>
    </row>
    <row r="2911" spans="5:5" x14ac:dyDescent="0.4">
      <c r="E2911"/>
    </row>
    <row r="2912" spans="5:5" x14ac:dyDescent="0.4">
      <c r="E2912"/>
    </row>
    <row r="2913" spans="5:5" x14ac:dyDescent="0.4">
      <c r="E2913"/>
    </row>
    <row r="2914" spans="5:5" x14ac:dyDescent="0.4">
      <c r="E2914"/>
    </row>
    <row r="2915" spans="5:5" x14ac:dyDescent="0.4">
      <c r="E2915"/>
    </row>
    <row r="2916" spans="5:5" x14ac:dyDescent="0.4">
      <c r="E2916"/>
    </row>
    <row r="2917" spans="5:5" x14ac:dyDescent="0.4">
      <c r="E2917"/>
    </row>
    <row r="2918" spans="5:5" x14ac:dyDescent="0.4">
      <c r="E2918"/>
    </row>
    <row r="2919" spans="5:5" x14ac:dyDescent="0.4">
      <c r="E2919"/>
    </row>
    <row r="2920" spans="5:5" x14ac:dyDescent="0.4">
      <c r="E2920"/>
    </row>
    <row r="2921" spans="5:5" x14ac:dyDescent="0.4">
      <c r="E2921"/>
    </row>
    <row r="2922" spans="5:5" x14ac:dyDescent="0.4">
      <c r="E2922"/>
    </row>
    <row r="2923" spans="5:5" x14ac:dyDescent="0.4">
      <c r="E2923"/>
    </row>
    <row r="2924" spans="5:5" x14ac:dyDescent="0.4">
      <c r="E2924"/>
    </row>
    <row r="2925" spans="5:5" x14ac:dyDescent="0.4">
      <c r="E2925"/>
    </row>
    <row r="2926" spans="5:5" x14ac:dyDescent="0.4">
      <c r="E2926"/>
    </row>
    <row r="2927" spans="5:5" x14ac:dyDescent="0.4">
      <c r="E2927"/>
    </row>
    <row r="2928" spans="5:5" x14ac:dyDescent="0.4">
      <c r="E2928"/>
    </row>
    <row r="2929" spans="5:5" x14ac:dyDescent="0.4">
      <c r="E2929"/>
    </row>
    <row r="2930" spans="5:5" x14ac:dyDescent="0.4">
      <c r="E2930"/>
    </row>
    <row r="2931" spans="5:5" x14ac:dyDescent="0.4">
      <c r="E2931"/>
    </row>
    <row r="2932" spans="5:5" x14ac:dyDescent="0.4">
      <c r="E2932"/>
    </row>
    <row r="2933" spans="5:5" x14ac:dyDescent="0.4">
      <c r="E2933"/>
    </row>
    <row r="2934" spans="5:5" x14ac:dyDescent="0.4">
      <c r="E2934"/>
    </row>
    <row r="2935" spans="5:5" x14ac:dyDescent="0.4">
      <c r="E2935"/>
    </row>
    <row r="2936" spans="5:5" x14ac:dyDescent="0.4">
      <c r="E2936"/>
    </row>
    <row r="2937" spans="5:5" x14ac:dyDescent="0.4">
      <c r="E2937"/>
    </row>
    <row r="2938" spans="5:5" x14ac:dyDescent="0.4">
      <c r="E2938"/>
    </row>
    <row r="2939" spans="5:5" x14ac:dyDescent="0.4">
      <c r="E2939"/>
    </row>
    <row r="2940" spans="5:5" x14ac:dyDescent="0.4">
      <c r="E2940"/>
    </row>
    <row r="2941" spans="5:5" x14ac:dyDescent="0.4">
      <c r="E2941"/>
    </row>
    <row r="2942" spans="5:5" x14ac:dyDescent="0.4">
      <c r="E2942"/>
    </row>
    <row r="2943" spans="5:5" x14ac:dyDescent="0.4">
      <c r="E2943"/>
    </row>
    <row r="2944" spans="5:5" x14ac:dyDescent="0.4">
      <c r="E2944"/>
    </row>
    <row r="2945" spans="5:5" x14ac:dyDescent="0.4">
      <c r="E2945"/>
    </row>
    <row r="2946" spans="5:5" x14ac:dyDescent="0.4">
      <c r="E2946"/>
    </row>
    <row r="2947" spans="5:5" x14ac:dyDescent="0.4">
      <c r="E2947"/>
    </row>
    <row r="2948" spans="5:5" x14ac:dyDescent="0.4">
      <c r="E2948"/>
    </row>
    <row r="2949" spans="5:5" x14ac:dyDescent="0.4">
      <c r="E2949"/>
    </row>
    <row r="2950" spans="5:5" x14ac:dyDescent="0.4">
      <c r="E2950"/>
    </row>
    <row r="2951" spans="5:5" x14ac:dyDescent="0.4">
      <c r="E2951"/>
    </row>
    <row r="2952" spans="5:5" x14ac:dyDescent="0.4">
      <c r="E2952"/>
    </row>
    <row r="2953" spans="5:5" x14ac:dyDescent="0.4">
      <c r="E2953"/>
    </row>
    <row r="2954" spans="5:5" x14ac:dyDescent="0.4">
      <c r="E2954"/>
    </row>
    <row r="2955" spans="5:5" x14ac:dyDescent="0.4">
      <c r="E2955"/>
    </row>
    <row r="2956" spans="5:5" x14ac:dyDescent="0.4">
      <c r="E2956"/>
    </row>
    <row r="2957" spans="5:5" x14ac:dyDescent="0.4">
      <c r="E2957"/>
    </row>
    <row r="2958" spans="5:5" x14ac:dyDescent="0.4">
      <c r="E2958"/>
    </row>
    <row r="2959" spans="5:5" x14ac:dyDescent="0.4">
      <c r="E2959"/>
    </row>
    <row r="2960" spans="5:5" x14ac:dyDescent="0.4">
      <c r="E2960"/>
    </row>
    <row r="2961" spans="5:5" x14ac:dyDescent="0.4">
      <c r="E2961"/>
    </row>
    <row r="2962" spans="5:5" x14ac:dyDescent="0.4">
      <c r="E2962"/>
    </row>
    <row r="2963" spans="5:5" x14ac:dyDescent="0.4">
      <c r="E2963"/>
    </row>
    <row r="2964" spans="5:5" x14ac:dyDescent="0.4">
      <c r="E2964"/>
    </row>
    <row r="2965" spans="5:5" x14ac:dyDescent="0.4">
      <c r="E2965"/>
    </row>
    <row r="2966" spans="5:5" x14ac:dyDescent="0.4">
      <c r="E2966"/>
    </row>
    <row r="2967" spans="5:5" x14ac:dyDescent="0.4">
      <c r="E2967"/>
    </row>
    <row r="2968" spans="5:5" x14ac:dyDescent="0.4">
      <c r="E2968"/>
    </row>
    <row r="2969" spans="5:5" x14ac:dyDescent="0.4">
      <c r="E2969"/>
    </row>
    <row r="2970" spans="5:5" x14ac:dyDescent="0.4">
      <c r="E2970"/>
    </row>
    <row r="2971" spans="5:5" x14ac:dyDescent="0.4">
      <c r="E2971"/>
    </row>
    <row r="2972" spans="5:5" x14ac:dyDescent="0.4">
      <c r="E2972"/>
    </row>
    <row r="2973" spans="5:5" x14ac:dyDescent="0.4">
      <c r="E2973"/>
    </row>
    <row r="2974" spans="5:5" x14ac:dyDescent="0.4">
      <c r="E2974"/>
    </row>
    <row r="2975" spans="5:5" x14ac:dyDescent="0.4">
      <c r="E2975"/>
    </row>
    <row r="2976" spans="5:5" x14ac:dyDescent="0.4">
      <c r="E2976"/>
    </row>
    <row r="2977" spans="5:5" x14ac:dyDescent="0.4">
      <c r="E2977"/>
    </row>
    <row r="2978" spans="5:5" x14ac:dyDescent="0.4">
      <c r="E2978"/>
    </row>
    <row r="2979" spans="5:5" x14ac:dyDescent="0.4">
      <c r="E2979"/>
    </row>
    <row r="2980" spans="5:5" x14ac:dyDescent="0.4">
      <c r="E2980"/>
    </row>
    <row r="2981" spans="5:5" x14ac:dyDescent="0.4">
      <c r="E2981"/>
    </row>
    <row r="2982" spans="5:5" x14ac:dyDescent="0.4">
      <c r="E2982"/>
    </row>
    <row r="2983" spans="5:5" x14ac:dyDescent="0.4">
      <c r="E2983"/>
    </row>
    <row r="2984" spans="5:5" x14ac:dyDescent="0.4">
      <c r="E2984"/>
    </row>
    <row r="2985" spans="5:5" x14ac:dyDescent="0.4">
      <c r="E2985"/>
    </row>
    <row r="2986" spans="5:5" x14ac:dyDescent="0.4">
      <c r="E2986"/>
    </row>
    <row r="2987" spans="5:5" x14ac:dyDescent="0.4">
      <c r="E2987"/>
    </row>
    <row r="2988" spans="5:5" x14ac:dyDescent="0.4">
      <c r="E2988"/>
    </row>
    <row r="2989" spans="5:5" x14ac:dyDescent="0.4">
      <c r="E2989"/>
    </row>
    <row r="2990" spans="5:5" x14ac:dyDescent="0.4">
      <c r="E2990"/>
    </row>
    <row r="2991" spans="5:5" x14ac:dyDescent="0.4">
      <c r="E2991"/>
    </row>
    <row r="2992" spans="5:5" x14ac:dyDescent="0.4">
      <c r="E2992"/>
    </row>
    <row r="2993" spans="5:5" x14ac:dyDescent="0.4">
      <c r="E2993"/>
    </row>
    <row r="2994" spans="5:5" x14ac:dyDescent="0.4">
      <c r="E2994"/>
    </row>
    <row r="2995" spans="5:5" x14ac:dyDescent="0.4">
      <c r="E2995"/>
    </row>
    <row r="2996" spans="5:5" x14ac:dyDescent="0.4">
      <c r="E2996"/>
    </row>
    <row r="2997" spans="5:5" x14ac:dyDescent="0.4">
      <c r="E2997"/>
    </row>
    <row r="2998" spans="5:5" x14ac:dyDescent="0.4">
      <c r="E2998"/>
    </row>
    <row r="2999" spans="5:5" x14ac:dyDescent="0.4">
      <c r="E2999"/>
    </row>
    <row r="3000" spans="5:5" x14ac:dyDescent="0.4">
      <c r="E3000"/>
    </row>
    <row r="3001" spans="5:5" x14ac:dyDescent="0.4">
      <c r="E3001"/>
    </row>
    <row r="3002" spans="5:5" x14ac:dyDescent="0.4">
      <c r="E3002"/>
    </row>
    <row r="3003" spans="5:5" x14ac:dyDescent="0.4">
      <c r="E3003"/>
    </row>
    <row r="3004" spans="5:5" x14ac:dyDescent="0.4">
      <c r="E3004"/>
    </row>
    <row r="3005" spans="5:5" x14ac:dyDescent="0.4">
      <c r="E3005"/>
    </row>
    <row r="3006" spans="5:5" x14ac:dyDescent="0.4">
      <c r="E3006"/>
    </row>
    <row r="3007" spans="5:5" x14ac:dyDescent="0.4">
      <c r="E3007"/>
    </row>
    <row r="3008" spans="5:5" x14ac:dyDescent="0.4">
      <c r="E3008"/>
    </row>
    <row r="3009" spans="5:5" x14ac:dyDescent="0.4">
      <c r="E3009"/>
    </row>
    <row r="3010" spans="5:5" x14ac:dyDescent="0.4">
      <c r="E3010"/>
    </row>
    <row r="3011" spans="5:5" x14ac:dyDescent="0.4">
      <c r="E3011"/>
    </row>
    <row r="3012" spans="5:5" x14ac:dyDescent="0.4">
      <c r="E3012"/>
    </row>
    <row r="3013" spans="5:5" x14ac:dyDescent="0.4">
      <c r="E3013"/>
    </row>
    <row r="3014" spans="5:5" x14ac:dyDescent="0.4">
      <c r="E3014"/>
    </row>
    <row r="3015" spans="5:5" x14ac:dyDescent="0.4">
      <c r="E3015"/>
    </row>
    <row r="3016" spans="5:5" x14ac:dyDescent="0.4">
      <c r="E3016"/>
    </row>
    <row r="3017" spans="5:5" x14ac:dyDescent="0.4">
      <c r="E3017"/>
    </row>
    <row r="3018" spans="5:5" x14ac:dyDescent="0.4">
      <c r="E3018"/>
    </row>
    <row r="3019" spans="5:5" x14ac:dyDescent="0.4">
      <c r="E3019"/>
    </row>
    <row r="3020" spans="5:5" x14ac:dyDescent="0.4">
      <c r="E3020"/>
    </row>
    <row r="3021" spans="5:5" x14ac:dyDescent="0.4">
      <c r="E3021"/>
    </row>
    <row r="3022" spans="5:5" x14ac:dyDescent="0.4">
      <c r="E3022"/>
    </row>
    <row r="3023" spans="5:5" x14ac:dyDescent="0.4">
      <c r="E3023"/>
    </row>
    <row r="3024" spans="5:5" x14ac:dyDescent="0.4">
      <c r="E3024"/>
    </row>
    <row r="3025" spans="5:5" x14ac:dyDescent="0.4">
      <c r="E3025"/>
    </row>
    <row r="3026" spans="5:5" x14ac:dyDescent="0.4">
      <c r="E3026"/>
    </row>
    <row r="3027" spans="5:5" x14ac:dyDescent="0.4">
      <c r="E3027"/>
    </row>
    <row r="3028" spans="5:5" x14ac:dyDescent="0.4">
      <c r="E3028"/>
    </row>
    <row r="3029" spans="5:5" x14ac:dyDescent="0.4">
      <c r="E3029"/>
    </row>
    <row r="3030" spans="5:5" x14ac:dyDescent="0.4">
      <c r="E3030"/>
    </row>
    <row r="3031" spans="5:5" x14ac:dyDescent="0.4">
      <c r="E3031"/>
    </row>
    <row r="3032" spans="5:5" x14ac:dyDescent="0.4">
      <c r="E3032"/>
    </row>
    <row r="3033" spans="5:5" x14ac:dyDescent="0.4">
      <c r="E3033"/>
    </row>
    <row r="3034" spans="5:5" x14ac:dyDescent="0.4">
      <c r="E3034"/>
    </row>
    <row r="3035" spans="5:5" x14ac:dyDescent="0.4">
      <c r="E3035"/>
    </row>
    <row r="3036" spans="5:5" x14ac:dyDescent="0.4">
      <c r="E3036"/>
    </row>
    <row r="3037" spans="5:5" x14ac:dyDescent="0.4">
      <c r="E3037"/>
    </row>
    <row r="3038" spans="5:5" x14ac:dyDescent="0.4">
      <c r="E3038"/>
    </row>
    <row r="3039" spans="5:5" x14ac:dyDescent="0.4">
      <c r="E3039"/>
    </row>
    <row r="3040" spans="5:5" x14ac:dyDescent="0.4">
      <c r="E3040"/>
    </row>
    <row r="3041" spans="5:5" x14ac:dyDescent="0.4">
      <c r="E3041"/>
    </row>
    <row r="3042" spans="5:5" x14ac:dyDescent="0.4">
      <c r="E3042"/>
    </row>
    <row r="3043" spans="5:5" x14ac:dyDescent="0.4">
      <c r="E3043"/>
    </row>
    <row r="3044" spans="5:5" x14ac:dyDescent="0.4">
      <c r="E3044"/>
    </row>
    <row r="3045" spans="5:5" x14ac:dyDescent="0.4">
      <c r="E3045"/>
    </row>
    <row r="3046" spans="5:5" x14ac:dyDescent="0.4">
      <c r="E3046"/>
    </row>
    <row r="3047" spans="5:5" x14ac:dyDescent="0.4">
      <c r="E3047"/>
    </row>
    <row r="3048" spans="5:5" x14ac:dyDescent="0.4">
      <c r="E3048"/>
    </row>
    <row r="3049" spans="5:5" x14ac:dyDescent="0.4">
      <c r="E3049"/>
    </row>
    <row r="3050" spans="5:5" x14ac:dyDescent="0.4">
      <c r="E3050"/>
    </row>
    <row r="3051" spans="5:5" x14ac:dyDescent="0.4">
      <c r="E3051"/>
    </row>
    <row r="3052" spans="5:5" x14ac:dyDescent="0.4">
      <c r="E3052"/>
    </row>
    <row r="3053" spans="5:5" x14ac:dyDescent="0.4">
      <c r="E3053"/>
    </row>
    <row r="3054" spans="5:5" x14ac:dyDescent="0.4">
      <c r="E3054"/>
    </row>
    <row r="3055" spans="5:5" x14ac:dyDescent="0.4">
      <c r="E3055"/>
    </row>
    <row r="3056" spans="5:5" x14ac:dyDescent="0.4">
      <c r="E3056"/>
    </row>
    <row r="3057" spans="5:5" x14ac:dyDescent="0.4">
      <c r="E3057"/>
    </row>
    <row r="3058" spans="5:5" x14ac:dyDescent="0.4">
      <c r="E3058"/>
    </row>
    <row r="3059" spans="5:5" x14ac:dyDescent="0.4">
      <c r="E3059"/>
    </row>
    <row r="3060" spans="5:5" x14ac:dyDescent="0.4">
      <c r="E3060"/>
    </row>
    <row r="3061" spans="5:5" x14ac:dyDescent="0.4">
      <c r="E3061"/>
    </row>
    <row r="3062" spans="5:5" x14ac:dyDescent="0.4">
      <c r="E3062"/>
    </row>
    <row r="3063" spans="5:5" x14ac:dyDescent="0.4">
      <c r="E3063"/>
    </row>
    <row r="3064" spans="5:5" x14ac:dyDescent="0.4">
      <c r="E3064"/>
    </row>
    <row r="3065" spans="5:5" x14ac:dyDescent="0.4">
      <c r="E3065"/>
    </row>
    <row r="3066" spans="5:5" x14ac:dyDescent="0.4">
      <c r="E3066"/>
    </row>
    <row r="3067" spans="5:5" x14ac:dyDescent="0.4">
      <c r="E3067"/>
    </row>
    <row r="3068" spans="5:5" x14ac:dyDescent="0.4">
      <c r="E3068"/>
    </row>
    <row r="3069" spans="5:5" x14ac:dyDescent="0.4">
      <c r="E3069"/>
    </row>
    <row r="3070" spans="5:5" x14ac:dyDescent="0.4">
      <c r="E3070"/>
    </row>
    <row r="3071" spans="5:5" x14ac:dyDescent="0.4">
      <c r="E3071"/>
    </row>
    <row r="3072" spans="5:5" x14ac:dyDescent="0.4">
      <c r="E3072"/>
    </row>
    <row r="3073" spans="5:5" x14ac:dyDescent="0.4">
      <c r="E3073"/>
    </row>
    <row r="3074" spans="5:5" x14ac:dyDescent="0.4">
      <c r="E3074"/>
    </row>
    <row r="3075" spans="5:5" x14ac:dyDescent="0.4">
      <c r="E3075"/>
    </row>
    <row r="3076" spans="5:5" x14ac:dyDescent="0.4">
      <c r="E3076"/>
    </row>
    <row r="3077" spans="5:5" x14ac:dyDescent="0.4">
      <c r="E3077"/>
    </row>
    <row r="3078" spans="5:5" x14ac:dyDescent="0.4">
      <c r="E3078"/>
    </row>
    <row r="3079" spans="5:5" x14ac:dyDescent="0.4">
      <c r="E3079"/>
    </row>
    <row r="3080" spans="5:5" x14ac:dyDescent="0.4">
      <c r="E3080"/>
    </row>
    <row r="3081" spans="5:5" x14ac:dyDescent="0.4">
      <c r="E3081"/>
    </row>
    <row r="3082" spans="5:5" x14ac:dyDescent="0.4">
      <c r="E3082"/>
    </row>
    <row r="3083" spans="5:5" x14ac:dyDescent="0.4">
      <c r="E3083"/>
    </row>
    <row r="3084" spans="5:5" x14ac:dyDescent="0.4">
      <c r="E3084"/>
    </row>
    <row r="3085" spans="5:5" x14ac:dyDescent="0.4">
      <c r="E3085"/>
    </row>
    <row r="3086" spans="5:5" x14ac:dyDescent="0.4">
      <c r="E3086"/>
    </row>
    <row r="3087" spans="5:5" x14ac:dyDescent="0.4">
      <c r="E3087"/>
    </row>
    <row r="3088" spans="5:5" x14ac:dyDescent="0.4">
      <c r="E3088"/>
    </row>
    <row r="3089" spans="5:5" x14ac:dyDescent="0.4">
      <c r="E3089"/>
    </row>
    <row r="3090" spans="5:5" x14ac:dyDescent="0.4">
      <c r="E3090"/>
    </row>
    <row r="3091" spans="5:5" x14ac:dyDescent="0.4">
      <c r="E3091"/>
    </row>
    <row r="3092" spans="5:5" x14ac:dyDescent="0.4">
      <c r="E3092"/>
    </row>
    <row r="3093" spans="5:5" x14ac:dyDescent="0.4">
      <c r="E3093"/>
    </row>
    <row r="3094" spans="5:5" x14ac:dyDescent="0.4">
      <c r="E3094"/>
    </row>
    <row r="3095" spans="5:5" x14ac:dyDescent="0.4">
      <c r="E3095"/>
    </row>
    <row r="3096" spans="5:5" x14ac:dyDescent="0.4">
      <c r="E3096"/>
    </row>
    <row r="3097" spans="5:5" x14ac:dyDescent="0.4">
      <c r="E3097"/>
    </row>
    <row r="3098" spans="5:5" x14ac:dyDescent="0.4">
      <c r="E3098"/>
    </row>
    <row r="3099" spans="5:5" x14ac:dyDescent="0.4">
      <c r="E3099"/>
    </row>
    <row r="3100" spans="5:5" x14ac:dyDescent="0.4">
      <c r="E3100"/>
    </row>
    <row r="3101" spans="5:5" x14ac:dyDescent="0.4">
      <c r="E3101"/>
    </row>
    <row r="3102" spans="5:5" x14ac:dyDescent="0.4">
      <c r="E3102"/>
    </row>
    <row r="3103" spans="5:5" x14ac:dyDescent="0.4">
      <c r="E3103"/>
    </row>
    <row r="3104" spans="5:5" x14ac:dyDescent="0.4">
      <c r="E3104"/>
    </row>
    <row r="3105" spans="5:5" x14ac:dyDescent="0.4">
      <c r="E3105"/>
    </row>
    <row r="3106" spans="5:5" x14ac:dyDescent="0.4">
      <c r="E3106"/>
    </row>
    <row r="3107" spans="5:5" x14ac:dyDescent="0.4">
      <c r="E3107"/>
    </row>
    <row r="3108" spans="5:5" x14ac:dyDescent="0.4">
      <c r="E3108"/>
    </row>
    <row r="3109" spans="5:5" x14ac:dyDescent="0.4">
      <c r="E3109"/>
    </row>
    <row r="3110" spans="5:5" x14ac:dyDescent="0.4">
      <c r="E3110"/>
    </row>
    <row r="3111" spans="5:5" x14ac:dyDescent="0.4">
      <c r="E3111"/>
    </row>
    <row r="3112" spans="5:5" x14ac:dyDescent="0.4">
      <c r="E3112"/>
    </row>
    <row r="3113" spans="5:5" x14ac:dyDescent="0.4">
      <c r="E3113"/>
    </row>
    <row r="3114" spans="5:5" x14ac:dyDescent="0.4">
      <c r="E3114"/>
    </row>
    <row r="3115" spans="5:5" x14ac:dyDescent="0.4">
      <c r="E3115"/>
    </row>
    <row r="3116" spans="5:5" x14ac:dyDescent="0.4">
      <c r="E3116"/>
    </row>
    <row r="3117" spans="5:5" x14ac:dyDescent="0.4">
      <c r="E3117"/>
    </row>
    <row r="3118" spans="5:5" x14ac:dyDescent="0.4">
      <c r="E3118"/>
    </row>
    <row r="3119" spans="5:5" x14ac:dyDescent="0.4">
      <c r="E3119"/>
    </row>
    <row r="3120" spans="5:5" x14ac:dyDescent="0.4">
      <c r="E3120"/>
    </row>
    <row r="3121" spans="5:5" x14ac:dyDescent="0.4">
      <c r="E3121"/>
    </row>
    <row r="3122" spans="5:5" x14ac:dyDescent="0.4">
      <c r="E3122"/>
    </row>
    <row r="3123" spans="5:5" x14ac:dyDescent="0.4">
      <c r="E3123"/>
    </row>
    <row r="3124" spans="5:5" x14ac:dyDescent="0.4">
      <c r="E3124"/>
    </row>
    <row r="3125" spans="5:5" x14ac:dyDescent="0.4">
      <c r="E3125"/>
    </row>
    <row r="3126" spans="5:5" x14ac:dyDescent="0.4">
      <c r="E3126"/>
    </row>
    <row r="3127" spans="5:5" x14ac:dyDescent="0.4">
      <c r="E3127"/>
    </row>
    <row r="3128" spans="5:5" x14ac:dyDescent="0.4">
      <c r="E3128"/>
    </row>
    <row r="3129" spans="5:5" x14ac:dyDescent="0.4">
      <c r="E3129"/>
    </row>
    <row r="3130" spans="5:5" x14ac:dyDescent="0.4">
      <c r="E3130"/>
    </row>
    <row r="3131" spans="5:5" x14ac:dyDescent="0.4">
      <c r="E3131"/>
    </row>
    <row r="3132" spans="5:5" x14ac:dyDescent="0.4">
      <c r="E3132"/>
    </row>
    <row r="3133" spans="5:5" x14ac:dyDescent="0.4">
      <c r="E3133"/>
    </row>
    <row r="3134" spans="5:5" x14ac:dyDescent="0.4">
      <c r="E3134"/>
    </row>
    <row r="3135" spans="5:5" x14ac:dyDescent="0.4">
      <c r="E3135"/>
    </row>
    <row r="3136" spans="5:5" x14ac:dyDescent="0.4">
      <c r="E3136"/>
    </row>
    <row r="3137" spans="5:5" x14ac:dyDescent="0.4">
      <c r="E3137"/>
    </row>
    <row r="3138" spans="5:5" x14ac:dyDescent="0.4">
      <c r="E3138"/>
    </row>
    <row r="3139" spans="5:5" x14ac:dyDescent="0.4">
      <c r="E3139"/>
    </row>
    <row r="3140" spans="5:5" x14ac:dyDescent="0.4">
      <c r="E3140"/>
    </row>
    <row r="3141" spans="5:5" x14ac:dyDescent="0.4">
      <c r="E3141"/>
    </row>
    <row r="3142" spans="5:5" x14ac:dyDescent="0.4">
      <c r="E3142"/>
    </row>
    <row r="3143" spans="5:5" x14ac:dyDescent="0.4">
      <c r="E3143"/>
    </row>
    <row r="3144" spans="5:5" x14ac:dyDescent="0.4">
      <c r="E3144"/>
    </row>
    <row r="3145" spans="5:5" x14ac:dyDescent="0.4">
      <c r="E3145"/>
    </row>
    <row r="3146" spans="5:5" x14ac:dyDescent="0.4">
      <c r="E3146"/>
    </row>
    <row r="3147" spans="5:5" x14ac:dyDescent="0.4">
      <c r="E3147"/>
    </row>
    <row r="3148" spans="5:5" x14ac:dyDescent="0.4">
      <c r="E3148"/>
    </row>
    <row r="3149" spans="5:5" x14ac:dyDescent="0.4">
      <c r="E3149"/>
    </row>
    <row r="3150" spans="5:5" x14ac:dyDescent="0.4">
      <c r="E3150"/>
    </row>
    <row r="3151" spans="5:5" x14ac:dyDescent="0.4">
      <c r="E3151"/>
    </row>
    <row r="3152" spans="5:5" x14ac:dyDescent="0.4">
      <c r="E3152"/>
    </row>
    <row r="3153" spans="5:5" x14ac:dyDescent="0.4">
      <c r="E3153"/>
    </row>
    <row r="3154" spans="5:5" x14ac:dyDescent="0.4">
      <c r="E3154"/>
    </row>
    <row r="3155" spans="5:5" x14ac:dyDescent="0.4">
      <c r="E3155"/>
    </row>
    <row r="3156" spans="5:5" x14ac:dyDescent="0.4">
      <c r="E3156"/>
    </row>
    <row r="3157" spans="5:5" x14ac:dyDescent="0.4">
      <c r="E3157"/>
    </row>
    <row r="3158" spans="5:5" x14ac:dyDescent="0.4">
      <c r="E3158"/>
    </row>
    <row r="3159" spans="5:5" x14ac:dyDescent="0.4">
      <c r="E3159"/>
    </row>
    <row r="3160" spans="5:5" x14ac:dyDescent="0.4">
      <c r="E3160"/>
    </row>
    <row r="3161" spans="5:5" x14ac:dyDescent="0.4">
      <c r="E3161"/>
    </row>
    <row r="3162" spans="5:5" x14ac:dyDescent="0.4">
      <c r="E3162"/>
    </row>
    <row r="3163" spans="5:5" x14ac:dyDescent="0.4">
      <c r="E3163"/>
    </row>
    <row r="3164" spans="5:5" x14ac:dyDescent="0.4">
      <c r="E3164"/>
    </row>
    <row r="3165" spans="5:5" x14ac:dyDescent="0.4">
      <c r="E3165"/>
    </row>
    <row r="3166" spans="5:5" x14ac:dyDescent="0.4">
      <c r="E3166"/>
    </row>
    <row r="3167" spans="5:5" x14ac:dyDescent="0.4">
      <c r="E3167"/>
    </row>
    <row r="3168" spans="5:5" x14ac:dyDescent="0.4">
      <c r="E3168"/>
    </row>
    <row r="3169" spans="5:5" x14ac:dyDescent="0.4">
      <c r="E3169"/>
    </row>
    <row r="3170" spans="5:5" x14ac:dyDescent="0.4">
      <c r="E3170"/>
    </row>
    <row r="3171" spans="5:5" x14ac:dyDescent="0.4">
      <c r="E3171"/>
    </row>
    <row r="3172" spans="5:5" x14ac:dyDescent="0.4">
      <c r="E3172"/>
    </row>
    <row r="3173" spans="5:5" x14ac:dyDescent="0.4">
      <c r="E3173"/>
    </row>
    <row r="3174" spans="5:5" x14ac:dyDescent="0.4">
      <c r="E3174"/>
    </row>
    <row r="3175" spans="5:5" x14ac:dyDescent="0.4">
      <c r="E3175"/>
    </row>
    <row r="3176" spans="5:5" x14ac:dyDescent="0.4">
      <c r="E3176"/>
    </row>
    <row r="3177" spans="5:5" x14ac:dyDescent="0.4">
      <c r="E3177"/>
    </row>
    <row r="3178" spans="5:5" x14ac:dyDescent="0.4">
      <c r="E3178"/>
    </row>
    <row r="3179" spans="5:5" x14ac:dyDescent="0.4">
      <c r="E3179"/>
    </row>
    <row r="3180" spans="5:5" x14ac:dyDescent="0.4">
      <c r="E3180"/>
    </row>
    <row r="3181" spans="5:5" x14ac:dyDescent="0.4">
      <c r="E3181"/>
    </row>
    <row r="3182" spans="5:5" x14ac:dyDescent="0.4">
      <c r="E3182"/>
    </row>
    <row r="3183" spans="5:5" x14ac:dyDescent="0.4">
      <c r="E3183"/>
    </row>
    <row r="3184" spans="5:5" x14ac:dyDescent="0.4">
      <c r="E3184"/>
    </row>
    <row r="3185" spans="5:5" x14ac:dyDescent="0.4">
      <c r="E3185"/>
    </row>
    <row r="3186" spans="5:5" x14ac:dyDescent="0.4">
      <c r="E3186"/>
    </row>
    <row r="3187" spans="5:5" x14ac:dyDescent="0.4">
      <c r="E3187"/>
    </row>
    <row r="3188" spans="5:5" x14ac:dyDescent="0.4">
      <c r="E3188"/>
    </row>
    <row r="3189" spans="5:5" x14ac:dyDescent="0.4">
      <c r="E3189"/>
    </row>
    <row r="3190" spans="5:5" x14ac:dyDescent="0.4">
      <c r="E3190"/>
    </row>
    <row r="3191" spans="5:5" x14ac:dyDescent="0.4">
      <c r="E3191"/>
    </row>
    <row r="3192" spans="5:5" x14ac:dyDescent="0.4">
      <c r="E3192"/>
    </row>
    <row r="3193" spans="5:5" x14ac:dyDescent="0.4">
      <c r="E3193"/>
    </row>
    <row r="3194" spans="5:5" x14ac:dyDescent="0.4">
      <c r="E3194"/>
    </row>
    <row r="3195" spans="5:5" x14ac:dyDescent="0.4">
      <c r="E3195"/>
    </row>
    <row r="3196" spans="5:5" x14ac:dyDescent="0.4">
      <c r="E3196"/>
    </row>
    <row r="3197" spans="5:5" x14ac:dyDescent="0.4">
      <c r="E3197"/>
    </row>
    <row r="3198" spans="5:5" x14ac:dyDescent="0.4">
      <c r="E3198"/>
    </row>
    <row r="3199" spans="5:5" x14ac:dyDescent="0.4">
      <c r="E3199"/>
    </row>
    <row r="3200" spans="5:5" x14ac:dyDescent="0.4">
      <c r="E3200"/>
    </row>
    <row r="3201" spans="5:5" x14ac:dyDescent="0.4">
      <c r="E3201"/>
    </row>
    <row r="3202" spans="5:5" x14ac:dyDescent="0.4">
      <c r="E3202"/>
    </row>
    <row r="3203" spans="5:5" x14ac:dyDescent="0.4">
      <c r="E3203"/>
    </row>
    <row r="3204" spans="5:5" x14ac:dyDescent="0.4">
      <c r="E3204"/>
    </row>
    <row r="3205" spans="5:5" x14ac:dyDescent="0.4">
      <c r="E3205"/>
    </row>
    <row r="3206" spans="5:5" x14ac:dyDescent="0.4">
      <c r="E3206"/>
    </row>
    <row r="3207" spans="5:5" x14ac:dyDescent="0.4">
      <c r="E3207"/>
    </row>
    <row r="3208" spans="5:5" x14ac:dyDescent="0.4">
      <c r="E3208"/>
    </row>
    <row r="3209" spans="5:5" x14ac:dyDescent="0.4">
      <c r="E3209"/>
    </row>
    <row r="3210" spans="5:5" x14ac:dyDescent="0.4">
      <c r="E3210"/>
    </row>
    <row r="3211" spans="5:5" x14ac:dyDescent="0.4">
      <c r="E3211"/>
    </row>
    <row r="3212" spans="5:5" x14ac:dyDescent="0.4">
      <c r="E3212"/>
    </row>
    <row r="3213" spans="5:5" x14ac:dyDescent="0.4">
      <c r="E3213"/>
    </row>
    <row r="3214" spans="5:5" x14ac:dyDescent="0.4">
      <c r="E3214"/>
    </row>
    <row r="3215" spans="5:5" x14ac:dyDescent="0.4">
      <c r="E3215"/>
    </row>
    <row r="3216" spans="5:5" x14ac:dyDescent="0.4">
      <c r="E3216"/>
    </row>
    <row r="3217" spans="5:5" x14ac:dyDescent="0.4">
      <c r="E3217"/>
    </row>
    <row r="3218" spans="5:5" x14ac:dyDescent="0.4">
      <c r="E3218"/>
    </row>
    <row r="3219" spans="5:5" x14ac:dyDescent="0.4">
      <c r="E3219"/>
    </row>
    <row r="3220" spans="5:5" x14ac:dyDescent="0.4">
      <c r="E3220"/>
    </row>
    <row r="3221" spans="5:5" x14ac:dyDescent="0.4">
      <c r="E3221"/>
    </row>
    <row r="3222" spans="5:5" x14ac:dyDescent="0.4">
      <c r="E3222"/>
    </row>
    <row r="3223" spans="5:5" x14ac:dyDescent="0.4">
      <c r="E3223"/>
    </row>
    <row r="3224" spans="5:5" x14ac:dyDescent="0.4">
      <c r="E3224"/>
    </row>
    <row r="3225" spans="5:5" x14ac:dyDescent="0.4">
      <c r="E3225"/>
    </row>
    <row r="3226" spans="5:5" x14ac:dyDescent="0.4">
      <c r="E3226"/>
    </row>
    <row r="3227" spans="5:5" x14ac:dyDescent="0.4">
      <c r="E3227"/>
    </row>
    <row r="3228" spans="5:5" x14ac:dyDescent="0.4">
      <c r="E3228"/>
    </row>
    <row r="3229" spans="5:5" x14ac:dyDescent="0.4">
      <c r="E3229"/>
    </row>
    <row r="3230" spans="5:5" x14ac:dyDescent="0.4">
      <c r="E3230"/>
    </row>
    <row r="3231" spans="5:5" x14ac:dyDescent="0.4">
      <c r="E3231"/>
    </row>
    <row r="3232" spans="5:5" x14ac:dyDescent="0.4">
      <c r="E3232"/>
    </row>
    <row r="3233" spans="5:5" x14ac:dyDescent="0.4">
      <c r="E3233"/>
    </row>
    <row r="3234" spans="5:5" x14ac:dyDescent="0.4">
      <c r="E3234"/>
    </row>
    <row r="3235" spans="5:5" x14ac:dyDescent="0.4">
      <c r="E3235"/>
    </row>
    <row r="3236" spans="5:5" x14ac:dyDescent="0.4">
      <c r="E3236"/>
    </row>
    <row r="3237" spans="5:5" x14ac:dyDescent="0.4">
      <c r="E3237"/>
    </row>
    <row r="3238" spans="5:5" x14ac:dyDescent="0.4">
      <c r="E3238"/>
    </row>
    <row r="3239" spans="5:5" x14ac:dyDescent="0.4">
      <c r="E3239"/>
    </row>
    <row r="3240" spans="5:5" x14ac:dyDescent="0.4">
      <c r="E3240"/>
    </row>
    <row r="3241" spans="5:5" x14ac:dyDescent="0.4">
      <c r="E3241"/>
    </row>
    <row r="3242" spans="5:5" x14ac:dyDescent="0.4">
      <c r="E3242"/>
    </row>
    <row r="3243" spans="5:5" x14ac:dyDescent="0.4">
      <c r="E3243"/>
    </row>
    <row r="3244" spans="5:5" x14ac:dyDescent="0.4">
      <c r="E3244"/>
    </row>
    <row r="3245" spans="5:5" x14ac:dyDescent="0.4">
      <c r="E3245"/>
    </row>
    <row r="3246" spans="5:5" x14ac:dyDescent="0.4">
      <c r="E3246"/>
    </row>
    <row r="3247" spans="5:5" x14ac:dyDescent="0.4">
      <c r="E3247"/>
    </row>
    <row r="3248" spans="5:5" x14ac:dyDescent="0.4">
      <c r="E3248"/>
    </row>
    <row r="3249" spans="5:5" x14ac:dyDescent="0.4">
      <c r="E3249"/>
    </row>
    <row r="3250" spans="5:5" x14ac:dyDescent="0.4">
      <c r="E3250"/>
    </row>
    <row r="3251" spans="5:5" x14ac:dyDescent="0.4">
      <c r="E3251"/>
    </row>
    <row r="3252" spans="5:5" x14ac:dyDescent="0.4">
      <c r="E3252"/>
    </row>
    <row r="3253" spans="5:5" x14ac:dyDescent="0.4">
      <c r="E3253"/>
    </row>
    <row r="3254" spans="5:5" x14ac:dyDescent="0.4">
      <c r="E3254"/>
    </row>
    <row r="3255" spans="5:5" x14ac:dyDescent="0.4">
      <c r="E3255"/>
    </row>
    <row r="3256" spans="5:5" x14ac:dyDescent="0.4">
      <c r="E3256"/>
    </row>
    <row r="3257" spans="5:5" x14ac:dyDescent="0.4">
      <c r="E3257"/>
    </row>
    <row r="3258" spans="5:5" x14ac:dyDescent="0.4">
      <c r="E3258"/>
    </row>
    <row r="3259" spans="5:5" x14ac:dyDescent="0.4">
      <c r="E3259"/>
    </row>
    <row r="3260" spans="5:5" x14ac:dyDescent="0.4">
      <c r="E3260"/>
    </row>
    <row r="3261" spans="5:5" x14ac:dyDescent="0.4">
      <c r="E3261"/>
    </row>
    <row r="3262" spans="5:5" x14ac:dyDescent="0.4">
      <c r="E3262"/>
    </row>
    <row r="3263" spans="5:5" x14ac:dyDescent="0.4">
      <c r="E3263"/>
    </row>
    <row r="3264" spans="5:5" x14ac:dyDescent="0.4">
      <c r="E3264"/>
    </row>
    <row r="3265" spans="5:5" x14ac:dyDescent="0.4">
      <c r="E3265"/>
    </row>
    <row r="3266" spans="5:5" x14ac:dyDescent="0.4">
      <c r="E3266"/>
    </row>
    <row r="3267" spans="5:5" x14ac:dyDescent="0.4">
      <c r="E3267"/>
    </row>
    <row r="3268" spans="5:5" x14ac:dyDescent="0.4">
      <c r="E3268"/>
    </row>
    <row r="3269" spans="5:5" x14ac:dyDescent="0.4">
      <c r="E3269"/>
    </row>
    <row r="3270" spans="5:5" x14ac:dyDescent="0.4">
      <c r="E3270"/>
    </row>
    <row r="3271" spans="5:5" x14ac:dyDescent="0.4">
      <c r="E3271"/>
    </row>
    <row r="3272" spans="5:5" x14ac:dyDescent="0.4">
      <c r="E3272"/>
    </row>
    <row r="3273" spans="5:5" x14ac:dyDescent="0.4">
      <c r="E3273"/>
    </row>
    <row r="3274" spans="5:5" x14ac:dyDescent="0.4">
      <c r="E3274"/>
    </row>
    <row r="3275" spans="5:5" x14ac:dyDescent="0.4">
      <c r="E3275"/>
    </row>
    <row r="3276" spans="5:5" x14ac:dyDescent="0.4">
      <c r="E3276"/>
    </row>
    <row r="3277" spans="5:5" x14ac:dyDescent="0.4">
      <c r="E3277"/>
    </row>
    <row r="3278" spans="5:5" x14ac:dyDescent="0.4">
      <c r="E3278"/>
    </row>
    <row r="3279" spans="5:5" x14ac:dyDescent="0.4">
      <c r="E3279"/>
    </row>
    <row r="3280" spans="5:5" x14ac:dyDescent="0.4">
      <c r="E3280"/>
    </row>
    <row r="3281" spans="5:5" x14ac:dyDescent="0.4">
      <c r="E3281"/>
    </row>
    <row r="3282" spans="5:5" x14ac:dyDescent="0.4">
      <c r="E3282"/>
    </row>
    <row r="3283" spans="5:5" x14ac:dyDescent="0.4">
      <c r="E3283"/>
    </row>
    <row r="3284" spans="5:5" x14ac:dyDescent="0.4">
      <c r="E3284"/>
    </row>
    <row r="3285" spans="5:5" x14ac:dyDescent="0.4">
      <c r="E3285"/>
    </row>
    <row r="3286" spans="5:5" x14ac:dyDescent="0.4">
      <c r="E3286"/>
    </row>
    <row r="3287" spans="5:5" x14ac:dyDescent="0.4">
      <c r="E3287"/>
    </row>
    <row r="3288" spans="5:5" x14ac:dyDescent="0.4">
      <c r="E3288"/>
    </row>
    <row r="3289" spans="5:5" x14ac:dyDescent="0.4">
      <c r="E3289"/>
    </row>
    <row r="3290" spans="5:5" x14ac:dyDescent="0.4">
      <c r="E3290"/>
    </row>
    <row r="3291" spans="5:5" x14ac:dyDescent="0.4">
      <c r="E3291"/>
    </row>
    <row r="3292" spans="5:5" x14ac:dyDescent="0.4">
      <c r="E3292"/>
    </row>
    <row r="3293" spans="5:5" x14ac:dyDescent="0.4">
      <c r="E3293"/>
    </row>
    <row r="3294" spans="5:5" x14ac:dyDescent="0.4">
      <c r="E3294"/>
    </row>
    <row r="3295" spans="5:5" x14ac:dyDescent="0.4">
      <c r="E3295"/>
    </row>
    <row r="3296" spans="5:5" x14ac:dyDescent="0.4">
      <c r="E3296"/>
    </row>
    <row r="3297" spans="5:5" x14ac:dyDescent="0.4">
      <c r="E3297"/>
    </row>
    <row r="3298" spans="5:5" x14ac:dyDescent="0.4">
      <c r="E3298"/>
    </row>
    <row r="3299" spans="5:5" x14ac:dyDescent="0.4">
      <c r="E3299"/>
    </row>
    <row r="3300" spans="5:5" x14ac:dyDescent="0.4">
      <c r="E3300"/>
    </row>
    <row r="3301" spans="5:5" x14ac:dyDescent="0.4">
      <c r="E3301"/>
    </row>
    <row r="3302" spans="5:5" x14ac:dyDescent="0.4">
      <c r="E3302"/>
    </row>
    <row r="3303" spans="5:5" x14ac:dyDescent="0.4">
      <c r="E3303"/>
    </row>
    <row r="3304" spans="5:5" x14ac:dyDescent="0.4">
      <c r="E3304"/>
    </row>
    <row r="3305" spans="5:5" x14ac:dyDescent="0.4">
      <c r="E3305"/>
    </row>
    <row r="3306" spans="5:5" x14ac:dyDescent="0.4">
      <c r="E3306"/>
    </row>
    <row r="3307" spans="5:5" x14ac:dyDescent="0.4">
      <c r="E3307"/>
    </row>
    <row r="3308" spans="5:5" x14ac:dyDescent="0.4">
      <c r="E3308"/>
    </row>
    <row r="3309" spans="5:5" x14ac:dyDescent="0.4">
      <c r="E3309"/>
    </row>
    <row r="3310" spans="5:5" x14ac:dyDescent="0.4">
      <c r="E3310"/>
    </row>
    <row r="3311" spans="5:5" x14ac:dyDescent="0.4">
      <c r="E3311"/>
    </row>
    <row r="3312" spans="5:5" x14ac:dyDescent="0.4">
      <c r="E3312"/>
    </row>
    <row r="3313" spans="5:5" x14ac:dyDescent="0.4">
      <c r="E3313"/>
    </row>
    <row r="3314" spans="5:5" x14ac:dyDescent="0.4">
      <c r="E3314"/>
    </row>
    <row r="3315" spans="5:5" x14ac:dyDescent="0.4">
      <c r="E3315"/>
    </row>
    <row r="3316" spans="5:5" x14ac:dyDescent="0.4">
      <c r="E3316"/>
    </row>
    <row r="3317" spans="5:5" x14ac:dyDescent="0.4">
      <c r="E3317"/>
    </row>
    <row r="3318" spans="5:5" x14ac:dyDescent="0.4">
      <c r="E3318"/>
    </row>
    <row r="3319" spans="5:5" x14ac:dyDescent="0.4">
      <c r="E3319"/>
    </row>
    <row r="3320" spans="5:5" x14ac:dyDescent="0.4">
      <c r="E3320"/>
    </row>
    <row r="3321" spans="5:5" x14ac:dyDescent="0.4">
      <c r="E3321"/>
    </row>
    <row r="3322" spans="5:5" x14ac:dyDescent="0.4">
      <c r="E3322"/>
    </row>
    <row r="3323" spans="5:5" x14ac:dyDescent="0.4">
      <c r="E3323"/>
    </row>
    <row r="3324" spans="5:5" x14ac:dyDescent="0.4">
      <c r="E3324"/>
    </row>
    <row r="3325" spans="5:5" x14ac:dyDescent="0.4">
      <c r="E3325"/>
    </row>
    <row r="3326" spans="5:5" x14ac:dyDescent="0.4">
      <c r="E3326"/>
    </row>
    <row r="3327" spans="5:5" x14ac:dyDescent="0.4">
      <c r="E3327"/>
    </row>
    <row r="3328" spans="5:5" x14ac:dyDescent="0.4">
      <c r="E3328"/>
    </row>
    <row r="3329" spans="5:5" x14ac:dyDescent="0.4">
      <c r="E3329"/>
    </row>
    <row r="3330" spans="5:5" x14ac:dyDescent="0.4">
      <c r="E3330"/>
    </row>
    <row r="3331" spans="5:5" x14ac:dyDescent="0.4">
      <c r="E3331"/>
    </row>
    <row r="3332" spans="5:5" x14ac:dyDescent="0.4">
      <c r="E3332"/>
    </row>
    <row r="3333" spans="5:5" x14ac:dyDescent="0.4">
      <c r="E3333"/>
    </row>
    <row r="3334" spans="5:5" x14ac:dyDescent="0.4">
      <c r="E3334"/>
    </row>
    <row r="3335" spans="5:5" x14ac:dyDescent="0.4">
      <c r="E3335"/>
    </row>
    <row r="3336" spans="5:5" x14ac:dyDescent="0.4">
      <c r="E3336"/>
    </row>
    <row r="3337" spans="5:5" x14ac:dyDescent="0.4">
      <c r="E3337"/>
    </row>
    <row r="3338" spans="5:5" x14ac:dyDescent="0.4">
      <c r="E3338"/>
    </row>
    <row r="3339" spans="5:5" x14ac:dyDescent="0.4">
      <c r="E3339"/>
    </row>
    <row r="3340" spans="5:5" x14ac:dyDescent="0.4">
      <c r="E3340"/>
    </row>
    <row r="3341" spans="5:5" x14ac:dyDescent="0.4">
      <c r="E3341"/>
    </row>
    <row r="3342" spans="5:5" x14ac:dyDescent="0.4">
      <c r="E3342"/>
    </row>
    <row r="3343" spans="5:5" x14ac:dyDescent="0.4">
      <c r="E3343"/>
    </row>
    <row r="3344" spans="5:5" x14ac:dyDescent="0.4">
      <c r="E3344"/>
    </row>
    <row r="3345" spans="5:5" x14ac:dyDescent="0.4">
      <c r="E3345"/>
    </row>
    <row r="3346" spans="5:5" x14ac:dyDescent="0.4">
      <c r="E3346"/>
    </row>
    <row r="3347" spans="5:5" x14ac:dyDescent="0.4">
      <c r="E3347"/>
    </row>
    <row r="3348" spans="5:5" x14ac:dyDescent="0.4">
      <c r="E3348"/>
    </row>
    <row r="3349" spans="5:5" x14ac:dyDescent="0.4">
      <c r="E3349"/>
    </row>
    <row r="3350" spans="5:5" x14ac:dyDescent="0.4">
      <c r="E3350"/>
    </row>
    <row r="3351" spans="5:5" x14ac:dyDescent="0.4">
      <c r="E3351"/>
    </row>
    <row r="3352" spans="5:5" x14ac:dyDescent="0.4">
      <c r="E3352"/>
    </row>
    <row r="3353" spans="5:5" x14ac:dyDescent="0.4">
      <c r="E3353"/>
    </row>
    <row r="3354" spans="5:5" x14ac:dyDescent="0.4">
      <c r="E3354"/>
    </row>
    <row r="3355" spans="5:5" x14ac:dyDescent="0.4">
      <c r="E3355"/>
    </row>
    <row r="3356" spans="5:5" x14ac:dyDescent="0.4">
      <c r="E3356"/>
    </row>
    <row r="3357" spans="5:5" x14ac:dyDescent="0.4">
      <c r="E3357"/>
    </row>
    <row r="3358" spans="5:5" x14ac:dyDescent="0.4">
      <c r="E3358"/>
    </row>
    <row r="3359" spans="5:5" x14ac:dyDescent="0.4">
      <c r="E3359"/>
    </row>
    <row r="3360" spans="5:5" x14ac:dyDescent="0.4">
      <c r="E3360"/>
    </row>
    <row r="3361" spans="5:5" x14ac:dyDescent="0.4">
      <c r="E3361"/>
    </row>
    <row r="3362" spans="5:5" x14ac:dyDescent="0.4">
      <c r="E3362"/>
    </row>
    <row r="3363" spans="5:5" x14ac:dyDescent="0.4">
      <c r="E3363"/>
    </row>
    <row r="3364" spans="5:5" x14ac:dyDescent="0.4">
      <c r="E3364"/>
    </row>
    <row r="3365" spans="5:5" x14ac:dyDescent="0.4">
      <c r="E3365"/>
    </row>
    <row r="3366" spans="5:5" x14ac:dyDescent="0.4">
      <c r="E3366"/>
    </row>
    <row r="3367" spans="5:5" x14ac:dyDescent="0.4">
      <c r="E3367"/>
    </row>
    <row r="3368" spans="5:5" x14ac:dyDescent="0.4">
      <c r="E3368"/>
    </row>
    <row r="3369" spans="5:5" x14ac:dyDescent="0.4">
      <c r="E3369"/>
    </row>
    <row r="3370" spans="5:5" x14ac:dyDescent="0.4">
      <c r="E3370"/>
    </row>
    <row r="3371" spans="5:5" x14ac:dyDescent="0.4">
      <c r="E3371"/>
    </row>
    <row r="3372" spans="5:5" x14ac:dyDescent="0.4">
      <c r="E3372"/>
    </row>
    <row r="3373" spans="5:5" x14ac:dyDescent="0.4">
      <c r="E3373"/>
    </row>
    <row r="3374" spans="5:5" x14ac:dyDescent="0.4">
      <c r="E3374"/>
    </row>
    <row r="3375" spans="5:5" x14ac:dyDescent="0.4">
      <c r="E3375"/>
    </row>
    <row r="3376" spans="5:5" x14ac:dyDescent="0.4">
      <c r="E3376"/>
    </row>
    <row r="3377" spans="5:5" x14ac:dyDescent="0.4">
      <c r="E3377"/>
    </row>
    <row r="3378" spans="5:5" x14ac:dyDescent="0.4">
      <c r="E3378"/>
    </row>
    <row r="3379" spans="5:5" x14ac:dyDescent="0.4">
      <c r="E3379"/>
    </row>
    <row r="3380" spans="5:5" x14ac:dyDescent="0.4">
      <c r="E3380"/>
    </row>
    <row r="3381" spans="5:5" x14ac:dyDescent="0.4">
      <c r="E3381"/>
    </row>
    <row r="3382" spans="5:5" x14ac:dyDescent="0.4">
      <c r="E3382"/>
    </row>
    <row r="3383" spans="5:5" x14ac:dyDescent="0.4">
      <c r="E3383"/>
    </row>
    <row r="3384" spans="5:5" x14ac:dyDescent="0.4">
      <c r="E3384"/>
    </row>
    <row r="3385" spans="5:5" x14ac:dyDescent="0.4">
      <c r="E3385"/>
    </row>
    <row r="3386" spans="5:5" x14ac:dyDescent="0.4">
      <c r="E3386"/>
    </row>
    <row r="3387" spans="5:5" x14ac:dyDescent="0.4">
      <c r="E3387"/>
    </row>
    <row r="3388" spans="5:5" x14ac:dyDescent="0.4">
      <c r="E3388"/>
    </row>
    <row r="3389" spans="5:5" x14ac:dyDescent="0.4">
      <c r="E3389"/>
    </row>
    <row r="3390" spans="5:5" x14ac:dyDescent="0.4">
      <c r="E3390"/>
    </row>
    <row r="3391" spans="5:5" x14ac:dyDescent="0.4">
      <c r="E3391"/>
    </row>
    <row r="3392" spans="5:5" x14ac:dyDescent="0.4">
      <c r="E3392"/>
    </row>
    <row r="3393" spans="5:5" x14ac:dyDescent="0.4">
      <c r="E3393"/>
    </row>
    <row r="3394" spans="5:5" x14ac:dyDescent="0.4">
      <c r="E3394"/>
    </row>
    <row r="3395" spans="5:5" x14ac:dyDescent="0.4">
      <c r="E3395"/>
    </row>
    <row r="3396" spans="5:5" x14ac:dyDescent="0.4">
      <c r="E3396"/>
    </row>
    <row r="3397" spans="5:5" x14ac:dyDescent="0.4">
      <c r="E3397"/>
    </row>
    <row r="3398" spans="5:5" x14ac:dyDescent="0.4">
      <c r="E3398"/>
    </row>
    <row r="3399" spans="5:5" x14ac:dyDescent="0.4">
      <c r="E3399"/>
    </row>
    <row r="3400" spans="5:5" x14ac:dyDescent="0.4">
      <c r="E3400"/>
    </row>
    <row r="3401" spans="5:5" x14ac:dyDescent="0.4">
      <c r="E3401"/>
    </row>
    <row r="3402" spans="5:5" x14ac:dyDescent="0.4">
      <c r="E3402"/>
    </row>
    <row r="3403" spans="5:5" x14ac:dyDescent="0.4">
      <c r="E3403"/>
    </row>
    <row r="3404" spans="5:5" x14ac:dyDescent="0.4">
      <c r="E3404"/>
    </row>
    <row r="3405" spans="5:5" x14ac:dyDescent="0.4">
      <c r="E3405"/>
    </row>
    <row r="3406" spans="5:5" x14ac:dyDescent="0.4">
      <c r="E3406"/>
    </row>
    <row r="3407" spans="5:5" x14ac:dyDescent="0.4">
      <c r="E3407"/>
    </row>
    <row r="3408" spans="5:5" x14ac:dyDescent="0.4">
      <c r="E3408"/>
    </row>
    <row r="3409" spans="5:5" x14ac:dyDescent="0.4">
      <c r="E3409"/>
    </row>
    <row r="3410" spans="5:5" x14ac:dyDescent="0.4">
      <c r="E3410"/>
    </row>
    <row r="3411" spans="5:5" x14ac:dyDescent="0.4">
      <c r="E3411"/>
    </row>
    <row r="3412" spans="5:5" x14ac:dyDescent="0.4">
      <c r="E3412"/>
    </row>
    <row r="3413" spans="5:5" x14ac:dyDescent="0.4">
      <c r="E3413"/>
    </row>
    <row r="3414" spans="5:5" x14ac:dyDescent="0.4">
      <c r="E3414"/>
    </row>
    <row r="3415" spans="5:5" x14ac:dyDescent="0.4">
      <c r="E3415"/>
    </row>
    <row r="3416" spans="5:5" x14ac:dyDescent="0.4">
      <c r="E3416"/>
    </row>
    <row r="3417" spans="5:5" x14ac:dyDescent="0.4">
      <c r="E3417"/>
    </row>
    <row r="3418" spans="5:5" x14ac:dyDescent="0.4">
      <c r="E3418"/>
    </row>
    <row r="3419" spans="5:5" x14ac:dyDescent="0.4">
      <c r="E3419"/>
    </row>
    <row r="3420" spans="5:5" x14ac:dyDescent="0.4">
      <c r="E3420"/>
    </row>
    <row r="3421" spans="5:5" x14ac:dyDescent="0.4">
      <c r="E3421"/>
    </row>
    <row r="3422" spans="5:5" x14ac:dyDescent="0.4">
      <c r="E3422"/>
    </row>
    <row r="3423" spans="5:5" x14ac:dyDescent="0.4">
      <c r="E3423"/>
    </row>
    <row r="3424" spans="5:5" x14ac:dyDescent="0.4">
      <c r="E3424"/>
    </row>
    <row r="3425" spans="5:5" x14ac:dyDescent="0.4">
      <c r="E3425"/>
    </row>
    <row r="3426" spans="5:5" x14ac:dyDescent="0.4">
      <c r="E3426"/>
    </row>
    <row r="3427" spans="5:5" x14ac:dyDescent="0.4">
      <c r="E3427"/>
    </row>
    <row r="3428" spans="5:5" x14ac:dyDescent="0.4">
      <c r="E3428"/>
    </row>
    <row r="3429" spans="5:5" x14ac:dyDescent="0.4">
      <c r="E3429"/>
    </row>
    <row r="3430" spans="5:5" x14ac:dyDescent="0.4">
      <c r="E3430"/>
    </row>
    <row r="3431" spans="5:5" x14ac:dyDescent="0.4">
      <c r="E3431"/>
    </row>
    <row r="3432" spans="5:5" x14ac:dyDescent="0.4">
      <c r="E3432"/>
    </row>
    <row r="3433" spans="5:5" x14ac:dyDescent="0.4">
      <c r="E3433"/>
    </row>
    <row r="3434" spans="5:5" x14ac:dyDescent="0.4">
      <c r="E3434"/>
    </row>
    <row r="3435" spans="5:5" x14ac:dyDescent="0.4">
      <c r="E3435"/>
    </row>
    <row r="3436" spans="5:5" x14ac:dyDescent="0.4">
      <c r="E3436"/>
    </row>
    <row r="3437" spans="5:5" x14ac:dyDescent="0.4">
      <c r="E3437"/>
    </row>
    <row r="3438" spans="5:5" x14ac:dyDescent="0.4">
      <c r="E3438"/>
    </row>
    <row r="3439" spans="5:5" x14ac:dyDescent="0.4">
      <c r="E3439"/>
    </row>
    <row r="3440" spans="5:5" x14ac:dyDescent="0.4">
      <c r="E3440"/>
    </row>
    <row r="3441" spans="5:5" x14ac:dyDescent="0.4">
      <c r="E3441"/>
    </row>
    <row r="3442" spans="5:5" x14ac:dyDescent="0.4">
      <c r="E3442"/>
    </row>
    <row r="3443" spans="5:5" x14ac:dyDescent="0.4">
      <c r="E3443"/>
    </row>
    <row r="3444" spans="5:5" x14ac:dyDescent="0.4">
      <c r="E3444"/>
    </row>
    <row r="3445" spans="5:5" x14ac:dyDescent="0.4">
      <c r="E3445"/>
    </row>
    <row r="3446" spans="5:5" x14ac:dyDescent="0.4">
      <c r="E3446"/>
    </row>
    <row r="3447" spans="5:5" x14ac:dyDescent="0.4">
      <c r="E3447"/>
    </row>
    <row r="3448" spans="5:5" x14ac:dyDescent="0.4">
      <c r="E3448"/>
    </row>
    <row r="3449" spans="5:5" x14ac:dyDescent="0.4">
      <c r="E3449"/>
    </row>
    <row r="3450" spans="5:5" x14ac:dyDescent="0.4">
      <c r="E3450"/>
    </row>
    <row r="3451" spans="5:5" x14ac:dyDescent="0.4">
      <c r="E3451"/>
    </row>
    <row r="3452" spans="5:5" x14ac:dyDescent="0.4">
      <c r="E3452"/>
    </row>
    <row r="3453" spans="5:5" x14ac:dyDescent="0.4">
      <c r="E3453"/>
    </row>
    <row r="3454" spans="5:5" x14ac:dyDescent="0.4">
      <c r="E3454"/>
    </row>
    <row r="3455" spans="5:5" x14ac:dyDescent="0.4">
      <c r="E3455"/>
    </row>
    <row r="3456" spans="5:5" x14ac:dyDescent="0.4">
      <c r="E3456"/>
    </row>
    <row r="3457" spans="5:5" x14ac:dyDescent="0.4">
      <c r="E3457"/>
    </row>
    <row r="3458" spans="5:5" x14ac:dyDescent="0.4">
      <c r="E3458"/>
    </row>
    <row r="3459" spans="5:5" x14ac:dyDescent="0.4">
      <c r="E3459"/>
    </row>
    <row r="3460" spans="5:5" x14ac:dyDescent="0.4">
      <c r="E3460"/>
    </row>
    <row r="3461" spans="5:5" x14ac:dyDescent="0.4">
      <c r="E3461"/>
    </row>
    <row r="3462" spans="5:5" x14ac:dyDescent="0.4">
      <c r="E3462"/>
    </row>
    <row r="3463" spans="5:5" x14ac:dyDescent="0.4">
      <c r="E3463"/>
    </row>
    <row r="3464" spans="5:5" x14ac:dyDescent="0.4">
      <c r="E3464"/>
    </row>
    <row r="3465" spans="5:5" x14ac:dyDescent="0.4">
      <c r="E3465"/>
    </row>
    <row r="3466" spans="5:5" x14ac:dyDescent="0.4">
      <c r="E3466"/>
    </row>
    <row r="3467" spans="5:5" x14ac:dyDescent="0.4">
      <c r="E3467"/>
    </row>
    <row r="3468" spans="5:5" x14ac:dyDescent="0.4">
      <c r="E3468"/>
    </row>
    <row r="3469" spans="5:5" x14ac:dyDescent="0.4">
      <c r="E3469"/>
    </row>
    <row r="3470" spans="5:5" x14ac:dyDescent="0.4">
      <c r="E3470"/>
    </row>
    <row r="3471" spans="5:5" x14ac:dyDescent="0.4">
      <c r="E3471"/>
    </row>
    <row r="3472" spans="5:5" x14ac:dyDescent="0.4">
      <c r="E3472"/>
    </row>
    <row r="3473" spans="5:5" x14ac:dyDescent="0.4">
      <c r="E3473"/>
    </row>
    <row r="3474" spans="5:5" x14ac:dyDescent="0.4">
      <c r="E3474"/>
    </row>
    <row r="3475" spans="5:5" x14ac:dyDescent="0.4">
      <c r="E3475"/>
    </row>
    <row r="3476" spans="5:5" x14ac:dyDescent="0.4">
      <c r="E3476"/>
    </row>
    <row r="3477" spans="5:5" x14ac:dyDescent="0.4">
      <c r="E3477"/>
    </row>
    <row r="3478" spans="5:5" x14ac:dyDescent="0.4">
      <c r="E3478"/>
    </row>
    <row r="3479" spans="5:5" x14ac:dyDescent="0.4">
      <c r="E3479"/>
    </row>
    <row r="3480" spans="5:5" x14ac:dyDescent="0.4">
      <c r="E3480"/>
    </row>
    <row r="3481" spans="5:5" x14ac:dyDescent="0.4">
      <c r="E3481"/>
    </row>
    <row r="3482" spans="5:5" x14ac:dyDescent="0.4">
      <c r="E3482"/>
    </row>
    <row r="3483" spans="5:5" x14ac:dyDescent="0.4">
      <c r="E3483"/>
    </row>
    <row r="3484" spans="5:5" x14ac:dyDescent="0.4">
      <c r="E3484"/>
    </row>
    <row r="3485" spans="5:5" x14ac:dyDescent="0.4">
      <c r="E3485"/>
    </row>
    <row r="3486" spans="5:5" x14ac:dyDescent="0.4">
      <c r="E3486"/>
    </row>
    <row r="3487" spans="5:5" x14ac:dyDescent="0.4">
      <c r="E3487"/>
    </row>
    <row r="3488" spans="5:5" x14ac:dyDescent="0.4">
      <c r="E3488"/>
    </row>
    <row r="3489" spans="5:5" x14ac:dyDescent="0.4">
      <c r="E3489"/>
    </row>
    <row r="3490" spans="5:5" x14ac:dyDescent="0.4">
      <c r="E3490"/>
    </row>
    <row r="3491" spans="5:5" x14ac:dyDescent="0.4">
      <c r="E3491"/>
    </row>
    <row r="3492" spans="5:5" x14ac:dyDescent="0.4">
      <c r="E3492"/>
    </row>
    <row r="3493" spans="5:5" x14ac:dyDescent="0.4">
      <c r="E3493"/>
    </row>
    <row r="3494" spans="5:5" x14ac:dyDescent="0.4">
      <c r="E3494"/>
    </row>
    <row r="3495" spans="5:5" x14ac:dyDescent="0.4">
      <c r="E3495"/>
    </row>
    <row r="3496" spans="5:5" x14ac:dyDescent="0.4">
      <c r="E3496"/>
    </row>
    <row r="3497" spans="5:5" x14ac:dyDescent="0.4">
      <c r="E3497"/>
    </row>
    <row r="3498" spans="5:5" x14ac:dyDescent="0.4">
      <c r="E3498"/>
    </row>
    <row r="3499" spans="5:5" x14ac:dyDescent="0.4">
      <c r="E3499"/>
    </row>
    <row r="3500" spans="5:5" x14ac:dyDescent="0.4">
      <c r="E3500"/>
    </row>
    <row r="3501" spans="5:5" x14ac:dyDescent="0.4">
      <c r="E3501"/>
    </row>
    <row r="3502" spans="5:5" x14ac:dyDescent="0.4">
      <c r="E3502"/>
    </row>
    <row r="3503" spans="5:5" x14ac:dyDescent="0.4">
      <c r="E3503"/>
    </row>
    <row r="3504" spans="5:5" x14ac:dyDescent="0.4">
      <c r="E3504"/>
    </row>
    <row r="3505" spans="5:5" x14ac:dyDescent="0.4">
      <c r="E3505"/>
    </row>
    <row r="3506" spans="5:5" x14ac:dyDescent="0.4">
      <c r="E3506"/>
    </row>
    <row r="3507" spans="5:5" x14ac:dyDescent="0.4">
      <c r="E3507"/>
    </row>
    <row r="3508" spans="5:5" x14ac:dyDescent="0.4">
      <c r="E3508"/>
    </row>
    <row r="3509" spans="5:5" x14ac:dyDescent="0.4">
      <c r="E3509"/>
    </row>
    <row r="3510" spans="5:5" x14ac:dyDescent="0.4">
      <c r="E3510"/>
    </row>
    <row r="3511" spans="5:5" x14ac:dyDescent="0.4">
      <c r="E3511"/>
    </row>
    <row r="3512" spans="5:5" x14ac:dyDescent="0.4">
      <c r="E3512"/>
    </row>
    <row r="3513" spans="5:5" x14ac:dyDescent="0.4">
      <c r="E3513"/>
    </row>
    <row r="3514" spans="5:5" x14ac:dyDescent="0.4">
      <c r="E3514"/>
    </row>
    <row r="3515" spans="5:5" x14ac:dyDescent="0.4">
      <c r="E3515"/>
    </row>
    <row r="3516" spans="5:5" x14ac:dyDescent="0.4">
      <c r="E3516"/>
    </row>
    <row r="3517" spans="5:5" x14ac:dyDescent="0.4">
      <c r="E3517"/>
    </row>
    <row r="3518" spans="5:5" x14ac:dyDescent="0.4">
      <c r="E3518"/>
    </row>
    <row r="3519" spans="5:5" x14ac:dyDescent="0.4">
      <c r="E3519"/>
    </row>
    <row r="3520" spans="5:5" x14ac:dyDescent="0.4">
      <c r="E3520"/>
    </row>
    <row r="3521" spans="5:5" x14ac:dyDescent="0.4">
      <c r="E3521"/>
    </row>
    <row r="3522" spans="5:5" x14ac:dyDescent="0.4">
      <c r="E3522"/>
    </row>
    <row r="3523" spans="5:5" x14ac:dyDescent="0.4">
      <c r="E3523"/>
    </row>
    <row r="3524" spans="5:5" x14ac:dyDescent="0.4">
      <c r="E3524"/>
    </row>
    <row r="3525" spans="5:5" x14ac:dyDescent="0.4">
      <c r="E3525"/>
    </row>
    <row r="3526" spans="5:5" x14ac:dyDescent="0.4">
      <c r="E3526"/>
    </row>
    <row r="3527" spans="5:5" x14ac:dyDescent="0.4">
      <c r="E3527"/>
    </row>
    <row r="3528" spans="5:5" x14ac:dyDescent="0.4">
      <c r="E3528"/>
    </row>
    <row r="3529" spans="5:5" x14ac:dyDescent="0.4">
      <c r="E3529"/>
    </row>
    <row r="3530" spans="5:5" x14ac:dyDescent="0.4">
      <c r="E3530"/>
    </row>
    <row r="3531" spans="5:5" x14ac:dyDescent="0.4">
      <c r="E3531"/>
    </row>
    <row r="3532" spans="5:5" x14ac:dyDescent="0.4">
      <c r="E3532"/>
    </row>
    <row r="3533" spans="5:5" x14ac:dyDescent="0.4">
      <c r="E3533"/>
    </row>
    <row r="3534" spans="5:5" x14ac:dyDescent="0.4">
      <c r="E3534"/>
    </row>
    <row r="3535" spans="5:5" x14ac:dyDescent="0.4">
      <c r="E3535"/>
    </row>
    <row r="3536" spans="5:5" x14ac:dyDescent="0.4">
      <c r="E3536"/>
    </row>
    <row r="3537" spans="5:5" x14ac:dyDescent="0.4">
      <c r="E3537"/>
    </row>
    <row r="3538" spans="5:5" x14ac:dyDescent="0.4">
      <c r="E3538"/>
    </row>
    <row r="3539" spans="5:5" x14ac:dyDescent="0.4">
      <c r="E3539"/>
    </row>
    <row r="3540" spans="5:5" x14ac:dyDescent="0.4">
      <c r="E3540"/>
    </row>
    <row r="3541" spans="5:5" x14ac:dyDescent="0.4">
      <c r="E3541"/>
    </row>
    <row r="3542" spans="5:5" x14ac:dyDescent="0.4">
      <c r="E3542"/>
    </row>
    <row r="3543" spans="5:5" x14ac:dyDescent="0.4">
      <c r="E3543"/>
    </row>
    <row r="3544" spans="5:5" x14ac:dyDescent="0.4">
      <c r="E3544"/>
    </row>
    <row r="3545" spans="5:5" x14ac:dyDescent="0.4">
      <c r="E3545"/>
    </row>
    <row r="3546" spans="5:5" x14ac:dyDescent="0.4">
      <c r="E3546"/>
    </row>
    <row r="3547" spans="5:5" x14ac:dyDescent="0.4">
      <c r="E3547"/>
    </row>
    <row r="3548" spans="5:5" x14ac:dyDescent="0.4">
      <c r="E3548"/>
    </row>
    <row r="3549" spans="5:5" x14ac:dyDescent="0.4">
      <c r="E3549"/>
    </row>
    <row r="3550" spans="5:5" x14ac:dyDescent="0.4">
      <c r="E3550"/>
    </row>
    <row r="3551" spans="5:5" x14ac:dyDescent="0.4">
      <c r="E3551"/>
    </row>
    <row r="3552" spans="5:5" x14ac:dyDescent="0.4">
      <c r="E3552"/>
    </row>
    <row r="3553" spans="5:5" x14ac:dyDescent="0.4">
      <c r="E3553"/>
    </row>
    <row r="3554" spans="5:5" x14ac:dyDescent="0.4">
      <c r="E3554"/>
    </row>
    <row r="3555" spans="5:5" x14ac:dyDescent="0.4">
      <c r="E3555"/>
    </row>
    <row r="3556" spans="5:5" x14ac:dyDescent="0.4">
      <c r="E3556"/>
    </row>
    <row r="3557" spans="5:5" x14ac:dyDescent="0.4">
      <c r="E3557"/>
    </row>
    <row r="3558" spans="5:5" x14ac:dyDescent="0.4">
      <c r="E3558"/>
    </row>
    <row r="3559" spans="5:5" x14ac:dyDescent="0.4">
      <c r="E3559"/>
    </row>
    <row r="3560" spans="5:5" x14ac:dyDescent="0.4">
      <c r="E3560"/>
    </row>
    <row r="3561" spans="5:5" x14ac:dyDescent="0.4">
      <c r="E3561"/>
    </row>
    <row r="3562" spans="5:5" x14ac:dyDescent="0.4">
      <c r="E3562"/>
    </row>
    <row r="3563" spans="5:5" x14ac:dyDescent="0.4">
      <c r="E3563"/>
    </row>
    <row r="3564" spans="5:5" x14ac:dyDescent="0.4">
      <c r="E3564"/>
    </row>
    <row r="3565" spans="5:5" x14ac:dyDescent="0.4">
      <c r="E3565"/>
    </row>
    <row r="3566" spans="5:5" x14ac:dyDescent="0.4">
      <c r="E3566"/>
    </row>
    <row r="3567" spans="5:5" x14ac:dyDescent="0.4">
      <c r="E3567"/>
    </row>
    <row r="3568" spans="5:5" x14ac:dyDescent="0.4">
      <c r="E3568"/>
    </row>
    <row r="3569" spans="5:5" x14ac:dyDescent="0.4">
      <c r="E3569"/>
    </row>
    <row r="3570" spans="5:5" x14ac:dyDescent="0.4">
      <c r="E3570"/>
    </row>
    <row r="3571" spans="5:5" x14ac:dyDescent="0.4">
      <c r="E3571"/>
    </row>
    <row r="3572" spans="5:5" x14ac:dyDescent="0.4">
      <c r="E3572"/>
    </row>
    <row r="3573" spans="5:5" x14ac:dyDescent="0.4">
      <c r="E3573"/>
    </row>
    <row r="3574" spans="5:5" x14ac:dyDescent="0.4">
      <c r="E3574"/>
    </row>
    <row r="3575" spans="5:5" x14ac:dyDescent="0.4">
      <c r="E3575"/>
    </row>
    <row r="3576" spans="5:5" x14ac:dyDescent="0.4">
      <c r="E3576"/>
    </row>
    <row r="3577" spans="5:5" x14ac:dyDescent="0.4">
      <c r="E3577"/>
    </row>
    <row r="3578" spans="5:5" x14ac:dyDescent="0.4">
      <c r="E3578"/>
    </row>
    <row r="3579" spans="5:5" x14ac:dyDescent="0.4">
      <c r="E3579"/>
    </row>
    <row r="3580" spans="5:5" x14ac:dyDescent="0.4">
      <c r="E3580"/>
    </row>
    <row r="3581" spans="5:5" x14ac:dyDescent="0.4">
      <c r="E3581"/>
    </row>
    <row r="3582" spans="5:5" x14ac:dyDescent="0.4">
      <c r="E3582"/>
    </row>
    <row r="3583" spans="5:5" x14ac:dyDescent="0.4">
      <c r="E3583"/>
    </row>
    <row r="3584" spans="5:5" x14ac:dyDescent="0.4">
      <c r="E3584"/>
    </row>
    <row r="3585" spans="5:5" x14ac:dyDescent="0.4">
      <c r="E3585"/>
    </row>
    <row r="3586" spans="5:5" x14ac:dyDescent="0.4">
      <c r="E3586"/>
    </row>
    <row r="3587" spans="5:5" x14ac:dyDescent="0.4">
      <c r="E3587"/>
    </row>
    <row r="3588" spans="5:5" x14ac:dyDescent="0.4">
      <c r="E3588"/>
    </row>
    <row r="3589" spans="5:5" x14ac:dyDescent="0.4">
      <c r="E3589"/>
    </row>
    <row r="3590" spans="5:5" x14ac:dyDescent="0.4">
      <c r="E3590"/>
    </row>
    <row r="3591" spans="5:5" x14ac:dyDescent="0.4">
      <c r="E3591"/>
    </row>
    <row r="3592" spans="5:5" x14ac:dyDescent="0.4">
      <c r="E3592"/>
    </row>
    <row r="3593" spans="5:5" x14ac:dyDescent="0.4">
      <c r="E3593"/>
    </row>
    <row r="3594" spans="5:5" x14ac:dyDescent="0.4">
      <c r="E3594"/>
    </row>
    <row r="3595" spans="5:5" x14ac:dyDescent="0.4">
      <c r="E3595"/>
    </row>
    <row r="3596" spans="5:5" x14ac:dyDescent="0.4">
      <c r="E3596"/>
    </row>
    <row r="3597" spans="5:5" x14ac:dyDescent="0.4">
      <c r="E3597"/>
    </row>
    <row r="3598" spans="5:5" x14ac:dyDescent="0.4">
      <c r="E3598"/>
    </row>
    <row r="3599" spans="5:5" x14ac:dyDescent="0.4">
      <c r="E3599"/>
    </row>
    <row r="3600" spans="5:5" x14ac:dyDescent="0.4">
      <c r="E3600"/>
    </row>
    <row r="3601" spans="5:5" x14ac:dyDescent="0.4">
      <c r="E3601"/>
    </row>
    <row r="3602" spans="5:5" x14ac:dyDescent="0.4">
      <c r="E3602"/>
    </row>
    <row r="3603" spans="5:5" x14ac:dyDescent="0.4">
      <c r="E3603"/>
    </row>
    <row r="3604" spans="5:5" x14ac:dyDescent="0.4">
      <c r="E3604"/>
    </row>
    <row r="3605" spans="5:5" x14ac:dyDescent="0.4">
      <c r="E3605"/>
    </row>
    <row r="3606" spans="5:5" x14ac:dyDescent="0.4">
      <c r="E3606"/>
    </row>
    <row r="3607" spans="5:5" x14ac:dyDescent="0.4">
      <c r="E3607"/>
    </row>
    <row r="3608" spans="5:5" x14ac:dyDescent="0.4">
      <c r="E3608"/>
    </row>
    <row r="3609" spans="5:5" x14ac:dyDescent="0.4">
      <c r="E3609"/>
    </row>
    <row r="3610" spans="5:5" x14ac:dyDescent="0.4">
      <c r="E3610"/>
    </row>
    <row r="3611" spans="5:5" x14ac:dyDescent="0.4">
      <c r="E3611"/>
    </row>
    <row r="3612" spans="5:5" x14ac:dyDescent="0.4">
      <c r="E3612"/>
    </row>
    <row r="3613" spans="5:5" x14ac:dyDescent="0.4">
      <c r="E3613"/>
    </row>
    <row r="3614" spans="5:5" x14ac:dyDescent="0.4">
      <c r="E3614"/>
    </row>
    <row r="3615" spans="5:5" x14ac:dyDescent="0.4">
      <c r="E3615"/>
    </row>
    <row r="3616" spans="5:5" x14ac:dyDescent="0.4">
      <c r="E3616"/>
    </row>
    <row r="3617" spans="5:5" x14ac:dyDescent="0.4">
      <c r="E3617"/>
    </row>
    <row r="3618" spans="5:5" x14ac:dyDescent="0.4">
      <c r="E3618"/>
    </row>
    <row r="3619" spans="5:5" x14ac:dyDescent="0.4">
      <c r="E3619"/>
    </row>
    <row r="3620" spans="5:5" x14ac:dyDescent="0.4">
      <c r="E3620"/>
    </row>
    <row r="3621" spans="5:5" x14ac:dyDescent="0.4">
      <c r="E3621"/>
    </row>
    <row r="3622" spans="5:5" x14ac:dyDescent="0.4">
      <c r="E3622"/>
    </row>
    <row r="3623" spans="5:5" x14ac:dyDescent="0.4">
      <c r="E3623"/>
    </row>
    <row r="3624" spans="5:5" x14ac:dyDescent="0.4">
      <c r="E3624"/>
    </row>
    <row r="3625" spans="5:5" x14ac:dyDescent="0.4">
      <c r="E3625"/>
    </row>
    <row r="3626" spans="5:5" x14ac:dyDescent="0.4">
      <c r="E3626"/>
    </row>
    <row r="3627" spans="5:5" x14ac:dyDescent="0.4">
      <c r="E3627"/>
    </row>
    <row r="3628" spans="5:5" x14ac:dyDescent="0.4">
      <c r="E3628"/>
    </row>
    <row r="3629" spans="5:5" x14ac:dyDescent="0.4">
      <c r="E3629"/>
    </row>
    <row r="3630" spans="5:5" x14ac:dyDescent="0.4">
      <c r="E3630"/>
    </row>
    <row r="3631" spans="5:5" x14ac:dyDescent="0.4">
      <c r="E3631"/>
    </row>
    <row r="3632" spans="5:5" x14ac:dyDescent="0.4">
      <c r="E3632"/>
    </row>
    <row r="3633" spans="5:5" x14ac:dyDescent="0.4">
      <c r="E3633"/>
    </row>
    <row r="3634" spans="5:5" x14ac:dyDescent="0.4">
      <c r="E3634"/>
    </row>
    <row r="3635" spans="5:5" x14ac:dyDescent="0.4">
      <c r="E3635"/>
    </row>
    <row r="3636" spans="5:5" x14ac:dyDescent="0.4">
      <c r="E3636"/>
    </row>
    <row r="3637" spans="5:5" x14ac:dyDescent="0.4">
      <c r="E3637"/>
    </row>
    <row r="3638" spans="5:5" x14ac:dyDescent="0.4">
      <c r="E3638"/>
    </row>
    <row r="3639" spans="5:5" x14ac:dyDescent="0.4">
      <c r="E3639"/>
    </row>
    <row r="3640" spans="5:5" x14ac:dyDescent="0.4">
      <c r="E3640"/>
    </row>
    <row r="3641" spans="5:5" x14ac:dyDescent="0.4">
      <c r="E3641"/>
    </row>
    <row r="3642" spans="5:5" x14ac:dyDescent="0.4">
      <c r="E3642"/>
    </row>
    <row r="3643" spans="5:5" x14ac:dyDescent="0.4">
      <c r="E3643"/>
    </row>
    <row r="3644" spans="5:5" x14ac:dyDescent="0.4">
      <c r="E3644"/>
    </row>
    <row r="3645" spans="5:5" x14ac:dyDescent="0.4">
      <c r="E3645"/>
    </row>
    <row r="3646" spans="5:5" x14ac:dyDescent="0.4">
      <c r="E3646"/>
    </row>
    <row r="3647" spans="5:5" x14ac:dyDescent="0.4">
      <c r="E3647"/>
    </row>
    <row r="3648" spans="5:5" x14ac:dyDescent="0.4">
      <c r="E3648"/>
    </row>
    <row r="3649" spans="5:5" x14ac:dyDescent="0.4">
      <c r="E3649"/>
    </row>
    <row r="3650" spans="5:5" x14ac:dyDescent="0.4">
      <c r="E3650"/>
    </row>
    <row r="3651" spans="5:5" x14ac:dyDescent="0.4">
      <c r="E3651"/>
    </row>
    <row r="3652" spans="5:5" x14ac:dyDescent="0.4">
      <c r="E3652"/>
    </row>
    <row r="3653" spans="5:5" x14ac:dyDescent="0.4">
      <c r="E3653"/>
    </row>
    <row r="3654" spans="5:5" x14ac:dyDescent="0.4">
      <c r="E3654"/>
    </row>
    <row r="3655" spans="5:5" x14ac:dyDescent="0.4">
      <c r="E3655"/>
    </row>
    <row r="3656" spans="5:5" x14ac:dyDescent="0.4">
      <c r="E3656"/>
    </row>
    <row r="3657" spans="5:5" x14ac:dyDescent="0.4">
      <c r="E3657"/>
    </row>
    <row r="3658" spans="5:5" x14ac:dyDescent="0.4">
      <c r="E3658"/>
    </row>
    <row r="3659" spans="5:5" x14ac:dyDescent="0.4">
      <c r="E3659"/>
    </row>
    <row r="3660" spans="5:5" x14ac:dyDescent="0.4">
      <c r="E3660"/>
    </row>
    <row r="3661" spans="5:5" x14ac:dyDescent="0.4">
      <c r="E3661"/>
    </row>
    <row r="3662" spans="5:5" x14ac:dyDescent="0.4">
      <c r="E3662"/>
    </row>
    <row r="3663" spans="5:5" x14ac:dyDescent="0.4">
      <c r="E3663"/>
    </row>
    <row r="3664" spans="5:5" x14ac:dyDescent="0.4">
      <c r="E3664"/>
    </row>
    <row r="3665" spans="5:5" x14ac:dyDescent="0.4">
      <c r="E3665"/>
    </row>
    <row r="3666" spans="5:5" x14ac:dyDescent="0.4">
      <c r="E3666"/>
    </row>
    <row r="3667" spans="5:5" x14ac:dyDescent="0.4">
      <c r="E3667"/>
    </row>
    <row r="3668" spans="5:5" x14ac:dyDescent="0.4">
      <c r="E3668"/>
    </row>
    <row r="3669" spans="5:5" x14ac:dyDescent="0.4">
      <c r="E3669"/>
    </row>
    <row r="3670" spans="5:5" x14ac:dyDescent="0.4">
      <c r="E3670"/>
    </row>
    <row r="3671" spans="5:5" x14ac:dyDescent="0.4">
      <c r="E3671"/>
    </row>
    <row r="3672" spans="5:5" x14ac:dyDescent="0.4">
      <c r="E3672"/>
    </row>
    <row r="3673" spans="5:5" x14ac:dyDescent="0.4">
      <c r="E3673"/>
    </row>
    <row r="3674" spans="5:5" x14ac:dyDescent="0.4">
      <c r="E3674"/>
    </row>
    <row r="3675" spans="5:5" x14ac:dyDescent="0.4">
      <c r="E3675"/>
    </row>
    <row r="3676" spans="5:5" x14ac:dyDescent="0.4">
      <c r="E3676"/>
    </row>
    <row r="3677" spans="5:5" x14ac:dyDescent="0.4">
      <c r="E3677"/>
    </row>
    <row r="3678" spans="5:5" x14ac:dyDescent="0.4">
      <c r="E3678"/>
    </row>
    <row r="3679" spans="5:5" x14ac:dyDescent="0.4">
      <c r="E3679"/>
    </row>
    <row r="3680" spans="5:5" x14ac:dyDescent="0.4">
      <c r="E3680"/>
    </row>
    <row r="3681" spans="5:5" x14ac:dyDescent="0.4">
      <c r="E3681"/>
    </row>
    <row r="3682" spans="5:5" x14ac:dyDescent="0.4">
      <c r="E3682"/>
    </row>
    <row r="3683" spans="5:5" x14ac:dyDescent="0.4">
      <c r="E3683"/>
    </row>
    <row r="3684" spans="5:5" x14ac:dyDescent="0.4">
      <c r="E3684"/>
    </row>
    <row r="3685" spans="5:5" x14ac:dyDescent="0.4">
      <c r="E3685"/>
    </row>
    <row r="3686" spans="5:5" x14ac:dyDescent="0.4">
      <c r="E3686"/>
    </row>
    <row r="3687" spans="5:5" x14ac:dyDescent="0.4">
      <c r="E3687"/>
    </row>
    <row r="3688" spans="5:5" x14ac:dyDescent="0.4">
      <c r="E3688"/>
    </row>
    <row r="3689" spans="5:5" x14ac:dyDescent="0.4">
      <c r="E3689"/>
    </row>
    <row r="3690" spans="5:5" x14ac:dyDescent="0.4">
      <c r="E3690"/>
    </row>
    <row r="3691" spans="5:5" x14ac:dyDescent="0.4">
      <c r="E3691"/>
    </row>
    <row r="3692" spans="5:5" x14ac:dyDescent="0.4">
      <c r="E3692"/>
    </row>
    <row r="3693" spans="5:5" x14ac:dyDescent="0.4">
      <c r="E3693"/>
    </row>
    <row r="3694" spans="5:5" x14ac:dyDescent="0.4">
      <c r="E3694"/>
    </row>
    <row r="3695" spans="5:5" x14ac:dyDescent="0.4">
      <c r="E3695"/>
    </row>
    <row r="3696" spans="5:5" x14ac:dyDescent="0.4">
      <c r="E3696"/>
    </row>
    <row r="3697" spans="5:5" x14ac:dyDescent="0.4">
      <c r="E3697"/>
    </row>
    <row r="3698" spans="5:5" x14ac:dyDescent="0.4">
      <c r="E3698"/>
    </row>
    <row r="3699" spans="5:5" x14ac:dyDescent="0.4">
      <c r="E3699"/>
    </row>
    <row r="3700" spans="5:5" x14ac:dyDescent="0.4">
      <c r="E3700"/>
    </row>
    <row r="3701" spans="5:5" x14ac:dyDescent="0.4">
      <c r="E3701"/>
    </row>
    <row r="3702" spans="5:5" x14ac:dyDescent="0.4">
      <c r="E3702"/>
    </row>
    <row r="3703" spans="5:5" x14ac:dyDescent="0.4">
      <c r="E3703"/>
    </row>
    <row r="3704" spans="5:5" x14ac:dyDescent="0.4">
      <c r="E3704"/>
    </row>
    <row r="3705" spans="5:5" x14ac:dyDescent="0.4">
      <c r="E3705"/>
    </row>
    <row r="3706" spans="5:5" x14ac:dyDescent="0.4">
      <c r="E3706"/>
    </row>
    <row r="3707" spans="5:5" x14ac:dyDescent="0.4">
      <c r="E3707"/>
    </row>
    <row r="3708" spans="5:5" x14ac:dyDescent="0.4">
      <c r="E3708"/>
    </row>
    <row r="3709" spans="5:5" x14ac:dyDescent="0.4">
      <c r="E3709"/>
    </row>
    <row r="3710" spans="5:5" x14ac:dyDescent="0.4">
      <c r="E3710"/>
    </row>
    <row r="3711" spans="5:5" x14ac:dyDescent="0.4">
      <c r="E3711"/>
    </row>
    <row r="3712" spans="5:5" x14ac:dyDescent="0.4">
      <c r="E3712"/>
    </row>
    <row r="3713" spans="5:5" x14ac:dyDescent="0.4">
      <c r="E3713"/>
    </row>
    <row r="3714" spans="5:5" x14ac:dyDescent="0.4">
      <c r="E3714"/>
    </row>
    <row r="3715" spans="5:5" x14ac:dyDescent="0.4">
      <c r="E3715"/>
    </row>
    <row r="3716" spans="5:5" x14ac:dyDescent="0.4">
      <c r="E3716"/>
    </row>
    <row r="3717" spans="5:5" x14ac:dyDescent="0.4">
      <c r="E3717"/>
    </row>
    <row r="3718" spans="5:5" x14ac:dyDescent="0.4">
      <c r="E3718"/>
    </row>
    <row r="3719" spans="5:5" x14ac:dyDescent="0.4">
      <c r="E3719"/>
    </row>
    <row r="3720" spans="5:5" x14ac:dyDescent="0.4">
      <c r="E3720"/>
    </row>
    <row r="3721" spans="5:5" x14ac:dyDescent="0.4">
      <c r="E3721"/>
    </row>
    <row r="3722" spans="5:5" x14ac:dyDescent="0.4">
      <c r="E3722"/>
    </row>
    <row r="3723" spans="5:5" x14ac:dyDescent="0.4">
      <c r="E3723"/>
    </row>
    <row r="3724" spans="5:5" x14ac:dyDescent="0.4">
      <c r="E3724"/>
    </row>
    <row r="3725" spans="5:5" x14ac:dyDescent="0.4">
      <c r="E3725"/>
    </row>
    <row r="3726" spans="5:5" x14ac:dyDescent="0.4">
      <c r="E3726"/>
    </row>
    <row r="3727" spans="5:5" x14ac:dyDescent="0.4">
      <c r="E3727"/>
    </row>
    <row r="3728" spans="5:5" x14ac:dyDescent="0.4">
      <c r="E3728"/>
    </row>
    <row r="3729" spans="5:5" x14ac:dyDescent="0.4">
      <c r="E3729"/>
    </row>
    <row r="3730" spans="5:5" x14ac:dyDescent="0.4">
      <c r="E3730"/>
    </row>
    <row r="3731" spans="5:5" x14ac:dyDescent="0.4">
      <c r="E3731"/>
    </row>
    <row r="3732" spans="5:5" x14ac:dyDescent="0.4">
      <c r="E3732"/>
    </row>
    <row r="3733" spans="5:5" x14ac:dyDescent="0.4">
      <c r="E3733"/>
    </row>
    <row r="3734" spans="5:5" x14ac:dyDescent="0.4">
      <c r="E3734"/>
    </row>
    <row r="3735" spans="5:5" x14ac:dyDescent="0.4">
      <c r="E3735"/>
    </row>
    <row r="3736" spans="5:5" x14ac:dyDescent="0.4">
      <c r="E3736"/>
    </row>
    <row r="3737" spans="5:5" x14ac:dyDescent="0.4">
      <c r="E3737"/>
    </row>
    <row r="3738" spans="5:5" x14ac:dyDescent="0.4">
      <c r="E3738"/>
    </row>
    <row r="3739" spans="5:5" x14ac:dyDescent="0.4">
      <c r="E3739"/>
    </row>
    <row r="3740" spans="5:5" x14ac:dyDescent="0.4">
      <c r="E3740"/>
    </row>
    <row r="3741" spans="5:5" x14ac:dyDescent="0.4">
      <c r="E3741"/>
    </row>
    <row r="3742" spans="5:5" x14ac:dyDescent="0.4">
      <c r="E3742"/>
    </row>
    <row r="3743" spans="5:5" x14ac:dyDescent="0.4">
      <c r="E3743"/>
    </row>
    <row r="3744" spans="5:5" x14ac:dyDescent="0.4">
      <c r="E3744"/>
    </row>
    <row r="3745" spans="5:5" x14ac:dyDescent="0.4">
      <c r="E3745"/>
    </row>
    <row r="3746" spans="5:5" x14ac:dyDescent="0.4">
      <c r="E3746"/>
    </row>
    <row r="3747" spans="5:5" x14ac:dyDescent="0.4">
      <c r="E3747"/>
    </row>
    <row r="3748" spans="5:5" x14ac:dyDescent="0.4">
      <c r="E3748"/>
    </row>
    <row r="3749" spans="5:5" x14ac:dyDescent="0.4">
      <c r="E3749"/>
    </row>
    <row r="3750" spans="5:5" x14ac:dyDescent="0.4">
      <c r="E3750"/>
    </row>
    <row r="3751" spans="5:5" x14ac:dyDescent="0.4">
      <c r="E3751"/>
    </row>
    <row r="3752" spans="5:5" x14ac:dyDescent="0.4">
      <c r="E3752"/>
    </row>
    <row r="3753" spans="5:5" x14ac:dyDescent="0.4">
      <c r="E3753"/>
    </row>
    <row r="3754" spans="5:5" x14ac:dyDescent="0.4">
      <c r="E3754"/>
    </row>
    <row r="3755" spans="5:5" x14ac:dyDescent="0.4">
      <c r="E3755"/>
    </row>
    <row r="3756" spans="5:5" x14ac:dyDescent="0.4">
      <c r="E3756"/>
    </row>
    <row r="3757" spans="5:5" x14ac:dyDescent="0.4">
      <c r="E3757"/>
    </row>
    <row r="3758" spans="5:5" x14ac:dyDescent="0.4">
      <c r="E3758"/>
    </row>
    <row r="3759" spans="5:5" x14ac:dyDescent="0.4">
      <c r="E3759"/>
    </row>
    <row r="3760" spans="5:5" x14ac:dyDescent="0.4">
      <c r="E3760"/>
    </row>
    <row r="3761" spans="5:5" x14ac:dyDescent="0.4">
      <c r="E3761"/>
    </row>
    <row r="3762" spans="5:5" x14ac:dyDescent="0.4">
      <c r="E3762"/>
    </row>
    <row r="3763" spans="5:5" x14ac:dyDescent="0.4">
      <c r="E3763"/>
    </row>
    <row r="3764" spans="5:5" x14ac:dyDescent="0.4">
      <c r="E3764"/>
    </row>
    <row r="3765" spans="5:5" x14ac:dyDescent="0.4">
      <c r="E3765"/>
    </row>
    <row r="3766" spans="5:5" x14ac:dyDescent="0.4">
      <c r="E3766"/>
    </row>
    <row r="3767" spans="5:5" x14ac:dyDescent="0.4">
      <c r="E3767"/>
    </row>
    <row r="3768" spans="5:5" x14ac:dyDescent="0.4">
      <c r="E3768"/>
    </row>
    <row r="3769" spans="5:5" x14ac:dyDescent="0.4">
      <c r="E3769"/>
    </row>
    <row r="3770" spans="5:5" x14ac:dyDescent="0.4">
      <c r="E3770"/>
    </row>
    <row r="3771" spans="5:5" x14ac:dyDescent="0.4">
      <c r="E3771"/>
    </row>
    <row r="3772" spans="5:5" x14ac:dyDescent="0.4">
      <c r="E3772"/>
    </row>
    <row r="3773" spans="5:5" x14ac:dyDescent="0.4">
      <c r="E3773"/>
    </row>
    <row r="3774" spans="5:5" x14ac:dyDescent="0.4">
      <c r="E3774"/>
    </row>
    <row r="3775" spans="5:5" x14ac:dyDescent="0.4">
      <c r="E3775"/>
    </row>
    <row r="3776" spans="5:5" x14ac:dyDescent="0.4">
      <c r="E3776"/>
    </row>
    <row r="3777" spans="5:5" x14ac:dyDescent="0.4">
      <c r="E3777"/>
    </row>
    <row r="3778" spans="5:5" x14ac:dyDescent="0.4">
      <c r="E3778"/>
    </row>
    <row r="3779" spans="5:5" x14ac:dyDescent="0.4">
      <c r="E3779"/>
    </row>
    <row r="3780" spans="5:5" x14ac:dyDescent="0.4">
      <c r="E3780"/>
    </row>
    <row r="3781" spans="5:5" x14ac:dyDescent="0.4">
      <c r="E3781"/>
    </row>
    <row r="3782" spans="5:5" x14ac:dyDescent="0.4">
      <c r="E3782"/>
    </row>
    <row r="3783" spans="5:5" x14ac:dyDescent="0.4">
      <c r="E3783"/>
    </row>
    <row r="3784" spans="5:5" x14ac:dyDescent="0.4">
      <c r="E3784"/>
    </row>
    <row r="3785" spans="5:5" x14ac:dyDescent="0.4">
      <c r="E3785"/>
    </row>
    <row r="3786" spans="5:5" x14ac:dyDescent="0.4">
      <c r="E3786"/>
    </row>
    <row r="3787" spans="5:5" x14ac:dyDescent="0.4">
      <c r="E3787"/>
    </row>
    <row r="3788" spans="5:5" x14ac:dyDescent="0.4">
      <c r="E3788"/>
    </row>
    <row r="3789" spans="5:5" x14ac:dyDescent="0.4">
      <c r="E3789"/>
    </row>
    <row r="3790" spans="5:5" x14ac:dyDescent="0.4">
      <c r="E3790"/>
    </row>
    <row r="3791" spans="5:5" x14ac:dyDescent="0.4">
      <c r="E3791"/>
    </row>
    <row r="3792" spans="5:5" x14ac:dyDescent="0.4">
      <c r="E3792"/>
    </row>
    <row r="3793" spans="5:5" x14ac:dyDescent="0.4">
      <c r="E3793"/>
    </row>
    <row r="3794" spans="5:5" x14ac:dyDescent="0.4">
      <c r="E3794"/>
    </row>
    <row r="3795" spans="5:5" x14ac:dyDescent="0.4">
      <c r="E3795"/>
    </row>
    <row r="3796" spans="5:5" x14ac:dyDescent="0.4">
      <c r="E3796"/>
    </row>
    <row r="3797" spans="5:5" x14ac:dyDescent="0.4">
      <c r="E3797"/>
    </row>
    <row r="3798" spans="5:5" x14ac:dyDescent="0.4">
      <c r="E3798"/>
    </row>
    <row r="3799" spans="5:5" x14ac:dyDescent="0.4">
      <c r="E3799"/>
    </row>
    <row r="3800" spans="5:5" x14ac:dyDescent="0.4">
      <c r="E3800"/>
    </row>
    <row r="3801" spans="5:5" x14ac:dyDescent="0.4">
      <c r="E3801"/>
    </row>
    <row r="3802" spans="5:5" x14ac:dyDescent="0.4">
      <c r="E3802"/>
    </row>
    <row r="3803" spans="5:5" x14ac:dyDescent="0.4">
      <c r="E3803"/>
    </row>
    <row r="3804" spans="5:5" x14ac:dyDescent="0.4">
      <c r="E3804"/>
    </row>
    <row r="3805" spans="5:5" x14ac:dyDescent="0.4">
      <c r="E3805"/>
    </row>
    <row r="3806" spans="5:5" x14ac:dyDescent="0.4">
      <c r="E3806"/>
    </row>
    <row r="3807" spans="5:5" x14ac:dyDescent="0.4">
      <c r="E3807"/>
    </row>
    <row r="3808" spans="5:5" x14ac:dyDescent="0.4">
      <c r="E3808"/>
    </row>
    <row r="3809" spans="5:5" x14ac:dyDescent="0.4">
      <c r="E3809"/>
    </row>
    <row r="3810" spans="5:5" x14ac:dyDescent="0.4">
      <c r="E3810"/>
    </row>
    <row r="3811" spans="5:5" x14ac:dyDescent="0.4">
      <c r="E3811"/>
    </row>
    <row r="3812" spans="5:5" x14ac:dyDescent="0.4">
      <c r="E3812"/>
    </row>
    <row r="3813" spans="5:5" x14ac:dyDescent="0.4">
      <c r="E3813"/>
    </row>
    <row r="3814" spans="5:5" x14ac:dyDescent="0.4">
      <c r="E3814"/>
    </row>
    <row r="3815" spans="5:5" x14ac:dyDescent="0.4">
      <c r="E3815"/>
    </row>
    <row r="3816" spans="5:5" x14ac:dyDescent="0.4">
      <c r="E3816"/>
    </row>
    <row r="3817" spans="5:5" x14ac:dyDescent="0.4">
      <c r="E3817"/>
    </row>
    <row r="3818" spans="5:5" x14ac:dyDescent="0.4">
      <c r="E3818"/>
    </row>
    <row r="3819" spans="5:5" x14ac:dyDescent="0.4">
      <c r="E3819"/>
    </row>
    <row r="3820" spans="5:5" x14ac:dyDescent="0.4">
      <c r="E3820"/>
    </row>
    <row r="3821" spans="5:5" x14ac:dyDescent="0.4">
      <c r="E3821"/>
    </row>
    <row r="3822" spans="5:5" x14ac:dyDescent="0.4">
      <c r="E3822"/>
    </row>
    <row r="3823" spans="5:5" x14ac:dyDescent="0.4">
      <c r="E3823"/>
    </row>
    <row r="3824" spans="5:5" x14ac:dyDescent="0.4">
      <c r="E3824"/>
    </row>
    <row r="3825" spans="5:5" x14ac:dyDescent="0.4">
      <c r="E3825"/>
    </row>
    <row r="3826" spans="5:5" x14ac:dyDescent="0.4">
      <c r="E3826"/>
    </row>
    <row r="3827" spans="5:5" x14ac:dyDescent="0.4">
      <c r="E3827"/>
    </row>
    <row r="3828" spans="5:5" x14ac:dyDescent="0.4">
      <c r="E3828"/>
    </row>
    <row r="3829" spans="5:5" x14ac:dyDescent="0.4">
      <c r="E3829"/>
    </row>
    <row r="3830" spans="5:5" x14ac:dyDescent="0.4">
      <c r="E3830"/>
    </row>
    <row r="3831" spans="5:5" x14ac:dyDescent="0.4">
      <c r="E3831"/>
    </row>
    <row r="3832" spans="5:5" x14ac:dyDescent="0.4">
      <c r="E3832"/>
    </row>
    <row r="3833" spans="5:5" x14ac:dyDescent="0.4">
      <c r="E3833"/>
    </row>
    <row r="3834" spans="5:5" x14ac:dyDescent="0.4">
      <c r="E3834"/>
    </row>
    <row r="3835" spans="5:5" x14ac:dyDescent="0.4">
      <c r="E3835"/>
    </row>
    <row r="3836" spans="5:5" x14ac:dyDescent="0.4">
      <c r="E3836"/>
    </row>
    <row r="3837" spans="5:5" x14ac:dyDescent="0.4">
      <c r="E3837"/>
    </row>
    <row r="3838" spans="5:5" x14ac:dyDescent="0.4">
      <c r="E3838"/>
    </row>
    <row r="3839" spans="5:5" x14ac:dyDescent="0.4">
      <c r="E3839"/>
    </row>
    <row r="3840" spans="5:5" x14ac:dyDescent="0.4">
      <c r="E3840"/>
    </row>
    <row r="3841" spans="5:5" x14ac:dyDescent="0.4">
      <c r="E3841"/>
    </row>
    <row r="3842" spans="5:5" x14ac:dyDescent="0.4">
      <c r="E3842"/>
    </row>
    <row r="3843" spans="5:5" x14ac:dyDescent="0.4">
      <c r="E3843"/>
    </row>
    <row r="3844" spans="5:5" x14ac:dyDescent="0.4">
      <c r="E3844"/>
    </row>
    <row r="3845" spans="5:5" x14ac:dyDescent="0.4">
      <c r="E3845"/>
    </row>
    <row r="3846" spans="5:5" x14ac:dyDescent="0.4">
      <c r="E3846"/>
    </row>
    <row r="3847" spans="5:5" x14ac:dyDescent="0.4">
      <c r="E3847"/>
    </row>
    <row r="3848" spans="5:5" x14ac:dyDescent="0.4">
      <c r="E3848"/>
    </row>
    <row r="3849" spans="5:5" x14ac:dyDescent="0.4">
      <c r="E3849"/>
    </row>
    <row r="3850" spans="5:5" x14ac:dyDescent="0.4">
      <c r="E3850"/>
    </row>
    <row r="3851" spans="5:5" x14ac:dyDescent="0.4">
      <c r="E3851"/>
    </row>
    <row r="3852" spans="5:5" x14ac:dyDescent="0.4">
      <c r="E3852"/>
    </row>
    <row r="3853" spans="5:5" x14ac:dyDescent="0.4">
      <c r="E3853"/>
    </row>
    <row r="3854" spans="5:5" x14ac:dyDescent="0.4">
      <c r="E3854"/>
    </row>
    <row r="3855" spans="5:5" x14ac:dyDescent="0.4">
      <c r="E3855"/>
    </row>
    <row r="3856" spans="5:5" x14ac:dyDescent="0.4">
      <c r="E3856"/>
    </row>
    <row r="3857" spans="5:5" x14ac:dyDescent="0.4">
      <c r="E3857"/>
    </row>
    <row r="3858" spans="5:5" x14ac:dyDescent="0.4">
      <c r="E3858"/>
    </row>
    <row r="3859" spans="5:5" x14ac:dyDescent="0.4">
      <c r="E3859"/>
    </row>
    <row r="3860" spans="5:5" x14ac:dyDescent="0.4">
      <c r="E3860"/>
    </row>
    <row r="3861" spans="5:5" x14ac:dyDescent="0.4">
      <c r="E3861"/>
    </row>
    <row r="3862" spans="5:5" x14ac:dyDescent="0.4">
      <c r="E3862"/>
    </row>
    <row r="3863" spans="5:5" x14ac:dyDescent="0.4">
      <c r="E3863"/>
    </row>
    <row r="3864" spans="5:5" x14ac:dyDescent="0.4">
      <c r="E3864"/>
    </row>
    <row r="3865" spans="5:5" x14ac:dyDescent="0.4">
      <c r="E3865"/>
    </row>
    <row r="3866" spans="5:5" x14ac:dyDescent="0.4">
      <c r="E3866"/>
    </row>
    <row r="3867" spans="5:5" x14ac:dyDescent="0.4">
      <c r="E3867"/>
    </row>
    <row r="3868" spans="5:5" x14ac:dyDescent="0.4">
      <c r="E3868"/>
    </row>
    <row r="3869" spans="5:5" x14ac:dyDescent="0.4">
      <c r="E3869"/>
    </row>
    <row r="3870" spans="5:5" x14ac:dyDescent="0.4">
      <c r="E3870"/>
    </row>
    <row r="3871" spans="5:5" x14ac:dyDescent="0.4">
      <c r="E3871"/>
    </row>
    <row r="3872" spans="5:5" x14ac:dyDescent="0.4">
      <c r="E3872"/>
    </row>
    <row r="3873" spans="5:5" x14ac:dyDescent="0.4">
      <c r="E3873"/>
    </row>
    <row r="3874" spans="5:5" x14ac:dyDescent="0.4">
      <c r="E3874"/>
    </row>
    <row r="3875" spans="5:5" x14ac:dyDescent="0.4">
      <c r="E3875"/>
    </row>
    <row r="3876" spans="5:5" x14ac:dyDescent="0.4">
      <c r="E3876"/>
    </row>
    <row r="3877" spans="5:5" x14ac:dyDescent="0.4">
      <c r="E3877"/>
    </row>
    <row r="3878" spans="5:5" x14ac:dyDescent="0.4">
      <c r="E3878"/>
    </row>
    <row r="3879" spans="5:5" x14ac:dyDescent="0.4">
      <c r="E3879"/>
    </row>
    <row r="3880" spans="5:5" x14ac:dyDescent="0.4">
      <c r="E3880"/>
    </row>
    <row r="3881" spans="5:5" x14ac:dyDescent="0.4">
      <c r="E3881"/>
    </row>
    <row r="3882" spans="5:5" x14ac:dyDescent="0.4">
      <c r="E3882"/>
    </row>
    <row r="3883" spans="5:5" x14ac:dyDescent="0.4">
      <c r="E3883"/>
    </row>
    <row r="3884" spans="5:5" x14ac:dyDescent="0.4">
      <c r="E3884"/>
    </row>
    <row r="3885" spans="5:5" x14ac:dyDescent="0.4">
      <c r="E3885"/>
    </row>
    <row r="3886" spans="5:5" x14ac:dyDescent="0.4">
      <c r="E3886"/>
    </row>
    <row r="3887" spans="5:5" x14ac:dyDescent="0.4">
      <c r="E3887"/>
    </row>
    <row r="3888" spans="5:5" x14ac:dyDescent="0.4">
      <c r="E3888"/>
    </row>
    <row r="3889" spans="5:5" x14ac:dyDescent="0.4">
      <c r="E3889"/>
    </row>
    <row r="3890" spans="5:5" x14ac:dyDescent="0.4">
      <c r="E3890"/>
    </row>
    <row r="3891" spans="5:5" x14ac:dyDescent="0.4">
      <c r="E3891"/>
    </row>
    <row r="3892" spans="5:5" x14ac:dyDescent="0.4">
      <c r="E3892"/>
    </row>
    <row r="3893" spans="5:5" x14ac:dyDescent="0.4">
      <c r="E3893"/>
    </row>
    <row r="3894" spans="5:5" x14ac:dyDescent="0.4">
      <c r="E3894"/>
    </row>
    <row r="3895" spans="5:5" x14ac:dyDescent="0.4">
      <c r="E3895"/>
    </row>
    <row r="3896" spans="5:5" x14ac:dyDescent="0.4">
      <c r="E3896"/>
    </row>
    <row r="3897" spans="5:5" x14ac:dyDescent="0.4">
      <c r="E3897"/>
    </row>
    <row r="3898" spans="5:5" x14ac:dyDescent="0.4">
      <c r="E3898"/>
    </row>
    <row r="3899" spans="5:5" x14ac:dyDescent="0.4">
      <c r="E3899"/>
    </row>
    <row r="3900" spans="5:5" x14ac:dyDescent="0.4">
      <c r="E3900"/>
    </row>
    <row r="3901" spans="5:5" x14ac:dyDescent="0.4">
      <c r="E3901"/>
    </row>
    <row r="3902" spans="5:5" x14ac:dyDescent="0.4">
      <c r="E3902"/>
    </row>
    <row r="3903" spans="5:5" x14ac:dyDescent="0.4">
      <c r="E3903"/>
    </row>
    <row r="3904" spans="5:5" x14ac:dyDescent="0.4">
      <c r="E3904"/>
    </row>
    <row r="3905" spans="5:5" x14ac:dyDescent="0.4">
      <c r="E3905"/>
    </row>
    <row r="3906" spans="5:5" x14ac:dyDescent="0.4">
      <c r="E3906"/>
    </row>
    <row r="3907" spans="5:5" x14ac:dyDescent="0.4">
      <c r="E3907"/>
    </row>
    <row r="3908" spans="5:5" x14ac:dyDescent="0.4">
      <c r="E3908"/>
    </row>
    <row r="3909" spans="5:5" x14ac:dyDescent="0.4">
      <c r="E3909"/>
    </row>
    <row r="3910" spans="5:5" x14ac:dyDescent="0.4">
      <c r="E3910"/>
    </row>
    <row r="3911" spans="5:5" x14ac:dyDescent="0.4">
      <c r="E3911"/>
    </row>
    <row r="3912" spans="5:5" x14ac:dyDescent="0.4">
      <c r="E3912"/>
    </row>
    <row r="3913" spans="5:5" x14ac:dyDescent="0.4">
      <c r="E3913"/>
    </row>
    <row r="3914" spans="5:5" x14ac:dyDescent="0.4">
      <c r="E3914"/>
    </row>
    <row r="3915" spans="5:5" x14ac:dyDescent="0.4">
      <c r="E3915"/>
    </row>
    <row r="3916" spans="5:5" x14ac:dyDescent="0.4">
      <c r="E3916"/>
    </row>
    <row r="3917" spans="5:5" x14ac:dyDescent="0.4">
      <c r="E3917"/>
    </row>
    <row r="3918" spans="5:5" x14ac:dyDescent="0.4">
      <c r="E3918"/>
    </row>
    <row r="3919" spans="5:5" x14ac:dyDescent="0.4">
      <c r="E3919"/>
    </row>
    <row r="3920" spans="5:5" x14ac:dyDescent="0.4">
      <c r="E3920"/>
    </row>
    <row r="3921" spans="5:5" x14ac:dyDescent="0.4">
      <c r="E3921"/>
    </row>
    <row r="3922" spans="5:5" x14ac:dyDescent="0.4">
      <c r="E3922"/>
    </row>
    <row r="3923" spans="5:5" x14ac:dyDescent="0.4">
      <c r="E3923"/>
    </row>
    <row r="3924" spans="5:5" x14ac:dyDescent="0.4">
      <c r="E3924"/>
    </row>
    <row r="3925" spans="5:5" x14ac:dyDescent="0.4">
      <c r="E3925"/>
    </row>
    <row r="3926" spans="5:5" x14ac:dyDescent="0.4">
      <c r="E3926"/>
    </row>
    <row r="3927" spans="5:5" x14ac:dyDescent="0.4">
      <c r="E3927"/>
    </row>
    <row r="3928" spans="5:5" x14ac:dyDescent="0.4">
      <c r="E3928"/>
    </row>
    <row r="3929" spans="5:5" x14ac:dyDescent="0.4">
      <c r="E3929"/>
    </row>
    <row r="3930" spans="5:5" x14ac:dyDescent="0.4">
      <c r="E3930"/>
    </row>
    <row r="3931" spans="5:5" x14ac:dyDescent="0.4">
      <c r="E3931"/>
    </row>
    <row r="3932" spans="5:5" x14ac:dyDescent="0.4">
      <c r="E3932"/>
    </row>
    <row r="3933" spans="5:5" x14ac:dyDescent="0.4">
      <c r="E3933"/>
    </row>
    <row r="3934" spans="5:5" x14ac:dyDescent="0.4">
      <c r="E3934"/>
    </row>
    <row r="3935" spans="5:5" x14ac:dyDescent="0.4">
      <c r="E3935"/>
    </row>
    <row r="3936" spans="5:5" x14ac:dyDescent="0.4">
      <c r="E3936"/>
    </row>
    <row r="3937" spans="5:5" x14ac:dyDescent="0.4">
      <c r="E3937"/>
    </row>
    <row r="3938" spans="5:5" x14ac:dyDescent="0.4">
      <c r="E3938"/>
    </row>
    <row r="3939" spans="5:5" x14ac:dyDescent="0.4">
      <c r="E3939"/>
    </row>
    <row r="3940" spans="5:5" x14ac:dyDescent="0.4">
      <c r="E3940"/>
    </row>
    <row r="3941" spans="5:5" x14ac:dyDescent="0.4">
      <c r="E3941"/>
    </row>
    <row r="3942" spans="5:5" x14ac:dyDescent="0.4">
      <c r="E3942"/>
    </row>
    <row r="3943" spans="5:5" x14ac:dyDescent="0.4">
      <c r="E3943"/>
    </row>
    <row r="3944" spans="5:5" x14ac:dyDescent="0.4">
      <c r="E3944"/>
    </row>
    <row r="3945" spans="5:5" x14ac:dyDescent="0.4">
      <c r="E3945"/>
    </row>
    <row r="3946" spans="5:5" x14ac:dyDescent="0.4">
      <c r="E3946"/>
    </row>
    <row r="3947" spans="5:5" x14ac:dyDescent="0.4">
      <c r="E3947"/>
    </row>
    <row r="3948" spans="5:5" x14ac:dyDescent="0.4">
      <c r="E3948"/>
    </row>
    <row r="3949" spans="5:5" x14ac:dyDescent="0.4">
      <c r="E3949"/>
    </row>
    <row r="3950" spans="5:5" x14ac:dyDescent="0.4">
      <c r="E3950"/>
    </row>
    <row r="3951" spans="5:5" x14ac:dyDescent="0.4">
      <c r="E3951"/>
    </row>
    <row r="3952" spans="5:5" x14ac:dyDescent="0.4">
      <c r="E3952"/>
    </row>
    <row r="3953" spans="5:5" x14ac:dyDescent="0.4">
      <c r="E3953"/>
    </row>
    <row r="3954" spans="5:5" x14ac:dyDescent="0.4">
      <c r="E3954"/>
    </row>
    <row r="3955" spans="5:5" x14ac:dyDescent="0.4">
      <c r="E3955"/>
    </row>
    <row r="3956" spans="5:5" x14ac:dyDescent="0.4">
      <c r="E3956"/>
    </row>
    <row r="3957" spans="5:5" x14ac:dyDescent="0.4">
      <c r="E3957"/>
    </row>
    <row r="3958" spans="5:5" x14ac:dyDescent="0.4">
      <c r="E3958"/>
    </row>
    <row r="3959" spans="5:5" x14ac:dyDescent="0.4">
      <c r="E3959"/>
    </row>
    <row r="3960" spans="5:5" x14ac:dyDescent="0.4">
      <c r="E3960"/>
    </row>
    <row r="3961" spans="5:5" x14ac:dyDescent="0.4">
      <c r="E3961"/>
    </row>
    <row r="3962" spans="5:5" x14ac:dyDescent="0.4">
      <c r="E3962"/>
    </row>
    <row r="3963" spans="5:5" x14ac:dyDescent="0.4">
      <c r="E3963"/>
    </row>
    <row r="3964" spans="5:5" x14ac:dyDescent="0.4">
      <c r="E3964"/>
    </row>
    <row r="3965" spans="5:5" x14ac:dyDescent="0.4">
      <c r="E3965"/>
    </row>
    <row r="3966" spans="5:5" x14ac:dyDescent="0.4">
      <c r="E3966"/>
    </row>
    <row r="3967" spans="5:5" x14ac:dyDescent="0.4">
      <c r="E3967"/>
    </row>
    <row r="3968" spans="5:5" x14ac:dyDescent="0.4">
      <c r="E3968"/>
    </row>
    <row r="3969" spans="5:5" x14ac:dyDescent="0.4">
      <c r="E3969"/>
    </row>
    <row r="3970" spans="5:5" x14ac:dyDescent="0.4">
      <c r="E3970"/>
    </row>
    <row r="3971" spans="5:5" x14ac:dyDescent="0.4">
      <c r="E3971"/>
    </row>
    <row r="3972" spans="5:5" x14ac:dyDescent="0.4">
      <c r="E3972"/>
    </row>
    <row r="3973" spans="5:5" x14ac:dyDescent="0.4">
      <c r="E3973"/>
    </row>
    <row r="3974" spans="5:5" x14ac:dyDescent="0.4">
      <c r="E3974"/>
    </row>
    <row r="3975" spans="5:5" x14ac:dyDescent="0.4">
      <c r="E3975"/>
    </row>
    <row r="3976" spans="5:5" x14ac:dyDescent="0.4">
      <c r="E3976"/>
    </row>
    <row r="3977" spans="5:5" x14ac:dyDescent="0.4">
      <c r="E3977"/>
    </row>
    <row r="3978" spans="5:5" x14ac:dyDescent="0.4">
      <c r="E3978"/>
    </row>
    <row r="3979" spans="5:5" x14ac:dyDescent="0.4">
      <c r="E3979"/>
    </row>
    <row r="3980" spans="5:5" x14ac:dyDescent="0.4">
      <c r="E3980"/>
    </row>
    <row r="3981" spans="5:5" x14ac:dyDescent="0.4">
      <c r="E3981"/>
    </row>
    <row r="3982" spans="5:5" x14ac:dyDescent="0.4">
      <c r="E3982"/>
    </row>
    <row r="3983" spans="5:5" x14ac:dyDescent="0.4">
      <c r="E3983"/>
    </row>
    <row r="3984" spans="5:5" x14ac:dyDescent="0.4">
      <c r="E3984"/>
    </row>
    <row r="3985" spans="5:5" x14ac:dyDescent="0.4">
      <c r="E3985"/>
    </row>
    <row r="3986" spans="5:5" x14ac:dyDescent="0.4">
      <c r="E3986"/>
    </row>
    <row r="3987" spans="5:5" x14ac:dyDescent="0.4">
      <c r="E3987"/>
    </row>
    <row r="3988" spans="5:5" x14ac:dyDescent="0.4">
      <c r="E3988"/>
    </row>
    <row r="3989" spans="5:5" x14ac:dyDescent="0.4">
      <c r="E3989"/>
    </row>
    <row r="3990" spans="5:5" x14ac:dyDescent="0.4">
      <c r="E3990"/>
    </row>
    <row r="3991" spans="5:5" x14ac:dyDescent="0.4">
      <c r="E3991"/>
    </row>
    <row r="3992" spans="5:5" x14ac:dyDescent="0.4">
      <c r="E3992"/>
    </row>
    <row r="3993" spans="5:5" x14ac:dyDescent="0.4">
      <c r="E3993"/>
    </row>
    <row r="3994" spans="5:5" x14ac:dyDescent="0.4">
      <c r="E3994"/>
    </row>
    <row r="3995" spans="5:5" x14ac:dyDescent="0.4">
      <c r="E3995"/>
    </row>
    <row r="3996" spans="5:5" x14ac:dyDescent="0.4">
      <c r="E3996"/>
    </row>
    <row r="3997" spans="5:5" x14ac:dyDescent="0.4">
      <c r="E3997"/>
    </row>
    <row r="3998" spans="5:5" x14ac:dyDescent="0.4">
      <c r="E3998"/>
    </row>
    <row r="3999" spans="5:5" x14ac:dyDescent="0.4">
      <c r="E3999"/>
    </row>
    <row r="4000" spans="5:5" x14ac:dyDescent="0.4">
      <c r="E4000"/>
    </row>
    <row r="4001" spans="5:5" x14ac:dyDescent="0.4">
      <c r="E4001"/>
    </row>
    <row r="4002" spans="5:5" x14ac:dyDescent="0.4">
      <c r="E4002"/>
    </row>
    <row r="4003" spans="5:5" x14ac:dyDescent="0.4">
      <c r="E4003"/>
    </row>
    <row r="4004" spans="5:5" x14ac:dyDescent="0.4">
      <c r="E4004"/>
    </row>
    <row r="4005" spans="5:5" x14ac:dyDescent="0.4">
      <c r="E4005"/>
    </row>
    <row r="4006" spans="5:5" x14ac:dyDescent="0.4">
      <c r="E4006"/>
    </row>
    <row r="4007" spans="5:5" x14ac:dyDescent="0.4">
      <c r="E4007"/>
    </row>
    <row r="4008" spans="5:5" x14ac:dyDescent="0.4">
      <c r="E4008"/>
    </row>
    <row r="4009" spans="5:5" x14ac:dyDescent="0.4">
      <c r="E4009"/>
    </row>
    <row r="4010" spans="5:5" x14ac:dyDescent="0.4">
      <c r="E4010"/>
    </row>
    <row r="4011" spans="5:5" x14ac:dyDescent="0.4">
      <c r="E4011"/>
    </row>
    <row r="4012" spans="5:5" x14ac:dyDescent="0.4">
      <c r="E4012"/>
    </row>
    <row r="4013" spans="5:5" x14ac:dyDescent="0.4">
      <c r="E4013"/>
    </row>
    <row r="4014" spans="5:5" x14ac:dyDescent="0.4">
      <c r="E4014"/>
    </row>
    <row r="4015" spans="5:5" x14ac:dyDescent="0.4">
      <c r="E4015"/>
    </row>
    <row r="4016" spans="5:5" x14ac:dyDescent="0.4">
      <c r="E4016"/>
    </row>
    <row r="4017" spans="5:5" x14ac:dyDescent="0.4">
      <c r="E4017"/>
    </row>
    <row r="4018" spans="5:5" x14ac:dyDescent="0.4">
      <c r="E4018"/>
    </row>
    <row r="4019" spans="5:5" x14ac:dyDescent="0.4">
      <c r="E4019"/>
    </row>
    <row r="4020" spans="5:5" x14ac:dyDescent="0.4">
      <c r="E4020"/>
    </row>
    <row r="4021" spans="5:5" x14ac:dyDescent="0.4">
      <c r="E4021"/>
    </row>
    <row r="4022" spans="5:5" x14ac:dyDescent="0.4">
      <c r="E4022"/>
    </row>
    <row r="4023" spans="5:5" x14ac:dyDescent="0.4">
      <c r="E4023"/>
    </row>
    <row r="4024" spans="5:5" x14ac:dyDescent="0.4">
      <c r="E4024"/>
    </row>
    <row r="4025" spans="5:5" x14ac:dyDescent="0.4">
      <c r="E4025"/>
    </row>
    <row r="4026" spans="5:5" x14ac:dyDescent="0.4">
      <c r="E4026"/>
    </row>
    <row r="4027" spans="5:5" x14ac:dyDescent="0.4">
      <c r="E4027"/>
    </row>
    <row r="4028" spans="5:5" x14ac:dyDescent="0.4">
      <c r="E4028"/>
    </row>
    <row r="4029" spans="5:5" x14ac:dyDescent="0.4">
      <c r="E4029"/>
    </row>
    <row r="4030" spans="5:5" x14ac:dyDescent="0.4">
      <c r="E4030"/>
    </row>
    <row r="4031" spans="5:5" x14ac:dyDescent="0.4">
      <c r="E4031"/>
    </row>
    <row r="4032" spans="5:5" x14ac:dyDescent="0.4">
      <c r="E4032"/>
    </row>
    <row r="4033" spans="5:5" x14ac:dyDescent="0.4">
      <c r="E4033"/>
    </row>
    <row r="4034" spans="5:5" x14ac:dyDescent="0.4">
      <c r="E4034"/>
    </row>
    <row r="4035" spans="5:5" x14ac:dyDescent="0.4">
      <c r="E4035"/>
    </row>
    <row r="4036" spans="5:5" x14ac:dyDescent="0.4">
      <c r="E4036"/>
    </row>
    <row r="4037" spans="5:5" x14ac:dyDescent="0.4">
      <c r="E4037"/>
    </row>
    <row r="4038" spans="5:5" x14ac:dyDescent="0.4">
      <c r="E4038"/>
    </row>
    <row r="4039" spans="5:5" x14ac:dyDescent="0.4">
      <c r="E4039"/>
    </row>
    <row r="4040" spans="5:5" x14ac:dyDescent="0.4">
      <c r="E4040"/>
    </row>
    <row r="4041" spans="5:5" x14ac:dyDescent="0.4">
      <c r="E4041"/>
    </row>
    <row r="4042" spans="5:5" x14ac:dyDescent="0.4">
      <c r="E4042"/>
    </row>
    <row r="4043" spans="5:5" x14ac:dyDescent="0.4">
      <c r="E4043"/>
    </row>
    <row r="4044" spans="5:5" x14ac:dyDescent="0.4">
      <c r="E4044"/>
    </row>
    <row r="4045" spans="5:5" x14ac:dyDescent="0.4">
      <c r="E4045"/>
    </row>
    <row r="4046" spans="5:5" x14ac:dyDescent="0.4">
      <c r="E4046"/>
    </row>
    <row r="4047" spans="5:5" x14ac:dyDescent="0.4">
      <c r="E4047"/>
    </row>
    <row r="4048" spans="5:5" x14ac:dyDescent="0.4">
      <c r="E4048"/>
    </row>
    <row r="4049" spans="5:5" x14ac:dyDescent="0.4">
      <c r="E4049"/>
    </row>
    <row r="4050" spans="5:5" x14ac:dyDescent="0.4">
      <c r="E4050"/>
    </row>
    <row r="4051" spans="5:5" x14ac:dyDescent="0.4">
      <c r="E4051"/>
    </row>
    <row r="4052" spans="5:5" x14ac:dyDescent="0.4">
      <c r="E4052"/>
    </row>
    <row r="4053" spans="5:5" x14ac:dyDescent="0.4">
      <c r="E4053"/>
    </row>
    <row r="4054" spans="5:5" x14ac:dyDescent="0.4">
      <c r="E4054"/>
    </row>
    <row r="4055" spans="5:5" x14ac:dyDescent="0.4">
      <c r="E4055"/>
    </row>
    <row r="4056" spans="5:5" x14ac:dyDescent="0.4">
      <c r="E4056"/>
    </row>
    <row r="4057" spans="5:5" x14ac:dyDescent="0.4">
      <c r="E4057"/>
    </row>
    <row r="4058" spans="5:5" x14ac:dyDescent="0.4">
      <c r="E4058"/>
    </row>
    <row r="4059" spans="5:5" x14ac:dyDescent="0.4">
      <c r="E4059"/>
    </row>
    <row r="4060" spans="5:5" x14ac:dyDescent="0.4">
      <c r="E4060"/>
    </row>
    <row r="4061" spans="5:5" x14ac:dyDescent="0.4">
      <c r="E4061"/>
    </row>
    <row r="4062" spans="5:5" x14ac:dyDescent="0.4">
      <c r="E4062"/>
    </row>
    <row r="4063" spans="5:5" x14ac:dyDescent="0.4">
      <c r="E4063"/>
    </row>
    <row r="4064" spans="5:5" x14ac:dyDescent="0.4">
      <c r="E4064"/>
    </row>
    <row r="4065" spans="5:5" x14ac:dyDescent="0.4">
      <c r="E4065"/>
    </row>
    <row r="4066" spans="5:5" x14ac:dyDescent="0.4">
      <c r="E4066"/>
    </row>
    <row r="4067" spans="5:5" x14ac:dyDescent="0.4">
      <c r="E4067"/>
    </row>
    <row r="4068" spans="5:5" x14ac:dyDescent="0.4">
      <c r="E4068"/>
    </row>
    <row r="4069" spans="5:5" x14ac:dyDescent="0.4">
      <c r="E4069"/>
    </row>
    <row r="4070" spans="5:5" x14ac:dyDescent="0.4">
      <c r="E4070"/>
    </row>
    <row r="4071" spans="5:5" x14ac:dyDescent="0.4">
      <c r="E4071"/>
    </row>
    <row r="4072" spans="5:5" x14ac:dyDescent="0.4">
      <c r="E4072"/>
    </row>
    <row r="4073" spans="5:5" x14ac:dyDescent="0.4">
      <c r="E4073"/>
    </row>
    <row r="4074" spans="5:5" x14ac:dyDescent="0.4">
      <c r="E4074"/>
    </row>
    <row r="4075" spans="5:5" x14ac:dyDescent="0.4">
      <c r="E4075"/>
    </row>
    <row r="4076" spans="5:5" x14ac:dyDescent="0.4">
      <c r="E4076"/>
    </row>
    <row r="4077" spans="5:5" x14ac:dyDescent="0.4">
      <c r="E4077"/>
    </row>
    <row r="4078" spans="5:5" x14ac:dyDescent="0.4">
      <c r="E4078"/>
    </row>
    <row r="4079" spans="5:5" x14ac:dyDescent="0.4">
      <c r="E4079"/>
    </row>
    <row r="4080" spans="5:5" x14ac:dyDescent="0.4">
      <c r="E4080"/>
    </row>
    <row r="4081" spans="5:5" x14ac:dyDescent="0.4">
      <c r="E4081"/>
    </row>
    <row r="4082" spans="5:5" x14ac:dyDescent="0.4">
      <c r="E4082"/>
    </row>
    <row r="4083" spans="5:5" x14ac:dyDescent="0.4">
      <c r="E4083"/>
    </row>
    <row r="4084" spans="5:5" x14ac:dyDescent="0.4">
      <c r="E4084"/>
    </row>
    <row r="4085" spans="5:5" x14ac:dyDescent="0.4">
      <c r="E4085"/>
    </row>
    <row r="4086" spans="5:5" x14ac:dyDescent="0.4">
      <c r="E4086"/>
    </row>
    <row r="4087" spans="5:5" x14ac:dyDescent="0.4">
      <c r="E4087"/>
    </row>
    <row r="4088" spans="5:5" x14ac:dyDescent="0.4">
      <c r="E4088"/>
    </row>
    <row r="4089" spans="5:5" x14ac:dyDescent="0.4">
      <c r="E4089"/>
    </row>
    <row r="4090" spans="5:5" x14ac:dyDescent="0.4">
      <c r="E4090"/>
    </row>
    <row r="4091" spans="5:5" x14ac:dyDescent="0.4">
      <c r="E4091"/>
    </row>
    <row r="4092" spans="5:5" x14ac:dyDescent="0.4">
      <c r="E4092"/>
    </row>
    <row r="4093" spans="5:5" x14ac:dyDescent="0.4">
      <c r="E4093"/>
    </row>
    <row r="4094" spans="5:5" x14ac:dyDescent="0.4">
      <c r="E4094"/>
    </row>
    <row r="4095" spans="5:5" x14ac:dyDescent="0.4">
      <c r="E4095"/>
    </row>
    <row r="4096" spans="5:5" x14ac:dyDescent="0.4">
      <c r="E4096"/>
    </row>
    <row r="4097" spans="5:5" x14ac:dyDescent="0.4">
      <c r="E4097"/>
    </row>
    <row r="4098" spans="5:5" x14ac:dyDescent="0.4">
      <c r="E4098"/>
    </row>
    <row r="4099" spans="5:5" x14ac:dyDescent="0.4">
      <c r="E4099"/>
    </row>
    <row r="4100" spans="5:5" x14ac:dyDescent="0.4">
      <c r="E4100"/>
    </row>
    <row r="4101" spans="5:5" x14ac:dyDescent="0.4">
      <c r="E4101"/>
    </row>
    <row r="4102" spans="5:5" x14ac:dyDescent="0.4">
      <c r="E4102"/>
    </row>
    <row r="4103" spans="5:5" x14ac:dyDescent="0.4">
      <c r="E4103"/>
    </row>
    <row r="4104" spans="5:5" x14ac:dyDescent="0.4">
      <c r="E4104"/>
    </row>
    <row r="4105" spans="5:5" x14ac:dyDescent="0.4">
      <c r="E4105"/>
    </row>
    <row r="4106" spans="5:5" x14ac:dyDescent="0.4">
      <c r="E4106"/>
    </row>
    <row r="4107" spans="5:5" x14ac:dyDescent="0.4">
      <c r="E4107"/>
    </row>
    <row r="4108" spans="5:5" x14ac:dyDescent="0.4">
      <c r="E4108"/>
    </row>
    <row r="4109" spans="5:5" x14ac:dyDescent="0.4">
      <c r="E4109"/>
    </row>
    <row r="4110" spans="5:5" x14ac:dyDescent="0.4">
      <c r="E4110"/>
    </row>
    <row r="4111" spans="5:5" x14ac:dyDescent="0.4">
      <c r="E4111"/>
    </row>
    <row r="4112" spans="5:5" x14ac:dyDescent="0.4">
      <c r="E4112"/>
    </row>
    <row r="4113" spans="5:5" x14ac:dyDescent="0.4">
      <c r="E4113"/>
    </row>
    <row r="4114" spans="5:5" x14ac:dyDescent="0.4">
      <c r="E4114"/>
    </row>
    <row r="4115" spans="5:5" x14ac:dyDescent="0.4">
      <c r="E4115"/>
    </row>
    <row r="4116" spans="5:5" x14ac:dyDescent="0.4">
      <c r="E4116"/>
    </row>
    <row r="4117" spans="5:5" x14ac:dyDescent="0.4">
      <c r="E4117"/>
    </row>
    <row r="4118" spans="5:5" x14ac:dyDescent="0.4">
      <c r="E4118"/>
    </row>
    <row r="4119" spans="5:5" x14ac:dyDescent="0.4">
      <c r="E4119"/>
    </row>
    <row r="4120" spans="5:5" x14ac:dyDescent="0.4">
      <c r="E4120"/>
    </row>
    <row r="4121" spans="5:5" x14ac:dyDescent="0.4">
      <c r="E4121"/>
    </row>
    <row r="4122" spans="5:5" x14ac:dyDescent="0.4">
      <c r="E4122"/>
    </row>
    <row r="4123" spans="5:5" x14ac:dyDescent="0.4">
      <c r="E4123"/>
    </row>
    <row r="4124" spans="5:5" x14ac:dyDescent="0.4">
      <c r="E4124"/>
    </row>
    <row r="4125" spans="5:5" x14ac:dyDescent="0.4">
      <c r="E4125"/>
    </row>
    <row r="4126" spans="5:5" x14ac:dyDescent="0.4">
      <c r="E4126"/>
    </row>
    <row r="4127" spans="5:5" x14ac:dyDescent="0.4">
      <c r="E4127"/>
    </row>
    <row r="4128" spans="5:5" x14ac:dyDescent="0.4">
      <c r="E4128"/>
    </row>
    <row r="4129" spans="5:5" x14ac:dyDescent="0.4">
      <c r="E4129"/>
    </row>
    <row r="4130" spans="5:5" x14ac:dyDescent="0.4">
      <c r="E4130"/>
    </row>
    <row r="4131" spans="5:5" x14ac:dyDescent="0.4">
      <c r="E4131"/>
    </row>
    <row r="4132" spans="5:5" x14ac:dyDescent="0.4">
      <c r="E4132"/>
    </row>
    <row r="4133" spans="5:5" x14ac:dyDescent="0.4">
      <c r="E4133"/>
    </row>
    <row r="4134" spans="5:5" x14ac:dyDescent="0.4">
      <c r="E4134"/>
    </row>
    <row r="4135" spans="5:5" x14ac:dyDescent="0.4">
      <c r="E4135"/>
    </row>
    <row r="4136" spans="5:5" x14ac:dyDescent="0.4">
      <c r="E4136"/>
    </row>
    <row r="4137" spans="5:5" x14ac:dyDescent="0.4">
      <c r="E4137"/>
    </row>
    <row r="4138" spans="5:5" x14ac:dyDescent="0.4">
      <c r="E4138"/>
    </row>
    <row r="4139" spans="5:5" x14ac:dyDescent="0.4">
      <c r="E4139"/>
    </row>
    <row r="4140" spans="5:5" x14ac:dyDescent="0.4">
      <c r="E4140"/>
    </row>
    <row r="4141" spans="5:5" x14ac:dyDescent="0.4">
      <c r="E4141"/>
    </row>
    <row r="4142" spans="5:5" x14ac:dyDescent="0.4">
      <c r="E4142"/>
    </row>
    <row r="4143" spans="5:5" x14ac:dyDescent="0.4">
      <c r="E4143"/>
    </row>
    <row r="4144" spans="5:5" x14ac:dyDescent="0.4">
      <c r="E4144"/>
    </row>
    <row r="4145" spans="5:5" x14ac:dyDescent="0.4">
      <c r="E4145"/>
    </row>
    <row r="4146" spans="5:5" x14ac:dyDescent="0.4">
      <c r="E4146"/>
    </row>
    <row r="4147" spans="5:5" x14ac:dyDescent="0.4">
      <c r="E4147"/>
    </row>
    <row r="4148" spans="5:5" x14ac:dyDescent="0.4">
      <c r="E4148"/>
    </row>
    <row r="4149" spans="5:5" x14ac:dyDescent="0.4">
      <c r="E4149"/>
    </row>
    <row r="4150" spans="5:5" x14ac:dyDescent="0.4">
      <c r="E4150"/>
    </row>
    <row r="4151" spans="5:5" x14ac:dyDescent="0.4">
      <c r="E4151"/>
    </row>
    <row r="4152" spans="5:5" x14ac:dyDescent="0.4">
      <c r="E4152"/>
    </row>
    <row r="4153" spans="5:5" x14ac:dyDescent="0.4">
      <c r="E4153"/>
    </row>
    <row r="4154" spans="5:5" x14ac:dyDescent="0.4">
      <c r="E4154"/>
    </row>
    <row r="4155" spans="5:5" x14ac:dyDescent="0.4">
      <c r="E4155"/>
    </row>
    <row r="4156" spans="5:5" x14ac:dyDescent="0.4">
      <c r="E4156"/>
    </row>
    <row r="4157" spans="5:5" x14ac:dyDescent="0.4">
      <c r="E4157"/>
    </row>
    <row r="4158" spans="5:5" x14ac:dyDescent="0.4">
      <c r="E4158"/>
    </row>
    <row r="4159" spans="5:5" x14ac:dyDescent="0.4">
      <c r="E4159"/>
    </row>
    <row r="4160" spans="5:5" x14ac:dyDescent="0.4">
      <c r="E4160"/>
    </row>
    <row r="4161" spans="5:5" x14ac:dyDescent="0.4">
      <c r="E4161"/>
    </row>
    <row r="4162" spans="5:5" x14ac:dyDescent="0.4">
      <c r="E4162"/>
    </row>
    <row r="4163" spans="5:5" x14ac:dyDescent="0.4">
      <c r="E4163"/>
    </row>
    <row r="4164" spans="5:5" x14ac:dyDescent="0.4">
      <c r="E4164"/>
    </row>
    <row r="4165" spans="5:5" x14ac:dyDescent="0.4">
      <c r="E4165"/>
    </row>
    <row r="4166" spans="5:5" x14ac:dyDescent="0.4">
      <c r="E4166"/>
    </row>
    <row r="4167" spans="5:5" x14ac:dyDescent="0.4">
      <c r="E4167"/>
    </row>
    <row r="4168" spans="5:5" x14ac:dyDescent="0.4">
      <c r="E4168"/>
    </row>
    <row r="4169" spans="5:5" x14ac:dyDescent="0.4">
      <c r="E4169"/>
    </row>
    <row r="4170" spans="5:5" x14ac:dyDescent="0.4">
      <c r="E4170"/>
    </row>
    <row r="4171" spans="5:5" x14ac:dyDescent="0.4">
      <c r="E4171"/>
    </row>
    <row r="4172" spans="5:5" x14ac:dyDescent="0.4">
      <c r="E4172"/>
    </row>
    <row r="4173" spans="5:5" x14ac:dyDescent="0.4">
      <c r="E4173"/>
    </row>
    <row r="4174" spans="5:5" x14ac:dyDescent="0.4">
      <c r="E4174"/>
    </row>
    <row r="4175" spans="5:5" x14ac:dyDescent="0.4">
      <c r="E4175"/>
    </row>
    <row r="4176" spans="5:5" x14ac:dyDescent="0.4">
      <c r="E4176"/>
    </row>
    <row r="4177" spans="5:5" x14ac:dyDescent="0.4">
      <c r="E4177"/>
    </row>
    <row r="4178" spans="5:5" x14ac:dyDescent="0.4">
      <c r="E4178"/>
    </row>
    <row r="4179" spans="5:5" x14ac:dyDescent="0.4">
      <c r="E4179"/>
    </row>
    <row r="4180" spans="5:5" x14ac:dyDescent="0.4">
      <c r="E4180"/>
    </row>
    <row r="4181" spans="5:5" x14ac:dyDescent="0.4">
      <c r="E4181"/>
    </row>
    <row r="4182" spans="5:5" x14ac:dyDescent="0.4">
      <c r="E4182"/>
    </row>
    <row r="4183" spans="5:5" x14ac:dyDescent="0.4">
      <c r="E4183"/>
    </row>
    <row r="4184" spans="5:5" x14ac:dyDescent="0.4">
      <c r="E4184"/>
    </row>
    <row r="4185" spans="5:5" x14ac:dyDescent="0.4">
      <c r="E4185"/>
    </row>
    <row r="4186" spans="5:5" x14ac:dyDescent="0.4">
      <c r="E4186"/>
    </row>
    <row r="4187" spans="5:5" x14ac:dyDescent="0.4">
      <c r="E4187"/>
    </row>
    <row r="4188" spans="5:5" x14ac:dyDescent="0.4">
      <c r="E4188"/>
    </row>
    <row r="4189" spans="5:5" x14ac:dyDescent="0.4">
      <c r="E4189"/>
    </row>
    <row r="4190" spans="5:5" x14ac:dyDescent="0.4">
      <c r="E4190"/>
    </row>
    <row r="4191" spans="5:5" x14ac:dyDescent="0.4">
      <c r="E4191"/>
    </row>
    <row r="4192" spans="5:5" x14ac:dyDescent="0.4">
      <c r="E4192"/>
    </row>
    <row r="4193" spans="5:5" x14ac:dyDescent="0.4">
      <c r="E4193"/>
    </row>
    <row r="4194" spans="5:5" x14ac:dyDescent="0.4">
      <c r="E4194"/>
    </row>
    <row r="4195" spans="5:5" x14ac:dyDescent="0.4">
      <c r="E4195"/>
    </row>
    <row r="4196" spans="5:5" x14ac:dyDescent="0.4">
      <c r="E4196"/>
    </row>
    <row r="4197" spans="5:5" x14ac:dyDescent="0.4">
      <c r="E4197"/>
    </row>
    <row r="4198" spans="5:5" x14ac:dyDescent="0.4">
      <c r="E4198"/>
    </row>
    <row r="4199" spans="5:5" x14ac:dyDescent="0.4">
      <c r="E4199"/>
    </row>
    <row r="4200" spans="5:5" x14ac:dyDescent="0.4">
      <c r="E4200"/>
    </row>
    <row r="4201" spans="5:5" x14ac:dyDescent="0.4">
      <c r="E4201"/>
    </row>
    <row r="4202" spans="5:5" x14ac:dyDescent="0.4">
      <c r="E4202"/>
    </row>
    <row r="4203" spans="5:5" x14ac:dyDescent="0.4">
      <c r="E4203"/>
    </row>
    <row r="4204" spans="5:5" x14ac:dyDescent="0.4">
      <c r="E4204"/>
    </row>
    <row r="4205" spans="5:5" x14ac:dyDescent="0.4">
      <c r="E4205"/>
    </row>
    <row r="4206" spans="5:5" x14ac:dyDescent="0.4">
      <c r="E4206"/>
    </row>
    <row r="4207" spans="5:5" x14ac:dyDescent="0.4">
      <c r="E4207"/>
    </row>
    <row r="4208" spans="5:5" x14ac:dyDescent="0.4">
      <c r="E4208"/>
    </row>
    <row r="4209" spans="5:5" x14ac:dyDescent="0.4">
      <c r="E4209"/>
    </row>
    <row r="4210" spans="5:5" x14ac:dyDescent="0.4">
      <c r="E4210"/>
    </row>
    <row r="4211" spans="5:5" x14ac:dyDescent="0.4">
      <c r="E4211"/>
    </row>
    <row r="4212" spans="5:5" x14ac:dyDescent="0.4">
      <c r="E4212"/>
    </row>
    <row r="4213" spans="5:5" x14ac:dyDescent="0.4">
      <c r="E4213"/>
    </row>
    <row r="4214" spans="5:5" x14ac:dyDescent="0.4">
      <c r="E4214"/>
    </row>
    <row r="4215" spans="5:5" x14ac:dyDescent="0.4">
      <c r="E4215"/>
    </row>
    <row r="4216" spans="5:5" x14ac:dyDescent="0.4">
      <c r="E4216"/>
    </row>
    <row r="4217" spans="5:5" x14ac:dyDescent="0.4">
      <c r="E4217"/>
    </row>
    <row r="4218" spans="5:5" x14ac:dyDescent="0.4">
      <c r="E4218"/>
    </row>
    <row r="4219" spans="5:5" x14ac:dyDescent="0.4">
      <c r="E4219"/>
    </row>
    <row r="4220" spans="5:5" x14ac:dyDescent="0.4">
      <c r="E4220"/>
    </row>
    <row r="4221" spans="5:5" x14ac:dyDescent="0.4">
      <c r="E4221"/>
    </row>
    <row r="4222" spans="5:5" x14ac:dyDescent="0.4">
      <c r="E4222"/>
    </row>
    <row r="4223" spans="5:5" x14ac:dyDescent="0.4">
      <c r="E4223"/>
    </row>
    <row r="4224" spans="5:5" x14ac:dyDescent="0.4">
      <c r="E4224"/>
    </row>
    <row r="4225" spans="5:5" x14ac:dyDescent="0.4">
      <c r="E4225"/>
    </row>
    <row r="4226" spans="5:5" x14ac:dyDescent="0.4">
      <c r="E4226"/>
    </row>
    <row r="4227" spans="5:5" x14ac:dyDescent="0.4">
      <c r="E4227"/>
    </row>
    <row r="4228" spans="5:5" x14ac:dyDescent="0.4">
      <c r="E4228"/>
    </row>
    <row r="4229" spans="5:5" x14ac:dyDescent="0.4">
      <c r="E4229"/>
    </row>
    <row r="4230" spans="5:5" x14ac:dyDescent="0.4">
      <c r="E4230"/>
    </row>
    <row r="4231" spans="5:5" x14ac:dyDescent="0.4">
      <c r="E4231"/>
    </row>
    <row r="4232" spans="5:5" x14ac:dyDescent="0.4">
      <c r="E4232"/>
    </row>
    <row r="4233" spans="5:5" x14ac:dyDescent="0.4">
      <c r="E4233"/>
    </row>
    <row r="4234" spans="5:5" x14ac:dyDescent="0.4">
      <c r="E4234"/>
    </row>
    <row r="4235" spans="5:5" x14ac:dyDescent="0.4">
      <c r="E4235"/>
    </row>
    <row r="4236" spans="5:5" x14ac:dyDescent="0.4">
      <c r="E4236"/>
    </row>
    <row r="4237" spans="5:5" x14ac:dyDescent="0.4">
      <c r="E4237"/>
    </row>
    <row r="4238" spans="5:5" x14ac:dyDescent="0.4">
      <c r="E4238"/>
    </row>
    <row r="4239" spans="5:5" x14ac:dyDescent="0.4">
      <c r="E4239"/>
    </row>
    <row r="4240" spans="5:5" x14ac:dyDescent="0.4">
      <c r="E4240"/>
    </row>
    <row r="4241" spans="5:5" x14ac:dyDescent="0.4">
      <c r="E4241"/>
    </row>
    <row r="4242" spans="5:5" x14ac:dyDescent="0.4">
      <c r="E4242"/>
    </row>
    <row r="4243" spans="5:5" x14ac:dyDescent="0.4">
      <c r="E4243"/>
    </row>
    <row r="4244" spans="5:5" x14ac:dyDescent="0.4">
      <c r="E4244"/>
    </row>
    <row r="4245" spans="5:5" x14ac:dyDescent="0.4">
      <c r="E4245"/>
    </row>
    <row r="4246" spans="5:5" x14ac:dyDescent="0.4">
      <c r="E4246"/>
    </row>
    <row r="4247" spans="5:5" x14ac:dyDescent="0.4">
      <c r="E4247"/>
    </row>
    <row r="4248" spans="5:5" x14ac:dyDescent="0.4">
      <c r="E4248"/>
    </row>
    <row r="4249" spans="5:5" x14ac:dyDescent="0.4">
      <c r="E4249"/>
    </row>
    <row r="4250" spans="5:5" x14ac:dyDescent="0.4">
      <c r="E4250"/>
    </row>
    <row r="4251" spans="5:5" x14ac:dyDescent="0.4">
      <c r="E4251"/>
    </row>
    <row r="4252" spans="5:5" x14ac:dyDescent="0.4">
      <c r="E4252"/>
    </row>
    <row r="4253" spans="5:5" x14ac:dyDescent="0.4">
      <c r="E4253"/>
    </row>
    <row r="4254" spans="5:5" x14ac:dyDescent="0.4">
      <c r="E4254"/>
    </row>
    <row r="4255" spans="5:5" x14ac:dyDescent="0.4">
      <c r="E4255"/>
    </row>
    <row r="4256" spans="5:5" x14ac:dyDescent="0.4">
      <c r="E4256"/>
    </row>
    <row r="4257" spans="5:5" x14ac:dyDescent="0.4">
      <c r="E4257"/>
    </row>
    <row r="4258" spans="5:5" x14ac:dyDescent="0.4">
      <c r="E4258"/>
    </row>
    <row r="4259" spans="5:5" x14ac:dyDescent="0.4">
      <c r="E4259"/>
    </row>
    <row r="4260" spans="5:5" x14ac:dyDescent="0.4">
      <c r="E4260"/>
    </row>
    <row r="4261" spans="5:5" x14ac:dyDescent="0.4">
      <c r="E4261"/>
    </row>
    <row r="4262" spans="5:5" x14ac:dyDescent="0.4">
      <c r="E4262"/>
    </row>
    <row r="4263" spans="5:5" x14ac:dyDescent="0.4">
      <c r="E4263"/>
    </row>
    <row r="4264" spans="5:5" x14ac:dyDescent="0.4">
      <c r="E4264"/>
    </row>
    <row r="4265" spans="5:5" x14ac:dyDescent="0.4">
      <c r="E4265"/>
    </row>
    <row r="4266" spans="5:5" x14ac:dyDescent="0.4">
      <c r="E4266"/>
    </row>
    <row r="4267" spans="5:5" x14ac:dyDescent="0.4">
      <c r="E4267"/>
    </row>
    <row r="4268" spans="5:5" x14ac:dyDescent="0.4">
      <c r="E4268"/>
    </row>
    <row r="4269" spans="5:5" x14ac:dyDescent="0.4">
      <c r="E4269"/>
    </row>
    <row r="4270" spans="5:5" x14ac:dyDescent="0.4">
      <c r="E4270"/>
    </row>
    <row r="4271" spans="5:5" x14ac:dyDescent="0.4">
      <c r="E4271"/>
    </row>
    <row r="4272" spans="5:5" x14ac:dyDescent="0.4">
      <c r="E4272"/>
    </row>
    <row r="4273" spans="5:5" x14ac:dyDescent="0.4">
      <c r="E4273"/>
    </row>
    <row r="4274" spans="5:5" x14ac:dyDescent="0.4">
      <c r="E4274"/>
    </row>
    <row r="4275" spans="5:5" x14ac:dyDescent="0.4">
      <c r="E4275"/>
    </row>
    <row r="4276" spans="5:5" x14ac:dyDescent="0.4">
      <c r="E4276"/>
    </row>
    <row r="4277" spans="5:5" x14ac:dyDescent="0.4">
      <c r="E4277"/>
    </row>
    <row r="4278" spans="5:5" x14ac:dyDescent="0.4">
      <c r="E4278"/>
    </row>
    <row r="4279" spans="5:5" x14ac:dyDescent="0.4">
      <c r="E4279"/>
    </row>
    <row r="4280" spans="5:5" x14ac:dyDescent="0.4">
      <c r="E4280"/>
    </row>
    <row r="4281" spans="5:5" x14ac:dyDescent="0.4">
      <c r="E4281"/>
    </row>
    <row r="4282" spans="5:5" x14ac:dyDescent="0.4">
      <c r="E4282"/>
    </row>
    <row r="4283" spans="5:5" x14ac:dyDescent="0.4">
      <c r="E4283"/>
    </row>
    <row r="4284" spans="5:5" x14ac:dyDescent="0.4">
      <c r="E4284"/>
    </row>
    <row r="4285" spans="5:5" x14ac:dyDescent="0.4">
      <c r="E4285"/>
    </row>
    <row r="4286" spans="5:5" x14ac:dyDescent="0.4">
      <c r="E4286"/>
    </row>
    <row r="4287" spans="5:5" x14ac:dyDescent="0.4">
      <c r="E4287"/>
    </row>
    <row r="4288" spans="5:5" x14ac:dyDescent="0.4">
      <c r="E4288"/>
    </row>
    <row r="4289" spans="5:5" x14ac:dyDescent="0.4">
      <c r="E4289"/>
    </row>
    <row r="4290" spans="5:5" x14ac:dyDescent="0.4">
      <c r="E4290"/>
    </row>
    <row r="4291" spans="5:5" x14ac:dyDescent="0.4">
      <c r="E4291"/>
    </row>
    <row r="4292" spans="5:5" x14ac:dyDescent="0.4">
      <c r="E4292"/>
    </row>
    <row r="4293" spans="5:5" x14ac:dyDescent="0.4">
      <c r="E4293"/>
    </row>
    <row r="4294" spans="5:5" x14ac:dyDescent="0.4">
      <c r="E4294"/>
    </row>
    <row r="4295" spans="5:5" x14ac:dyDescent="0.4">
      <c r="E4295"/>
    </row>
    <row r="4296" spans="5:5" x14ac:dyDescent="0.4">
      <c r="E4296"/>
    </row>
    <row r="4297" spans="5:5" x14ac:dyDescent="0.4">
      <c r="E4297"/>
    </row>
    <row r="4298" spans="5:5" x14ac:dyDescent="0.4">
      <c r="E4298"/>
    </row>
    <row r="4299" spans="5:5" x14ac:dyDescent="0.4">
      <c r="E4299"/>
    </row>
    <row r="4300" spans="5:5" x14ac:dyDescent="0.4">
      <c r="E4300"/>
    </row>
    <row r="4301" spans="5:5" x14ac:dyDescent="0.4">
      <c r="E4301"/>
    </row>
    <row r="4302" spans="5:5" x14ac:dyDescent="0.4">
      <c r="E4302"/>
    </row>
    <row r="4303" spans="5:5" x14ac:dyDescent="0.4">
      <c r="E4303"/>
    </row>
    <row r="4304" spans="5:5" x14ac:dyDescent="0.4">
      <c r="E4304"/>
    </row>
    <row r="4305" spans="5:5" x14ac:dyDescent="0.4">
      <c r="E4305"/>
    </row>
    <row r="4306" spans="5:5" x14ac:dyDescent="0.4">
      <c r="E4306"/>
    </row>
    <row r="4307" spans="5:5" x14ac:dyDescent="0.4">
      <c r="E4307"/>
    </row>
    <row r="4308" spans="5:5" x14ac:dyDescent="0.4">
      <c r="E4308"/>
    </row>
    <row r="4309" spans="5:5" x14ac:dyDescent="0.4">
      <c r="E4309"/>
    </row>
    <row r="4310" spans="5:5" x14ac:dyDescent="0.4">
      <c r="E4310"/>
    </row>
    <row r="4311" spans="5:5" x14ac:dyDescent="0.4">
      <c r="E4311"/>
    </row>
    <row r="4312" spans="5:5" x14ac:dyDescent="0.4">
      <c r="E4312"/>
    </row>
    <row r="4313" spans="5:5" x14ac:dyDescent="0.4">
      <c r="E4313"/>
    </row>
    <row r="4314" spans="5:5" x14ac:dyDescent="0.4">
      <c r="E4314"/>
    </row>
    <row r="4315" spans="5:5" x14ac:dyDescent="0.4">
      <c r="E4315"/>
    </row>
    <row r="4316" spans="5:5" x14ac:dyDescent="0.4">
      <c r="E4316"/>
    </row>
    <row r="4317" spans="5:5" x14ac:dyDescent="0.4">
      <c r="E4317"/>
    </row>
    <row r="4318" spans="5:5" x14ac:dyDescent="0.4">
      <c r="E4318"/>
    </row>
    <row r="4319" spans="5:5" x14ac:dyDescent="0.4">
      <c r="E4319"/>
    </row>
    <row r="4320" spans="5:5" x14ac:dyDescent="0.4">
      <c r="E4320"/>
    </row>
    <row r="4321" spans="5:5" x14ac:dyDescent="0.4">
      <c r="E4321"/>
    </row>
    <row r="4322" spans="5:5" x14ac:dyDescent="0.4">
      <c r="E4322"/>
    </row>
    <row r="4323" spans="5:5" x14ac:dyDescent="0.4">
      <c r="E4323"/>
    </row>
    <row r="4324" spans="5:5" x14ac:dyDescent="0.4">
      <c r="E4324"/>
    </row>
    <row r="4325" spans="5:5" x14ac:dyDescent="0.4">
      <c r="E4325"/>
    </row>
    <row r="4326" spans="5:5" x14ac:dyDescent="0.4">
      <c r="E4326"/>
    </row>
    <row r="4327" spans="5:5" x14ac:dyDescent="0.4">
      <c r="E4327"/>
    </row>
    <row r="4328" spans="5:5" x14ac:dyDescent="0.4">
      <c r="E4328"/>
    </row>
    <row r="4329" spans="5:5" x14ac:dyDescent="0.4">
      <c r="E4329"/>
    </row>
    <row r="4330" spans="5:5" x14ac:dyDescent="0.4">
      <c r="E4330"/>
    </row>
    <row r="4331" spans="5:5" x14ac:dyDescent="0.4">
      <c r="E4331"/>
    </row>
    <row r="4332" spans="5:5" x14ac:dyDescent="0.4">
      <c r="E4332"/>
    </row>
    <row r="4333" spans="5:5" x14ac:dyDescent="0.4">
      <c r="E4333"/>
    </row>
    <row r="4334" spans="5:5" x14ac:dyDescent="0.4">
      <c r="E4334"/>
    </row>
    <row r="4335" spans="5:5" x14ac:dyDescent="0.4">
      <c r="E4335"/>
    </row>
    <row r="4336" spans="5:5" x14ac:dyDescent="0.4">
      <c r="E4336"/>
    </row>
    <row r="4337" spans="5:5" x14ac:dyDescent="0.4">
      <c r="E4337"/>
    </row>
    <row r="4338" spans="5:5" x14ac:dyDescent="0.4">
      <c r="E4338"/>
    </row>
    <row r="4339" spans="5:5" x14ac:dyDescent="0.4">
      <c r="E4339"/>
    </row>
    <row r="4340" spans="5:5" x14ac:dyDescent="0.4">
      <c r="E4340"/>
    </row>
    <row r="4341" spans="5:5" x14ac:dyDescent="0.4">
      <c r="E4341"/>
    </row>
    <row r="4342" spans="5:5" x14ac:dyDescent="0.4">
      <c r="E4342"/>
    </row>
    <row r="4343" spans="5:5" x14ac:dyDescent="0.4">
      <c r="E4343"/>
    </row>
    <row r="4344" spans="5:5" x14ac:dyDescent="0.4">
      <c r="E4344"/>
    </row>
    <row r="4345" spans="5:5" x14ac:dyDescent="0.4">
      <c r="E4345"/>
    </row>
    <row r="4346" spans="5:5" x14ac:dyDescent="0.4">
      <c r="E4346"/>
    </row>
    <row r="4347" spans="5:5" x14ac:dyDescent="0.4">
      <c r="E4347"/>
    </row>
    <row r="4348" spans="5:5" x14ac:dyDescent="0.4">
      <c r="E4348"/>
    </row>
    <row r="4349" spans="5:5" x14ac:dyDescent="0.4">
      <c r="E4349"/>
    </row>
    <row r="4350" spans="5:5" x14ac:dyDescent="0.4">
      <c r="E4350"/>
    </row>
    <row r="4351" spans="5:5" x14ac:dyDescent="0.4">
      <c r="E4351"/>
    </row>
    <row r="4352" spans="5:5" x14ac:dyDescent="0.4">
      <c r="E4352"/>
    </row>
    <row r="4353" spans="5:5" x14ac:dyDescent="0.4">
      <c r="E435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6"/>
  <sheetViews>
    <sheetView workbookViewId="0">
      <selection sqref="A1:I26"/>
    </sheetView>
  </sheetViews>
  <sheetFormatPr defaultRowHeight="14.6" x14ac:dyDescent="0.4"/>
  <cols>
    <col min="1" max="1" width="42.3828125" bestFit="1" customWidth="1"/>
    <col min="2" max="2" width="33.84375" bestFit="1" customWidth="1"/>
    <col min="3" max="3" width="10.3828125" bestFit="1" customWidth="1"/>
    <col min="4" max="4" width="23.3828125" bestFit="1" customWidth="1"/>
    <col min="5" max="5" width="15.53515625" bestFit="1" customWidth="1"/>
    <col min="6" max="8" width="10.15234375" bestFit="1" customWidth="1"/>
    <col min="9" max="9" width="65.69140625" bestFit="1" customWidth="1"/>
  </cols>
  <sheetData>
    <row r="1" spans="1:9" x14ac:dyDescent="0.4">
      <c r="A1" s="4"/>
      <c r="B1" s="4"/>
      <c r="C1" s="4"/>
      <c r="D1" s="4"/>
      <c r="E1" s="18"/>
      <c r="F1" s="18" t="s">
        <v>304</v>
      </c>
      <c r="G1" s="18" t="s">
        <v>305</v>
      </c>
      <c r="H1" s="18" t="s">
        <v>306</v>
      </c>
      <c r="I1" s="4" t="s">
        <v>307</v>
      </c>
    </row>
    <row r="2" spans="1:9" x14ac:dyDescent="0.4">
      <c r="A2" s="4" t="s">
        <v>308</v>
      </c>
      <c r="B2" s="4" t="s">
        <v>309</v>
      </c>
      <c r="C2" s="4" t="s">
        <v>843</v>
      </c>
      <c r="D2" s="4" t="s">
        <v>311</v>
      </c>
      <c r="E2" s="18" t="s">
        <v>313</v>
      </c>
      <c r="F2" s="18"/>
      <c r="G2" s="18"/>
      <c r="H2" s="18"/>
      <c r="I2" s="4"/>
    </row>
    <row r="3" spans="1:9" x14ac:dyDescent="0.4">
      <c r="A3" s="29" t="s">
        <v>5</v>
      </c>
      <c r="B3" s="27"/>
      <c r="C3" s="27"/>
      <c r="D3" s="27"/>
      <c r="E3" s="28"/>
      <c r="F3" s="28"/>
      <c r="G3" s="28"/>
      <c r="H3" s="28"/>
      <c r="I3" s="27"/>
    </row>
    <row r="4" spans="1:9" x14ac:dyDescent="0.4">
      <c r="A4" s="20" t="s">
        <v>314</v>
      </c>
      <c r="B4" s="17" t="s">
        <v>774</v>
      </c>
      <c r="C4" s="17" t="s">
        <v>359</v>
      </c>
      <c r="D4" s="17" t="s">
        <v>773</v>
      </c>
      <c r="E4" s="18">
        <v>24992.23</v>
      </c>
      <c r="F4" s="18">
        <v>24992.23</v>
      </c>
      <c r="G4" s="18"/>
      <c r="H4" s="18"/>
      <c r="I4" s="4" t="s">
        <v>1126</v>
      </c>
    </row>
    <row r="5" spans="1:9" x14ac:dyDescent="0.4">
      <c r="A5" s="20" t="s">
        <v>787</v>
      </c>
      <c r="B5" s="17" t="s">
        <v>788</v>
      </c>
      <c r="C5" s="17" t="s">
        <v>359</v>
      </c>
      <c r="D5" s="17" t="s">
        <v>773</v>
      </c>
      <c r="E5" s="18">
        <v>1013</v>
      </c>
      <c r="F5" s="18"/>
      <c r="G5" s="18"/>
      <c r="H5" s="18">
        <v>1013</v>
      </c>
      <c r="I5" s="4" t="s">
        <v>828</v>
      </c>
    </row>
    <row r="6" spans="1:9" x14ac:dyDescent="0.4">
      <c r="A6" s="20" t="s">
        <v>789</v>
      </c>
      <c r="B6" s="17" t="s">
        <v>792</v>
      </c>
      <c r="C6" s="17" t="s">
        <v>359</v>
      </c>
      <c r="D6" s="17" t="s">
        <v>780</v>
      </c>
      <c r="E6" s="18">
        <v>25507.21</v>
      </c>
      <c r="F6" s="18"/>
      <c r="G6" s="18"/>
      <c r="H6" s="18">
        <v>25507.21</v>
      </c>
      <c r="I6" s="21" t="s">
        <v>1127</v>
      </c>
    </row>
    <row r="7" spans="1:9" x14ac:dyDescent="0.4">
      <c r="A7" s="4"/>
      <c r="B7" s="17" t="s">
        <v>793</v>
      </c>
      <c r="C7" s="17" t="s">
        <v>359</v>
      </c>
      <c r="D7" s="17" t="s">
        <v>780</v>
      </c>
      <c r="E7" s="18">
        <v>29945.99</v>
      </c>
      <c r="F7" s="18"/>
      <c r="G7" s="18"/>
      <c r="H7" s="18">
        <v>29945.99</v>
      </c>
      <c r="I7" s="4"/>
    </row>
    <row r="8" spans="1:9" x14ac:dyDescent="0.4">
      <c r="A8" s="20" t="s">
        <v>1128</v>
      </c>
      <c r="B8" s="17" t="s">
        <v>1129</v>
      </c>
      <c r="C8" s="17" t="s">
        <v>359</v>
      </c>
      <c r="D8" s="17" t="s">
        <v>1097</v>
      </c>
      <c r="E8" s="18">
        <v>554.49</v>
      </c>
      <c r="F8" s="18">
        <v>554.49</v>
      </c>
      <c r="G8" s="18"/>
      <c r="H8" s="18"/>
      <c r="I8" s="4" t="s">
        <v>1130</v>
      </c>
    </row>
    <row r="9" spans="1:9" x14ac:dyDescent="0.4">
      <c r="A9" s="20" t="s">
        <v>798</v>
      </c>
      <c r="B9" s="17" t="s">
        <v>799</v>
      </c>
      <c r="C9" s="17" t="s">
        <v>359</v>
      </c>
      <c r="D9" s="17" t="s">
        <v>780</v>
      </c>
      <c r="E9" s="18">
        <v>6000</v>
      </c>
      <c r="F9" s="18"/>
      <c r="G9" s="18"/>
      <c r="H9" s="18">
        <v>6000</v>
      </c>
      <c r="I9" s="26" t="s">
        <v>1131</v>
      </c>
    </row>
    <row r="10" spans="1:9" x14ac:dyDescent="0.4">
      <c r="A10" s="20" t="s">
        <v>802</v>
      </c>
      <c r="B10" s="17" t="s">
        <v>1132</v>
      </c>
      <c r="C10" s="17" t="s">
        <v>359</v>
      </c>
      <c r="D10" s="17" t="s">
        <v>806</v>
      </c>
      <c r="E10" s="18">
        <v>600</v>
      </c>
      <c r="F10" s="18"/>
      <c r="G10" s="18"/>
      <c r="H10" s="18">
        <v>600</v>
      </c>
      <c r="I10" s="26" t="s">
        <v>1133</v>
      </c>
    </row>
    <row r="11" spans="1:9" x14ac:dyDescent="0.4">
      <c r="A11" s="20" t="s">
        <v>628</v>
      </c>
      <c r="B11" s="17" t="s">
        <v>1132</v>
      </c>
      <c r="C11" s="17" t="s">
        <v>359</v>
      </c>
      <c r="D11" s="17" t="s">
        <v>806</v>
      </c>
      <c r="E11" s="18">
        <v>400</v>
      </c>
      <c r="F11" s="18"/>
      <c r="G11" s="18"/>
      <c r="H11" s="18">
        <v>400</v>
      </c>
      <c r="I11" s="21" t="s">
        <v>1134</v>
      </c>
    </row>
    <row r="12" spans="1:9" x14ac:dyDescent="0.4">
      <c r="A12" s="20" t="s">
        <v>635</v>
      </c>
      <c r="B12" s="17" t="s">
        <v>1135</v>
      </c>
      <c r="C12" s="17" t="s">
        <v>359</v>
      </c>
      <c r="D12" s="17" t="s">
        <v>780</v>
      </c>
      <c r="E12" s="18">
        <v>2411.5</v>
      </c>
      <c r="F12" s="18"/>
      <c r="G12" s="18"/>
      <c r="H12" s="18">
        <v>2411.5</v>
      </c>
      <c r="I12" s="21" t="s">
        <v>1136</v>
      </c>
    </row>
    <row r="13" spans="1:9" x14ac:dyDescent="0.4">
      <c r="A13" s="20" t="s">
        <v>814</v>
      </c>
      <c r="B13" s="17" t="s">
        <v>796</v>
      </c>
      <c r="C13" s="17" t="s">
        <v>359</v>
      </c>
      <c r="D13" s="17" t="s">
        <v>773</v>
      </c>
      <c r="E13" s="18">
        <v>567</v>
      </c>
      <c r="F13" s="18">
        <v>567</v>
      </c>
      <c r="G13" s="18"/>
      <c r="H13" s="18"/>
      <c r="I13" s="4" t="s">
        <v>1137</v>
      </c>
    </row>
    <row r="14" spans="1:9" x14ac:dyDescent="0.4">
      <c r="A14" s="20" t="s">
        <v>815</v>
      </c>
      <c r="B14" s="17" t="s">
        <v>1138</v>
      </c>
      <c r="C14" s="17" t="s">
        <v>359</v>
      </c>
      <c r="D14" s="17" t="s">
        <v>773</v>
      </c>
      <c r="E14" s="18">
        <v>50000</v>
      </c>
      <c r="F14" s="18"/>
      <c r="G14" s="18">
        <v>50000</v>
      </c>
      <c r="H14" s="18"/>
      <c r="I14" s="4" t="s">
        <v>1139</v>
      </c>
    </row>
    <row r="15" spans="1:9" x14ac:dyDescent="0.4">
      <c r="A15" s="29" t="s">
        <v>6</v>
      </c>
      <c r="B15" s="27"/>
      <c r="C15" s="27"/>
      <c r="D15" s="27"/>
      <c r="E15" s="28"/>
      <c r="F15" s="28"/>
      <c r="G15" s="28"/>
      <c r="H15" s="28"/>
      <c r="I15" s="27"/>
    </row>
    <row r="16" spans="1:9" x14ac:dyDescent="0.4">
      <c r="A16" s="20" t="s">
        <v>384</v>
      </c>
      <c r="B16" s="17" t="s">
        <v>821</v>
      </c>
      <c r="C16" s="17" t="s">
        <v>822</v>
      </c>
      <c r="D16" s="17" t="s">
        <v>773</v>
      </c>
      <c r="E16" s="18">
        <v>300</v>
      </c>
      <c r="F16" s="18"/>
      <c r="G16" s="18">
        <v>300</v>
      </c>
      <c r="H16" s="18"/>
      <c r="I16" s="4"/>
    </row>
    <row r="17" spans="1:9" x14ac:dyDescent="0.4">
      <c r="A17" s="20" t="s">
        <v>861</v>
      </c>
      <c r="B17" s="17" t="s">
        <v>862</v>
      </c>
      <c r="C17" s="17" t="s">
        <v>863</v>
      </c>
      <c r="D17" s="17" t="s">
        <v>773</v>
      </c>
      <c r="E17" s="18">
        <v>0</v>
      </c>
      <c r="F17" s="18">
        <v>120</v>
      </c>
      <c r="G17" s="18"/>
      <c r="H17" s="18"/>
      <c r="I17" s="4" t="s">
        <v>1140</v>
      </c>
    </row>
    <row r="18" spans="1:9" x14ac:dyDescent="0.4">
      <c r="A18" s="20" t="s">
        <v>411</v>
      </c>
      <c r="B18" s="17" t="s">
        <v>781</v>
      </c>
      <c r="C18" s="17" t="s">
        <v>415</v>
      </c>
      <c r="D18" s="17" t="s">
        <v>768</v>
      </c>
      <c r="E18" s="18">
        <v>1879</v>
      </c>
      <c r="F18" s="18"/>
      <c r="G18" s="18">
        <v>1879</v>
      </c>
      <c r="H18" s="18"/>
      <c r="I18" s="4" t="s">
        <v>1141</v>
      </c>
    </row>
    <row r="19" spans="1:9" x14ac:dyDescent="0.4">
      <c r="A19" s="20" t="s">
        <v>426</v>
      </c>
      <c r="B19" s="17" t="s">
        <v>823</v>
      </c>
      <c r="C19" s="17" t="s">
        <v>647</v>
      </c>
      <c r="D19" s="17" t="s">
        <v>776</v>
      </c>
      <c r="E19" s="18">
        <v>53430</v>
      </c>
      <c r="F19" s="18"/>
      <c r="G19" s="18">
        <v>26000</v>
      </c>
      <c r="H19" s="18"/>
      <c r="I19" s="4"/>
    </row>
    <row r="20" spans="1:9" x14ac:dyDescent="0.4">
      <c r="A20" s="4"/>
      <c r="B20" s="17" t="s">
        <v>782</v>
      </c>
      <c r="C20" s="17" t="s">
        <v>415</v>
      </c>
      <c r="D20" s="17" t="s">
        <v>780</v>
      </c>
      <c r="E20" s="18">
        <v>2010</v>
      </c>
      <c r="F20" s="18">
        <v>2010</v>
      </c>
      <c r="G20" s="18"/>
      <c r="H20" s="18"/>
      <c r="I20" s="4"/>
    </row>
    <row r="21" spans="1:9" x14ac:dyDescent="0.4">
      <c r="A21" s="4"/>
      <c r="B21" s="17" t="s">
        <v>783</v>
      </c>
      <c r="C21" s="17" t="s">
        <v>415</v>
      </c>
      <c r="D21" s="17" t="s">
        <v>780</v>
      </c>
      <c r="E21" s="18">
        <v>2010</v>
      </c>
      <c r="F21" s="18"/>
      <c r="G21" s="18"/>
      <c r="H21" s="18">
        <v>2010</v>
      </c>
      <c r="I21" s="4" t="s">
        <v>890</v>
      </c>
    </row>
    <row r="22" spans="1:9" x14ac:dyDescent="0.4">
      <c r="A22" s="20" t="s">
        <v>438</v>
      </c>
      <c r="B22" s="17" t="s">
        <v>794</v>
      </c>
      <c r="C22" s="17" t="s">
        <v>415</v>
      </c>
      <c r="D22" s="17" t="s">
        <v>773</v>
      </c>
      <c r="E22" s="18">
        <v>2800</v>
      </c>
      <c r="F22" s="18">
        <v>2800</v>
      </c>
      <c r="G22" s="18"/>
      <c r="H22" s="18"/>
      <c r="I22" s="4"/>
    </row>
    <row r="23" spans="1:9" x14ac:dyDescent="0.4">
      <c r="A23" s="20" t="s">
        <v>251</v>
      </c>
      <c r="B23" s="17" t="s">
        <v>870</v>
      </c>
      <c r="C23" s="17" t="s">
        <v>415</v>
      </c>
      <c r="D23" s="17" t="s">
        <v>773</v>
      </c>
      <c r="E23" s="18">
        <v>0</v>
      </c>
      <c r="F23" s="18">
        <v>10000</v>
      </c>
      <c r="G23" s="18"/>
      <c r="H23" s="18"/>
      <c r="I23" s="4" t="s">
        <v>1140</v>
      </c>
    </row>
    <row r="24" spans="1:9" x14ac:dyDescent="0.4">
      <c r="A24" s="20" t="s">
        <v>568</v>
      </c>
      <c r="B24" s="17" t="s">
        <v>797</v>
      </c>
      <c r="C24" s="17" t="s">
        <v>415</v>
      </c>
      <c r="D24" s="17" t="s">
        <v>776</v>
      </c>
      <c r="E24" s="18">
        <v>265.79000000000002</v>
      </c>
      <c r="F24" s="18"/>
      <c r="G24" s="18"/>
      <c r="H24" s="18"/>
      <c r="I24" s="21" t="s">
        <v>1142</v>
      </c>
    </row>
    <row r="25" spans="1:9" x14ac:dyDescent="0.4">
      <c r="A25" s="20" t="s">
        <v>802</v>
      </c>
      <c r="B25" s="17" t="s">
        <v>803</v>
      </c>
      <c r="C25" s="17" t="s">
        <v>415</v>
      </c>
      <c r="D25" s="17" t="s">
        <v>780</v>
      </c>
      <c r="E25" s="18">
        <v>3564</v>
      </c>
      <c r="F25" s="18"/>
      <c r="G25" s="18">
        <v>3564</v>
      </c>
      <c r="H25" s="18"/>
      <c r="I25" s="4"/>
    </row>
    <row r="26" spans="1:9" x14ac:dyDescent="0.4">
      <c r="A26" s="20" t="s">
        <v>815</v>
      </c>
      <c r="B26" s="17" t="s">
        <v>819</v>
      </c>
      <c r="C26" s="17" t="s">
        <v>415</v>
      </c>
      <c r="D26" s="17" t="s">
        <v>773</v>
      </c>
      <c r="E26" s="18">
        <v>1000</v>
      </c>
      <c r="F26" s="18">
        <v>1000</v>
      </c>
      <c r="G26" s="18"/>
      <c r="H26" s="18"/>
      <c r="I2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345"/>
  <sheetViews>
    <sheetView topLeftCell="A4" workbookViewId="0">
      <selection sqref="A1:I29"/>
    </sheetView>
  </sheetViews>
  <sheetFormatPr defaultRowHeight="14.6" x14ac:dyDescent="0.4"/>
  <cols>
    <col min="1" max="1" width="47.53515625" bestFit="1" customWidth="1"/>
    <col min="2" max="2" width="58.53515625" bestFit="1" customWidth="1"/>
    <col min="3" max="3" width="13.3828125" bestFit="1" customWidth="1"/>
    <col min="4" max="4" width="29.84375" bestFit="1" customWidth="1"/>
    <col min="5" max="5" width="15.53515625" style="1" bestFit="1" customWidth="1"/>
    <col min="6" max="8" width="10.15234375" style="1" bestFit="1" customWidth="1"/>
    <col min="9" max="9" width="35.53515625" customWidth="1"/>
  </cols>
  <sheetData>
    <row r="1" spans="1:9" x14ac:dyDescent="0.4">
      <c r="F1" s="1" t="s">
        <v>304</v>
      </c>
      <c r="G1" s="1" t="s">
        <v>305</v>
      </c>
      <c r="H1" s="1" t="s">
        <v>306</v>
      </c>
      <c r="I1" t="s">
        <v>307</v>
      </c>
    </row>
    <row r="2" spans="1:9" x14ac:dyDescent="0.4">
      <c r="E2" s="1" t="e">
        <f>SUM(F2:G2)</f>
        <v>#REF!</v>
      </c>
      <c r="F2" s="1" t="e">
        <f>SUM(F6:F16)</f>
        <v>#REF!</v>
      </c>
      <c r="G2" s="1" t="e">
        <f t="shared" ref="G2:H2" si="0">SUM(G6:G16)</f>
        <v>#REF!</v>
      </c>
      <c r="H2" s="1" t="e">
        <f t="shared" si="0"/>
        <v>#REF!</v>
      </c>
    </row>
    <row r="3" spans="1:9" x14ac:dyDescent="0.4">
      <c r="A3" s="9" t="s">
        <v>308</v>
      </c>
      <c r="B3" s="9" t="s">
        <v>309</v>
      </c>
      <c r="C3" s="9" t="s">
        <v>310</v>
      </c>
      <c r="D3" s="9" t="s">
        <v>311</v>
      </c>
      <c r="E3" s="1" t="s">
        <v>313</v>
      </c>
    </row>
    <row r="4" spans="1:9" x14ac:dyDescent="0.4">
      <c r="A4" s="10" t="s">
        <v>314</v>
      </c>
      <c r="B4" s="10" t="s">
        <v>315</v>
      </c>
      <c r="C4" s="10" t="s">
        <v>316</v>
      </c>
      <c r="E4" s="1">
        <v>22000</v>
      </c>
    </row>
    <row r="5" spans="1:9" x14ac:dyDescent="0.4">
      <c r="C5" s="11" t="s">
        <v>8</v>
      </c>
      <c r="E5" s="1">
        <v>22000</v>
      </c>
    </row>
    <row r="6" spans="1:9" x14ac:dyDescent="0.4">
      <c r="C6" s="39" t="s">
        <v>317</v>
      </c>
      <c r="D6" s="10" t="s">
        <v>318</v>
      </c>
      <c r="E6" s="1">
        <v>22000</v>
      </c>
      <c r="F6" s="1" t="e">
        <f>GETPIVOTDATA("Revenue",$A$3,"Close Date",152,"Company","A Change in Trajectory (ACT)","Opportunity Summary","P1 Downtown location","Stage","New Opportunity","Months",5)</f>
        <v>#REF!</v>
      </c>
      <c r="I6" t="s">
        <v>1126</v>
      </c>
    </row>
    <row r="7" spans="1:9" x14ac:dyDescent="0.4">
      <c r="B7" s="10" t="s">
        <v>320</v>
      </c>
      <c r="C7" s="10" t="s">
        <v>316</v>
      </c>
      <c r="E7" s="1">
        <v>2000</v>
      </c>
      <c r="H7" s="1" t="e">
        <f>GETPIVOTDATA("Revenue",$A$3,"Close Date",152,"Company","Hod Dunbar","Opportunity Summary","P1 WiFI","Stage","New Opportunity","Months",5)</f>
        <v>#REF!</v>
      </c>
      <c r="I7" t="s">
        <v>828</v>
      </c>
    </row>
    <row r="8" spans="1:9" x14ac:dyDescent="0.4">
      <c r="C8" s="11" t="s">
        <v>2</v>
      </c>
      <c r="E8" s="1">
        <v>400</v>
      </c>
      <c r="H8" s="1" t="e">
        <f>GETPIVOTDATA("Revenue",$A$3,"Close Date",152,"Company","House of Ruth","Opportunity Summary","P1 replace all computers HDD","Stage","Awaiting Client Approval","Months",5)</f>
        <v>#REF!</v>
      </c>
      <c r="I8" s="25" t="s">
        <v>1127</v>
      </c>
    </row>
    <row r="9" spans="1:9" x14ac:dyDescent="0.4">
      <c r="C9" s="39" t="s">
        <v>321</v>
      </c>
      <c r="D9" s="10" t="s">
        <v>322</v>
      </c>
      <c r="E9" s="1">
        <v>400</v>
      </c>
      <c r="H9" s="1" t="e">
        <f>GETPIVOTDATA("Revenue",$A$3,"Close Date",152,"Company","House of Ruth","Opportunity Summary","P1 replace all computers SSD","Stage","Awaiting Client Approval","Months",5)</f>
        <v>#REF!</v>
      </c>
    </row>
    <row r="10" spans="1:9" x14ac:dyDescent="0.4">
      <c r="C10" s="11" t="s">
        <v>3</v>
      </c>
      <c r="E10" s="1">
        <v>1600</v>
      </c>
      <c r="F10" s="1" t="e">
        <f>GETPIVOTDATA("Revenue",$A$3,"Close Date",152,"Company","Inland Valley Hope Partners","Opportunity Summary","P1 Refurbished Desktop ","Stage","Quote in review","Months",5)</f>
        <v>#REF!</v>
      </c>
      <c r="I10" t="s">
        <v>1130</v>
      </c>
    </row>
    <row r="11" spans="1:9" x14ac:dyDescent="0.4">
      <c r="C11" s="39" t="s">
        <v>324</v>
      </c>
      <c r="D11" s="10" t="s">
        <v>322</v>
      </c>
      <c r="E11" s="1">
        <v>1600</v>
      </c>
      <c r="H11" s="1" t="e">
        <f>GETPIVOTDATA("Revenue",$A$3,"Close Date",152,"Company","Ojai Oil Company","Opportunity Summary","P1 AWS - test server","Stage","Awaiting Client Approval","Months",5)</f>
        <v>#REF!</v>
      </c>
      <c r="I11" s="24" t="s">
        <v>1131</v>
      </c>
    </row>
    <row r="12" spans="1:9" x14ac:dyDescent="0.4">
      <c r="B12" s="10" t="s">
        <v>326</v>
      </c>
      <c r="C12" s="10" t="s">
        <v>316</v>
      </c>
      <c r="E12" s="1">
        <v>0</v>
      </c>
      <c r="H12" s="1" t="e">
        <f>GETPIVOTDATA("Revenue",$A$3,"Close Date",152,"Company","Pilot Automotive","Opportunity Summary","P1 MS increase","Stage","Needs Invoice","Months",5)</f>
        <v>#REF!</v>
      </c>
      <c r="I12" s="24" t="s">
        <v>1133</v>
      </c>
    </row>
    <row r="13" spans="1:9" x14ac:dyDescent="0.4">
      <c r="C13" s="11" t="s">
        <v>2</v>
      </c>
      <c r="E13" s="1">
        <v>0</v>
      </c>
      <c r="H13" s="1" t="e">
        <f>GETPIVOTDATA("Revenue",$A$3,"Close Date",152,"Company","Studio Designs","Opportunity Summary","P1 MS increase","Stage","Needs Invoice","Months",5)</f>
        <v>#REF!</v>
      </c>
      <c r="I13" s="25" t="s">
        <v>1134</v>
      </c>
    </row>
    <row r="14" spans="1:9" x14ac:dyDescent="0.4">
      <c r="C14" s="39" t="s">
        <v>328</v>
      </c>
      <c r="D14" s="10" t="s">
        <v>329</v>
      </c>
      <c r="E14" s="1">
        <v>0</v>
      </c>
      <c r="H14" s="1" t="e">
        <f>GETPIVOTDATA("Revenue",$A$3,"Close Date",152,"Company","Turning Point Foundation","Opportunity Summary","P1 AWS MS","Stage","Awaiting Client Approval","Months",5)</f>
        <v>#REF!</v>
      </c>
      <c r="I14" s="25" t="s">
        <v>1136</v>
      </c>
    </row>
    <row r="15" spans="1:9" x14ac:dyDescent="0.4">
      <c r="B15" s="10" t="s">
        <v>331</v>
      </c>
      <c r="C15" s="10" t="s">
        <v>316</v>
      </c>
      <c r="E15" s="1">
        <v>525</v>
      </c>
      <c r="F15" s="1" t="e">
        <f>GETPIVOTDATA("Revenue",$A$3,"Close Date",152,"Company","Ventura Harley","Opportunity Summary","P1 MS","Stage","New Opportunity","Months",5)</f>
        <v>#REF!</v>
      </c>
      <c r="I15" t="s">
        <v>1137</v>
      </c>
    </row>
    <row r="16" spans="1:9" x14ac:dyDescent="0.4">
      <c r="C16" s="11" t="s">
        <v>2</v>
      </c>
      <c r="E16" s="1">
        <v>525</v>
      </c>
      <c r="G16" s="1" t="e">
        <f>GETPIVOTDATA("Revenue",$A$3,"Close Date",152,"Company","ZNS","Opportunity Summary","P1 o365","Stage","New Opportunity","Months",5)</f>
        <v>#REF!</v>
      </c>
      <c r="I16" t="s">
        <v>1139</v>
      </c>
    </row>
    <row r="17" spans="2:9" x14ac:dyDescent="0.4">
      <c r="C17" s="39" t="s">
        <v>334</v>
      </c>
      <c r="D17" s="10" t="s">
        <v>322</v>
      </c>
      <c r="E17" s="1">
        <v>525</v>
      </c>
    </row>
    <row r="18" spans="2:9" x14ac:dyDescent="0.4">
      <c r="B18" s="10" t="s">
        <v>335</v>
      </c>
      <c r="C18" s="10" t="s">
        <v>316</v>
      </c>
      <c r="E18" s="1">
        <v>404.57</v>
      </c>
    </row>
    <row r="19" spans="2:9" x14ac:dyDescent="0.4">
      <c r="C19" s="11" t="s">
        <v>1</v>
      </c>
      <c r="E19" s="1">
        <v>404.57</v>
      </c>
      <c r="G19" s="1" t="e">
        <f>GETPIVOTDATA("Revenue",$A$3,"Close Date",179,"Company","Autism Response Team (ART)","Opportunity Summary","P1 Raise AWS amount they pay","Stage","New Opportunity","Months",6)</f>
        <v>#REF!</v>
      </c>
    </row>
    <row r="20" spans="2:9" x14ac:dyDescent="0.4">
      <c r="C20" s="39" t="s">
        <v>338</v>
      </c>
      <c r="D20" s="10" t="s">
        <v>322</v>
      </c>
      <c r="E20" s="1">
        <v>404.57</v>
      </c>
      <c r="F20" s="1">
        <v>120</v>
      </c>
      <c r="I20" t="s">
        <v>1140</v>
      </c>
    </row>
    <row r="21" spans="2:9" x14ac:dyDescent="0.4">
      <c r="B21" s="10" t="s">
        <v>340</v>
      </c>
      <c r="C21" s="10" t="s">
        <v>316</v>
      </c>
      <c r="E21" s="1">
        <v>132.97</v>
      </c>
      <c r="G21" s="1" t="e">
        <f>GETPIVOTDATA("Revenue",$A$3,"Close Date",182,"Company","Cool Pak","Opportunity Summary","P1 AWS - MS","Stage","Quoting","Months",6)</f>
        <v>#REF!</v>
      </c>
      <c r="I21" t="s">
        <v>1141</v>
      </c>
    </row>
    <row r="22" spans="2:9" x14ac:dyDescent="0.4">
      <c r="C22" s="11" t="s">
        <v>3</v>
      </c>
      <c r="E22" s="1">
        <v>132.97</v>
      </c>
      <c r="G22" s="1">
        <v>26000</v>
      </c>
    </row>
    <row r="23" spans="2:9" x14ac:dyDescent="0.4">
      <c r="C23" s="39" t="s">
        <v>343</v>
      </c>
      <c r="D23" s="10" t="s">
        <v>322</v>
      </c>
      <c r="E23" s="1">
        <v>132.97</v>
      </c>
      <c r="F23" s="1" t="e">
        <f>GETPIVOTDATA("Revenue",$A$3,"Close Date",182,"Company","DITEC Manufacturing","Opportunity Summary","P1 PC Refresh 1 of 6","Stage","Awaiting Client Approval","Months",6)</f>
        <v>#REF!</v>
      </c>
    </row>
    <row r="24" spans="2:9" x14ac:dyDescent="0.4">
      <c r="B24" s="10" t="s">
        <v>344</v>
      </c>
      <c r="C24" s="10" t="s">
        <v>316</v>
      </c>
      <c r="E24" s="1">
        <v>5660.9</v>
      </c>
      <c r="H24" s="1" t="e">
        <f>GETPIVOTDATA("Revenue",$A$3,"Close Date",182,"Company","DITEC Manufacturing","Opportunity Summary","P1 PC Refresh 2 of 6","Stage","Awaiting Client Approval","Months",6)</f>
        <v>#REF!</v>
      </c>
      <c r="I24" t="s">
        <v>890</v>
      </c>
    </row>
    <row r="25" spans="2:9" x14ac:dyDescent="0.4">
      <c r="C25" s="11" t="s">
        <v>3</v>
      </c>
      <c r="E25" s="1">
        <v>5660.9</v>
      </c>
      <c r="F25" s="1" t="e">
        <f>GETPIVOTDATA("Revenue",$A$3,"Close Date",182,"Company","Instrument Control Services","Opportunity Summary","P1 VoIP Proposal","Stage","New Opportunity","Months",6)</f>
        <v>#REF!</v>
      </c>
    </row>
    <row r="26" spans="2:9" x14ac:dyDescent="0.4">
      <c r="C26" s="39" t="s">
        <v>324</v>
      </c>
      <c r="D26" s="10" t="s">
        <v>322</v>
      </c>
      <c r="E26" s="1">
        <v>5660.9</v>
      </c>
      <c r="F26" s="1">
        <v>10000</v>
      </c>
      <c r="I26" t="s">
        <v>1140</v>
      </c>
    </row>
    <row r="27" spans="2:9" x14ac:dyDescent="0.4">
      <c r="B27" s="10" t="s">
        <v>348</v>
      </c>
      <c r="C27" s="10" t="s">
        <v>316</v>
      </c>
      <c r="E27" s="1">
        <v>1739.66</v>
      </c>
      <c r="I27" s="25" t="s">
        <v>1142</v>
      </c>
    </row>
    <row r="28" spans="2:9" x14ac:dyDescent="0.4">
      <c r="C28" s="11" t="s">
        <v>3</v>
      </c>
      <c r="E28" s="1">
        <v>1739.66</v>
      </c>
      <c r="G28" s="1" t="e">
        <f>GETPIVOTDATA("Revenue",$A$3,"Close Date",182,"Company","Pilot Automotive","Opportunity Summary","P1 Wi-Fi (Aerohive)","Stage","Awaiting Client Approval","Months",6)</f>
        <v>#REF!</v>
      </c>
    </row>
    <row r="29" spans="2:9" x14ac:dyDescent="0.4">
      <c r="C29" s="39" t="s">
        <v>343</v>
      </c>
      <c r="D29" s="10" t="s">
        <v>322</v>
      </c>
      <c r="E29" s="1">
        <v>1739.66</v>
      </c>
      <c r="F29" s="1" t="e">
        <f>GETPIVOTDATA("Revenue",$A$3,"Close Date",182,"Company","ZNS","Opportunity Summary","P1 Site location setup","Stage","New Opportunity","Months",6)</f>
        <v>#REF!</v>
      </c>
    </row>
    <row r="30" spans="2:9" x14ac:dyDescent="0.4">
      <c r="B30" s="10" t="s">
        <v>352</v>
      </c>
      <c r="C30" s="10" t="s">
        <v>316</v>
      </c>
      <c r="E30" s="1">
        <v>1787.24</v>
      </c>
      <c r="F30" s="1" t="e">
        <f>SUM(F20:F29)</f>
        <v>#REF!</v>
      </c>
      <c r="G30" s="1" t="e">
        <f>SUM(G19:G29)</f>
        <v>#REF!</v>
      </c>
    </row>
    <row r="31" spans="2:9" x14ac:dyDescent="0.4">
      <c r="C31" s="11" t="s">
        <v>3</v>
      </c>
      <c r="E31" s="1">
        <v>1787.24</v>
      </c>
    </row>
    <row r="32" spans="2:9" x14ac:dyDescent="0.4">
      <c r="C32" s="39" t="s">
        <v>343</v>
      </c>
      <c r="D32" s="10" t="s">
        <v>322</v>
      </c>
      <c r="E32" s="1">
        <v>1787.24</v>
      </c>
    </row>
    <row r="33" spans="2:5" x14ac:dyDescent="0.4">
      <c r="B33" s="10" t="s">
        <v>355</v>
      </c>
      <c r="C33" s="10" t="s">
        <v>316</v>
      </c>
      <c r="E33" s="1">
        <v>2680.86</v>
      </c>
    </row>
    <row r="34" spans="2:5" x14ac:dyDescent="0.4">
      <c r="C34" s="11" t="s">
        <v>3</v>
      </c>
      <c r="E34" s="1">
        <v>2680.86</v>
      </c>
    </row>
    <row r="35" spans="2:5" x14ac:dyDescent="0.4">
      <c r="C35" s="39" t="s">
        <v>343</v>
      </c>
      <c r="D35" s="10" t="s">
        <v>322</v>
      </c>
      <c r="E35" s="1">
        <v>2680.86</v>
      </c>
    </row>
    <row r="36" spans="2:5" x14ac:dyDescent="0.4">
      <c r="B36" s="10" t="s">
        <v>357</v>
      </c>
      <c r="C36" s="10" t="s">
        <v>316</v>
      </c>
      <c r="E36" s="1">
        <v>6643.04</v>
      </c>
    </row>
    <row r="37" spans="2:5" x14ac:dyDescent="0.4">
      <c r="C37" s="11" t="s">
        <v>5</v>
      </c>
      <c r="E37" s="1">
        <v>6643.04</v>
      </c>
    </row>
    <row r="38" spans="2:5" x14ac:dyDescent="0.4">
      <c r="C38" s="39" t="s">
        <v>359</v>
      </c>
      <c r="D38" s="10" t="s">
        <v>318</v>
      </c>
      <c r="E38" s="1">
        <v>6643.04</v>
      </c>
    </row>
    <row r="39" spans="2:5" x14ac:dyDescent="0.4">
      <c r="B39" s="10" t="s">
        <v>360</v>
      </c>
      <c r="C39" s="10" t="s">
        <v>316</v>
      </c>
      <c r="E39" s="1">
        <v>0</v>
      </c>
    </row>
    <row r="40" spans="2:5" x14ac:dyDescent="0.4">
      <c r="C40" s="11" t="s">
        <v>5</v>
      </c>
      <c r="E40" s="1">
        <v>0</v>
      </c>
    </row>
    <row r="41" spans="2:5" x14ac:dyDescent="0.4">
      <c r="C41" s="39" t="s">
        <v>359</v>
      </c>
      <c r="D41" s="10" t="s">
        <v>361</v>
      </c>
      <c r="E41" s="1">
        <v>0</v>
      </c>
    </row>
    <row r="42" spans="2:5" x14ac:dyDescent="0.4">
      <c r="B42" s="10" t="s">
        <v>362</v>
      </c>
      <c r="C42" s="10" t="s">
        <v>316</v>
      </c>
      <c r="E42" s="1">
        <v>321.08</v>
      </c>
    </row>
    <row r="43" spans="2:5" x14ac:dyDescent="0.4">
      <c r="C43" s="11" t="s">
        <v>5</v>
      </c>
      <c r="E43" s="1">
        <v>321.08</v>
      </c>
    </row>
    <row r="44" spans="2:5" x14ac:dyDescent="0.4">
      <c r="C44" s="39" t="s">
        <v>364</v>
      </c>
      <c r="D44" s="10" t="s">
        <v>322</v>
      </c>
      <c r="E44" s="1">
        <v>321.08</v>
      </c>
    </row>
    <row r="45" spans="2:5" x14ac:dyDescent="0.4">
      <c r="B45" s="10" t="s">
        <v>365</v>
      </c>
      <c r="C45" s="10" t="s">
        <v>316</v>
      </c>
      <c r="E45" s="1">
        <v>0</v>
      </c>
    </row>
    <row r="46" spans="2:5" x14ac:dyDescent="0.4">
      <c r="C46" s="11" t="s">
        <v>5</v>
      </c>
      <c r="E46" s="1">
        <v>0</v>
      </c>
    </row>
    <row r="47" spans="2:5" x14ac:dyDescent="0.4">
      <c r="C47" s="39" t="s">
        <v>359</v>
      </c>
      <c r="D47" s="10" t="s">
        <v>318</v>
      </c>
      <c r="E47" s="1">
        <v>0</v>
      </c>
    </row>
    <row r="48" spans="2:5" x14ac:dyDescent="0.4">
      <c r="B48" s="10" t="s">
        <v>366</v>
      </c>
      <c r="C48" s="10" t="s">
        <v>316</v>
      </c>
      <c r="E48" s="1">
        <v>0</v>
      </c>
    </row>
    <row r="49" spans="1:5" x14ac:dyDescent="0.4">
      <c r="C49" s="11" t="s">
        <v>5</v>
      </c>
      <c r="E49" s="1">
        <v>0</v>
      </c>
    </row>
    <row r="50" spans="1:5" x14ac:dyDescent="0.4">
      <c r="C50" s="39" t="s">
        <v>359</v>
      </c>
      <c r="D50" s="10" t="s">
        <v>318</v>
      </c>
      <c r="E50" s="1">
        <v>0</v>
      </c>
    </row>
    <row r="51" spans="1:5" x14ac:dyDescent="0.4">
      <c r="A51" s="10" t="s">
        <v>367</v>
      </c>
      <c r="B51" s="10" t="s">
        <v>368</v>
      </c>
      <c r="C51" s="10" t="s">
        <v>316</v>
      </c>
      <c r="E51" s="1">
        <v>9000</v>
      </c>
    </row>
    <row r="52" spans="1:5" x14ac:dyDescent="0.4">
      <c r="C52" s="11" t="s">
        <v>369</v>
      </c>
      <c r="E52" s="1">
        <v>9000</v>
      </c>
    </row>
    <row r="53" spans="1:5" x14ac:dyDescent="0.4">
      <c r="C53" s="39" t="s">
        <v>370</v>
      </c>
      <c r="D53" s="10" t="s">
        <v>318</v>
      </c>
      <c r="E53" s="1">
        <v>9000</v>
      </c>
    </row>
    <row r="54" spans="1:5" x14ac:dyDescent="0.4">
      <c r="B54" s="10" t="s">
        <v>320</v>
      </c>
      <c r="C54" s="10" t="s">
        <v>316</v>
      </c>
      <c r="E54" s="1">
        <v>539</v>
      </c>
    </row>
    <row r="55" spans="1:5" x14ac:dyDescent="0.4">
      <c r="C55" s="11" t="s">
        <v>4</v>
      </c>
      <c r="E55" s="1">
        <v>539</v>
      </c>
    </row>
    <row r="56" spans="1:5" x14ac:dyDescent="0.4">
      <c r="C56" s="39" t="s">
        <v>371</v>
      </c>
      <c r="D56" s="10" t="s">
        <v>322</v>
      </c>
      <c r="E56" s="1">
        <v>539</v>
      </c>
    </row>
    <row r="57" spans="1:5" x14ac:dyDescent="0.4">
      <c r="B57" s="10" t="s">
        <v>372</v>
      </c>
      <c r="C57" s="10" t="s">
        <v>316</v>
      </c>
      <c r="E57" s="1">
        <v>0</v>
      </c>
    </row>
    <row r="58" spans="1:5" x14ac:dyDescent="0.4">
      <c r="C58" s="11" t="s">
        <v>1</v>
      </c>
      <c r="E58" s="1">
        <v>0</v>
      </c>
    </row>
    <row r="59" spans="1:5" x14ac:dyDescent="0.4">
      <c r="C59" s="39" t="s">
        <v>373</v>
      </c>
      <c r="D59" s="10" t="s">
        <v>329</v>
      </c>
      <c r="E59" s="1">
        <v>0</v>
      </c>
    </row>
    <row r="60" spans="1:5" x14ac:dyDescent="0.4">
      <c r="B60" s="10" t="s">
        <v>374</v>
      </c>
      <c r="C60" s="10" t="s">
        <v>316</v>
      </c>
      <c r="E60" s="1">
        <v>620</v>
      </c>
    </row>
    <row r="61" spans="1:5" x14ac:dyDescent="0.4">
      <c r="C61" s="11" t="s">
        <v>5</v>
      </c>
      <c r="E61" s="1">
        <v>620</v>
      </c>
    </row>
    <row r="62" spans="1:5" x14ac:dyDescent="0.4">
      <c r="C62" s="39" t="s">
        <v>364</v>
      </c>
      <c r="D62" s="10" t="s">
        <v>318</v>
      </c>
      <c r="E62" s="1">
        <v>620</v>
      </c>
    </row>
    <row r="63" spans="1:5" x14ac:dyDescent="0.4">
      <c r="A63" s="10" t="s">
        <v>268</v>
      </c>
      <c r="B63" s="10" t="s">
        <v>375</v>
      </c>
      <c r="C63" s="10" t="s">
        <v>316</v>
      </c>
      <c r="E63" s="1">
        <v>1065.3399999999999</v>
      </c>
    </row>
    <row r="64" spans="1:5" x14ac:dyDescent="0.4">
      <c r="C64" s="11" t="s">
        <v>1</v>
      </c>
      <c r="E64" s="1">
        <v>1065.3399999999999</v>
      </c>
    </row>
    <row r="65" spans="1:5" x14ac:dyDescent="0.4">
      <c r="C65" s="39" t="s">
        <v>376</v>
      </c>
      <c r="D65" s="10" t="s">
        <v>322</v>
      </c>
      <c r="E65" s="1">
        <v>1065.3399999999999</v>
      </c>
    </row>
    <row r="66" spans="1:5" x14ac:dyDescent="0.4">
      <c r="B66" s="10" t="s">
        <v>377</v>
      </c>
      <c r="C66" s="10" t="s">
        <v>316</v>
      </c>
      <c r="E66" s="1">
        <v>249</v>
      </c>
    </row>
    <row r="67" spans="1:5" x14ac:dyDescent="0.4">
      <c r="C67" s="11" t="s">
        <v>1</v>
      </c>
      <c r="E67" s="1">
        <v>249</v>
      </c>
    </row>
    <row r="68" spans="1:5" x14ac:dyDescent="0.4">
      <c r="C68" s="39" t="s">
        <v>378</v>
      </c>
      <c r="D68" s="10" t="s">
        <v>322</v>
      </c>
      <c r="E68" s="1">
        <v>249</v>
      </c>
    </row>
    <row r="69" spans="1:5" x14ac:dyDescent="0.4">
      <c r="B69" s="10" t="s">
        <v>379</v>
      </c>
      <c r="C69" s="10" t="s">
        <v>316</v>
      </c>
      <c r="E69" s="1">
        <v>7376.8</v>
      </c>
    </row>
    <row r="70" spans="1:5" x14ac:dyDescent="0.4">
      <c r="C70" s="11" t="s">
        <v>1</v>
      </c>
      <c r="E70" s="1">
        <v>7376.8</v>
      </c>
    </row>
    <row r="71" spans="1:5" x14ac:dyDescent="0.4">
      <c r="C71" s="39" t="s">
        <v>380</v>
      </c>
      <c r="D71" s="10" t="s">
        <v>322</v>
      </c>
      <c r="E71" s="1">
        <v>7376.8</v>
      </c>
    </row>
    <row r="72" spans="1:5" x14ac:dyDescent="0.4">
      <c r="A72" s="10" t="s">
        <v>381</v>
      </c>
      <c r="B72" s="10" t="s">
        <v>320</v>
      </c>
      <c r="C72" s="10" t="s">
        <v>316</v>
      </c>
      <c r="E72" s="1">
        <v>600</v>
      </c>
    </row>
    <row r="73" spans="1:5" x14ac:dyDescent="0.4">
      <c r="C73" s="11" t="s">
        <v>3</v>
      </c>
      <c r="E73" s="1">
        <v>600</v>
      </c>
    </row>
    <row r="74" spans="1:5" x14ac:dyDescent="0.4">
      <c r="C74" s="39" t="s">
        <v>324</v>
      </c>
      <c r="D74" s="10" t="s">
        <v>322</v>
      </c>
      <c r="E74" s="1">
        <v>600</v>
      </c>
    </row>
    <row r="75" spans="1:5" x14ac:dyDescent="0.4">
      <c r="B75" s="10" t="s">
        <v>382</v>
      </c>
      <c r="C75" s="10" t="s">
        <v>316</v>
      </c>
      <c r="E75" s="1">
        <v>617.99</v>
      </c>
    </row>
    <row r="76" spans="1:5" x14ac:dyDescent="0.4">
      <c r="C76" s="11" t="s">
        <v>1</v>
      </c>
      <c r="E76" s="1">
        <v>617.99</v>
      </c>
    </row>
    <row r="77" spans="1:5" x14ac:dyDescent="0.4">
      <c r="C77" s="39" t="s">
        <v>383</v>
      </c>
      <c r="D77" s="10" t="s">
        <v>322</v>
      </c>
      <c r="E77" s="1">
        <v>617.99</v>
      </c>
    </row>
    <row r="78" spans="1:5" x14ac:dyDescent="0.4">
      <c r="A78" s="10" t="s">
        <v>384</v>
      </c>
      <c r="B78" s="10" t="s">
        <v>385</v>
      </c>
      <c r="C78" s="10" t="s">
        <v>316</v>
      </c>
      <c r="E78" s="1">
        <v>686.5</v>
      </c>
    </row>
    <row r="79" spans="1:5" x14ac:dyDescent="0.4">
      <c r="C79" s="11" t="s">
        <v>4</v>
      </c>
      <c r="E79" s="1">
        <v>686.5</v>
      </c>
    </row>
    <row r="80" spans="1:5" x14ac:dyDescent="0.4">
      <c r="C80" s="39" t="s">
        <v>386</v>
      </c>
      <c r="D80" s="10" t="s">
        <v>322</v>
      </c>
      <c r="E80" s="1">
        <v>686.5</v>
      </c>
    </row>
    <row r="81" spans="1:5" x14ac:dyDescent="0.4">
      <c r="B81" s="10" t="s">
        <v>320</v>
      </c>
      <c r="C81" s="10" t="s">
        <v>316</v>
      </c>
      <c r="E81" s="1">
        <v>539</v>
      </c>
    </row>
    <row r="82" spans="1:5" x14ac:dyDescent="0.4">
      <c r="C82" s="11" t="s">
        <v>5</v>
      </c>
      <c r="E82" s="1">
        <v>539</v>
      </c>
    </row>
    <row r="83" spans="1:5" x14ac:dyDescent="0.4">
      <c r="C83" s="39" t="s">
        <v>364</v>
      </c>
      <c r="D83" s="10" t="s">
        <v>322</v>
      </c>
      <c r="E83" s="1">
        <v>539</v>
      </c>
    </row>
    <row r="84" spans="1:5" x14ac:dyDescent="0.4">
      <c r="B84" s="10" t="s">
        <v>331</v>
      </c>
      <c r="C84" s="10" t="s">
        <v>316</v>
      </c>
      <c r="E84" s="1">
        <v>350</v>
      </c>
    </row>
    <row r="85" spans="1:5" x14ac:dyDescent="0.4">
      <c r="C85" s="11" t="s">
        <v>2</v>
      </c>
      <c r="E85" s="1">
        <v>350</v>
      </c>
    </row>
    <row r="86" spans="1:5" x14ac:dyDescent="0.4">
      <c r="C86" s="39" t="s">
        <v>334</v>
      </c>
      <c r="D86" s="10" t="s">
        <v>322</v>
      </c>
      <c r="E86" s="1">
        <v>350</v>
      </c>
    </row>
    <row r="87" spans="1:5" x14ac:dyDescent="0.4">
      <c r="A87" s="10" t="s">
        <v>387</v>
      </c>
      <c r="B87" s="10" t="s">
        <v>315</v>
      </c>
      <c r="C87" s="10" t="s">
        <v>316</v>
      </c>
      <c r="E87" s="1">
        <v>6000</v>
      </c>
    </row>
    <row r="88" spans="1:5" x14ac:dyDescent="0.4">
      <c r="C88" s="11" t="s">
        <v>8</v>
      </c>
      <c r="E88" s="1">
        <v>6000</v>
      </c>
    </row>
    <row r="89" spans="1:5" x14ac:dyDescent="0.4">
      <c r="C89" s="39" t="s">
        <v>317</v>
      </c>
      <c r="D89" s="10" t="s">
        <v>318</v>
      </c>
      <c r="E89" s="1">
        <v>6000</v>
      </c>
    </row>
    <row r="90" spans="1:5" x14ac:dyDescent="0.4">
      <c r="B90" s="10" t="s">
        <v>320</v>
      </c>
      <c r="C90" s="10" t="s">
        <v>316</v>
      </c>
      <c r="E90" s="1">
        <v>539</v>
      </c>
    </row>
    <row r="91" spans="1:5" x14ac:dyDescent="0.4">
      <c r="C91" s="11" t="s">
        <v>3</v>
      </c>
      <c r="E91" s="1">
        <v>539</v>
      </c>
    </row>
    <row r="92" spans="1:5" x14ac:dyDescent="0.4">
      <c r="C92" s="39" t="s">
        <v>324</v>
      </c>
      <c r="D92" s="10" t="s">
        <v>322</v>
      </c>
      <c r="E92" s="1">
        <v>539</v>
      </c>
    </row>
    <row r="93" spans="1:5" x14ac:dyDescent="0.4">
      <c r="B93" s="10" t="s">
        <v>388</v>
      </c>
      <c r="C93" s="10" t="s">
        <v>316</v>
      </c>
      <c r="E93" s="1">
        <v>212.64</v>
      </c>
    </row>
    <row r="94" spans="1:5" x14ac:dyDescent="0.4">
      <c r="C94" s="11" t="s">
        <v>4</v>
      </c>
      <c r="E94" s="1">
        <v>212.64</v>
      </c>
    </row>
    <row r="95" spans="1:5" x14ac:dyDescent="0.4">
      <c r="C95" s="39" t="s">
        <v>389</v>
      </c>
      <c r="D95" s="10" t="s">
        <v>322</v>
      </c>
      <c r="E95" s="1">
        <v>212.64</v>
      </c>
    </row>
    <row r="96" spans="1:5" x14ac:dyDescent="0.4">
      <c r="B96" s="10" t="s">
        <v>390</v>
      </c>
      <c r="C96" s="10" t="s">
        <v>316</v>
      </c>
      <c r="E96" s="1">
        <v>2268.77</v>
      </c>
    </row>
    <row r="97" spans="1:5" x14ac:dyDescent="0.4">
      <c r="C97" s="11" t="s">
        <v>2</v>
      </c>
      <c r="E97" s="1">
        <v>2268.77</v>
      </c>
    </row>
    <row r="98" spans="1:5" x14ac:dyDescent="0.4">
      <c r="C98" s="39" t="s">
        <v>328</v>
      </c>
      <c r="D98" s="10" t="s">
        <v>322</v>
      </c>
      <c r="E98" s="1">
        <v>2268.77</v>
      </c>
    </row>
    <row r="99" spans="1:5" x14ac:dyDescent="0.4">
      <c r="A99" s="10" t="s">
        <v>391</v>
      </c>
      <c r="B99" s="10" t="s">
        <v>320</v>
      </c>
      <c r="C99" s="10" t="s">
        <v>316</v>
      </c>
      <c r="E99" s="1">
        <v>539</v>
      </c>
    </row>
    <row r="100" spans="1:5" x14ac:dyDescent="0.4">
      <c r="C100" s="11" t="s">
        <v>1</v>
      </c>
      <c r="E100" s="1">
        <v>539</v>
      </c>
    </row>
    <row r="101" spans="1:5" x14ac:dyDescent="0.4">
      <c r="C101" s="39" t="s">
        <v>392</v>
      </c>
      <c r="D101" s="10" t="s">
        <v>322</v>
      </c>
      <c r="E101" s="1">
        <v>539</v>
      </c>
    </row>
    <row r="102" spans="1:5" x14ac:dyDescent="0.4">
      <c r="A102" s="10" t="s">
        <v>393</v>
      </c>
      <c r="B102" s="10" t="s">
        <v>394</v>
      </c>
      <c r="C102" s="10" t="s">
        <v>316</v>
      </c>
      <c r="E102" s="1">
        <v>6000</v>
      </c>
    </row>
    <row r="103" spans="1:5" x14ac:dyDescent="0.4">
      <c r="C103" s="11" t="s">
        <v>5</v>
      </c>
      <c r="E103" s="1">
        <v>6000</v>
      </c>
    </row>
    <row r="104" spans="1:5" x14ac:dyDescent="0.4">
      <c r="C104" s="39" t="s">
        <v>359</v>
      </c>
      <c r="D104" s="10" t="s">
        <v>395</v>
      </c>
      <c r="E104" s="1">
        <v>6000</v>
      </c>
    </row>
    <row r="105" spans="1:5" x14ac:dyDescent="0.4">
      <c r="B105" s="10" t="s">
        <v>396</v>
      </c>
      <c r="C105" s="10" t="s">
        <v>316</v>
      </c>
      <c r="E105" s="1">
        <v>5100</v>
      </c>
    </row>
    <row r="106" spans="1:5" x14ac:dyDescent="0.4">
      <c r="C106" s="11" t="s">
        <v>3</v>
      </c>
      <c r="E106" s="1">
        <v>5100</v>
      </c>
    </row>
    <row r="107" spans="1:5" x14ac:dyDescent="0.4">
      <c r="C107" s="39" t="s">
        <v>343</v>
      </c>
      <c r="D107" s="10" t="s">
        <v>322</v>
      </c>
      <c r="E107" s="1">
        <v>5100</v>
      </c>
    </row>
    <row r="108" spans="1:5" x14ac:dyDescent="0.4">
      <c r="B108" s="10" t="s">
        <v>397</v>
      </c>
      <c r="C108" s="10" t="s">
        <v>316</v>
      </c>
      <c r="E108" s="1">
        <v>22176.32</v>
      </c>
    </row>
    <row r="109" spans="1:5" x14ac:dyDescent="0.4">
      <c r="C109" s="11" t="s">
        <v>12</v>
      </c>
      <c r="E109" s="1">
        <v>22176.32</v>
      </c>
    </row>
    <row r="110" spans="1:5" x14ac:dyDescent="0.4">
      <c r="C110" s="39" t="s">
        <v>398</v>
      </c>
      <c r="D110" s="10" t="s">
        <v>395</v>
      </c>
      <c r="E110" s="1">
        <v>22176.32</v>
      </c>
    </row>
    <row r="111" spans="1:5" x14ac:dyDescent="0.4">
      <c r="B111" s="10" t="s">
        <v>399</v>
      </c>
      <c r="C111" s="10" t="s">
        <v>316</v>
      </c>
      <c r="E111" s="1">
        <v>250</v>
      </c>
    </row>
    <row r="112" spans="1:5" x14ac:dyDescent="0.4">
      <c r="C112" s="11" t="s">
        <v>8</v>
      </c>
      <c r="E112" s="1">
        <v>250</v>
      </c>
    </row>
    <row r="113" spans="1:5" x14ac:dyDescent="0.4">
      <c r="C113" s="39" t="s">
        <v>400</v>
      </c>
      <c r="D113" s="10" t="s">
        <v>401</v>
      </c>
      <c r="E113" s="1">
        <v>250</v>
      </c>
    </row>
    <row r="114" spans="1:5" x14ac:dyDescent="0.4">
      <c r="B114" s="10" t="s">
        <v>402</v>
      </c>
      <c r="C114" s="10" t="s">
        <v>316</v>
      </c>
      <c r="E114" s="1">
        <v>215</v>
      </c>
    </row>
    <row r="115" spans="1:5" x14ac:dyDescent="0.4">
      <c r="C115" s="11" t="s">
        <v>1</v>
      </c>
      <c r="E115" s="1">
        <v>215</v>
      </c>
    </row>
    <row r="116" spans="1:5" x14ac:dyDescent="0.4">
      <c r="C116" s="39" t="s">
        <v>338</v>
      </c>
      <c r="D116" s="10" t="s">
        <v>322</v>
      </c>
      <c r="E116" s="1">
        <v>215</v>
      </c>
    </row>
    <row r="117" spans="1:5" x14ac:dyDescent="0.4">
      <c r="B117" s="10" t="s">
        <v>403</v>
      </c>
      <c r="C117" s="10" t="s">
        <v>316</v>
      </c>
      <c r="E117" s="1">
        <v>500</v>
      </c>
    </row>
    <row r="118" spans="1:5" x14ac:dyDescent="0.4">
      <c r="C118" s="11" t="s">
        <v>8</v>
      </c>
      <c r="E118" s="1">
        <v>500</v>
      </c>
    </row>
    <row r="119" spans="1:5" x14ac:dyDescent="0.4">
      <c r="C119" s="39" t="s">
        <v>317</v>
      </c>
      <c r="D119" s="10" t="s">
        <v>361</v>
      </c>
      <c r="E119" s="1">
        <v>500</v>
      </c>
    </row>
    <row r="120" spans="1:5" x14ac:dyDescent="0.4">
      <c r="B120" s="10" t="s">
        <v>404</v>
      </c>
      <c r="C120" s="10" t="s">
        <v>316</v>
      </c>
      <c r="E120" s="1">
        <v>2273.21</v>
      </c>
    </row>
    <row r="121" spans="1:5" x14ac:dyDescent="0.4">
      <c r="C121" s="11" t="s">
        <v>8</v>
      </c>
      <c r="E121" s="1">
        <v>2273.21</v>
      </c>
    </row>
    <row r="122" spans="1:5" x14ac:dyDescent="0.4">
      <c r="C122" s="39" t="s">
        <v>317</v>
      </c>
      <c r="D122" s="10" t="s">
        <v>361</v>
      </c>
      <c r="E122" s="1">
        <v>2273.21</v>
      </c>
    </row>
    <row r="123" spans="1:5" x14ac:dyDescent="0.4">
      <c r="A123" s="10" t="s">
        <v>405</v>
      </c>
      <c r="B123" s="10" t="s">
        <v>406</v>
      </c>
      <c r="C123" s="10" t="s">
        <v>316</v>
      </c>
      <c r="E123" s="1">
        <v>52.03</v>
      </c>
    </row>
    <row r="124" spans="1:5" x14ac:dyDescent="0.4">
      <c r="C124" s="11" t="s">
        <v>1</v>
      </c>
      <c r="E124" s="1">
        <v>52.03</v>
      </c>
    </row>
    <row r="125" spans="1:5" x14ac:dyDescent="0.4">
      <c r="C125" s="39" t="s">
        <v>407</v>
      </c>
      <c r="D125" s="10" t="s">
        <v>322</v>
      </c>
      <c r="E125" s="1">
        <v>52.03</v>
      </c>
    </row>
    <row r="126" spans="1:5" x14ac:dyDescent="0.4">
      <c r="B126" s="10" t="s">
        <v>408</v>
      </c>
      <c r="C126" s="10" t="s">
        <v>316</v>
      </c>
      <c r="E126" s="1">
        <v>249</v>
      </c>
    </row>
    <row r="127" spans="1:5" x14ac:dyDescent="0.4">
      <c r="C127" s="11" t="s">
        <v>5</v>
      </c>
      <c r="E127" s="1">
        <v>249</v>
      </c>
    </row>
    <row r="128" spans="1:5" x14ac:dyDescent="0.4">
      <c r="C128" s="39" t="s">
        <v>409</v>
      </c>
      <c r="D128" s="10" t="s">
        <v>361</v>
      </c>
      <c r="E128" s="1">
        <v>249</v>
      </c>
    </row>
    <row r="129" spans="1:5" x14ac:dyDescent="0.4">
      <c r="B129" s="10" t="s">
        <v>410</v>
      </c>
      <c r="C129" s="10" t="s">
        <v>316</v>
      </c>
      <c r="E129" s="1">
        <v>900</v>
      </c>
    </row>
    <row r="130" spans="1:5" x14ac:dyDescent="0.4">
      <c r="C130" s="11" t="s">
        <v>4</v>
      </c>
      <c r="E130" s="1">
        <v>900</v>
      </c>
    </row>
    <row r="131" spans="1:5" x14ac:dyDescent="0.4">
      <c r="C131" s="39" t="s">
        <v>386</v>
      </c>
      <c r="D131" s="10" t="s">
        <v>322</v>
      </c>
      <c r="E131" s="1">
        <v>900</v>
      </c>
    </row>
    <row r="132" spans="1:5" x14ac:dyDescent="0.4">
      <c r="A132" s="10" t="s">
        <v>411</v>
      </c>
      <c r="B132" s="10" t="s">
        <v>412</v>
      </c>
      <c r="C132" s="10" t="s">
        <v>316</v>
      </c>
      <c r="E132" s="1">
        <v>23055.09</v>
      </c>
    </row>
    <row r="133" spans="1:5" x14ac:dyDescent="0.4">
      <c r="C133" s="11" t="s">
        <v>7</v>
      </c>
      <c r="E133" s="1">
        <v>23055.09</v>
      </c>
    </row>
    <row r="134" spans="1:5" x14ac:dyDescent="0.4">
      <c r="C134" s="39" t="s">
        <v>413</v>
      </c>
      <c r="D134" s="10" t="s">
        <v>414</v>
      </c>
      <c r="E134" s="1">
        <v>23055.09</v>
      </c>
    </row>
    <row r="135" spans="1:5" x14ac:dyDescent="0.4">
      <c r="B135" s="10" t="s">
        <v>315</v>
      </c>
      <c r="C135" s="10" t="s">
        <v>316</v>
      </c>
      <c r="E135" s="1">
        <v>10600</v>
      </c>
    </row>
    <row r="136" spans="1:5" x14ac:dyDescent="0.4">
      <c r="C136" s="11" t="s">
        <v>6</v>
      </c>
      <c r="E136" s="1">
        <v>10600</v>
      </c>
    </row>
    <row r="137" spans="1:5" x14ac:dyDescent="0.4">
      <c r="C137" s="39" t="s">
        <v>415</v>
      </c>
      <c r="D137" s="10" t="s">
        <v>414</v>
      </c>
      <c r="E137" s="1">
        <v>10600</v>
      </c>
    </row>
    <row r="138" spans="1:5" x14ac:dyDescent="0.4">
      <c r="B138" s="10" t="s">
        <v>416</v>
      </c>
      <c r="C138" s="10" t="s">
        <v>316</v>
      </c>
      <c r="E138" s="1">
        <v>4930</v>
      </c>
    </row>
    <row r="139" spans="1:5" x14ac:dyDescent="0.4">
      <c r="C139" s="11" t="s">
        <v>8</v>
      </c>
      <c r="E139" s="1">
        <v>4930</v>
      </c>
    </row>
    <row r="140" spans="1:5" x14ac:dyDescent="0.4">
      <c r="C140" s="39" t="s">
        <v>317</v>
      </c>
      <c r="D140" s="10" t="s">
        <v>414</v>
      </c>
      <c r="E140" s="1">
        <v>4930</v>
      </c>
    </row>
    <row r="141" spans="1:5" x14ac:dyDescent="0.4">
      <c r="B141" s="10" t="s">
        <v>331</v>
      </c>
      <c r="C141" s="10" t="s">
        <v>316</v>
      </c>
      <c r="E141" s="1">
        <v>700</v>
      </c>
    </row>
    <row r="142" spans="1:5" x14ac:dyDescent="0.4">
      <c r="C142" s="11" t="s">
        <v>2</v>
      </c>
      <c r="E142" s="1">
        <v>700</v>
      </c>
    </row>
    <row r="143" spans="1:5" x14ac:dyDescent="0.4">
      <c r="C143" s="39" t="s">
        <v>334</v>
      </c>
      <c r="D143" s="10" t="s">
        <v>322</v>
      </c>
      <c r="E143" s="1">
        <v>700</v>
      </c>
    </row>
    <row r="144" spans="1:5" x14ac:dyDescent="0.4">
      <c r="B144" s="10" t="s">
        <v>417</v>
      </c>
      <c r="C144" s="10" t="s">
        <v>316</v>
      </c>
      <c r="E144" s="1">
        <v>235.99</v>
      </c>
    </row>
    <row r="145" spans="1:5" x14ac:dyDescent="0.4">
      <c r="C145" s="11" t="s">
        <v>2</v>
      </c>
      <c r="E145" s="1">
        <v>235.99</v>
      </c>
    </row>
    <row r="146" spans="1:5" x14ac:dyDescent="0.4">
      <c r="C146" s="39" t="s">
        <v>418</v>
      </c>
      <c r="D146" s="10" t="s">
        <v>322</v>
      </c>
      <c r="E146" s="1">
        <v>235.99</v>
      </c>
    </row>
    <row r="147" spans="1:5" x14ac:dyDescent="0.4">
      <c r="B147" s="10" t="s">
        <v>419</v>
      </c>
      <c r="C147" s="10" t="s">
        <v>316</v>
      </c>
      <c r="E147" s="1">
        <v>230.79</v>
      </c>
    </row>
    <row r="148" spans="1:5" x14ac:dyDescent="0.4">
      <c r="C148" s="11" t="s">
        <v>2</v>
      </c>
      <c r="E148" s="1">
        <v>230.79</v>
      </c>
    </row>
    <row r="149" spans="1:5" x14ac:dyDescent="0.4">
      <c r="C149" s="39" t="s">
        <v>420</v>
      </c>
      <c r="D149" s="10" t="s">
        <v>322</v>
      </c>
      <c r="E149" s="1">
        <v>230.79</v>
      </c>
    </row>
    <row r="150" spans="1:5" x14ac:dyDescent="0.4">
      <c r="B150" s="10" t="s">
        <v>421</v>
      </c>
      <c r="C150" s="10" t="s">
        <v>316</v>
      </c>
      <c r="E150" s="1">
        <v>254.99</v>
      </c>
    </row>
    <row r="151" spans="1:5" x14ac:dyDescent="0.4">
      <c r="C151" s="11" t="s">
        <v>3</v>
      </c>
      <c r="E151" s="1">
        <v>254.99</v>
      </c>
    </row>
    <row r="152" spans="1:5" x14ac:dyDescent="0.4">
      <c r="C152" s="39" t="s">
        <v>343</v>
      </c>
      <c r="D152" s="10" t="s">
        <v>322</v>
      </c>
      <c r="E152" s="1">
        <v>254.99</v>
      </c>
    </row>
    <row r="153" spans="1:5" x14ac:dyDescent="0.4">
      <c r="B153" s="10" t="s">
        <v>422</v>
      </c>
      <c r="C153" s="10" t="s">
        <v>316</v>
      </c>
      <c r="E153" s="1">
        <v>792.92</v>
      </c>
    </row>
    <row r="154" spans="1:5" x14ac:dyDescent="0.4">
      <c r="C154" s="11" t="s">
        <v>4</v>
      </c>
      <c r="E154" s="1">
        <v>792.92</v>
      </c>
    </row>
    <row r="155" spans="1:5" x14ac:dyDescent="0.4">
      <c r="C155" s="39" t="s">
        <v>423</v>
      </c>
      <c r="D155" s="10" t="s">
        <v>322</v>
      </c>
      <c r="E155" s="1">
        <v>792.92</v>
      </c>
    </row>
    <row r="156" spans="1:5" x14ac:dyDescent="0.4">
      <c r="B156" s="10" t="s">
        <v>424</v>
      </c>
      <c r="C156" s="10" t="s">
        <v>316</v>
      </c>
      <c r="E156" s="1">
        <v>200</v>
      </c>
    </row>
    <row r="157" spans="1:5" x14ac:dyDescent="0.4">
      <c r="C157" s="11" t="s">
        <v>4</v>
      </c>
      <c r="E157" s="1">
        <v>200</v>
      </c>
    </row>
    <row r="158" spans="1:5" x14ac:dyDescent="0.4">
      <c r="C158" s="39" t="s">
        <v>425</v>
      </c>
      <c r="D158" s="10" t="s">
        <v>322</v>
      </c>
      <c r="E158" s="1">
        <v>200</v>
      </c>
    </row>
    <row r="159" spans="1:5" x14ac:dyDescent="0.4">
      <c r="A159" s="10" t="s">
        <v>659</v>
      </c>
      <c r="B159" s="10" t="s">
        <v>394</v>
      </c>
      <c r="C159" s="10" t="s">
        <v>316</v>
      </c>
      <c r="E159" s="1">
        <v>2000</v>
      </c>
    </row>
    <row r="160" spans="1:5" x14ac:dyDescent="0.4">
      <c r="C160" s="11" t="s">
        <v>7</v>
      </c>
      <c r="E160" s="1">
        <v>2000</v>
      </c>
    </row>
    <row r="161" spans="1:5" x14ac:dyDescent="0.4">
      <c r="C161" s="39" t="s">
        <v>413</v>
      </c>
      <c r="D161" s="10" t="s">
        <v>414</v>
      </c>
      <c r="E161" s="1">
        <v>2000</v>
      </c>
    </row>
    <row r="162" spans="1:5" x14ac:dyDescent="0.4">
      <c r="B162" s="10" t="s">
        <v>320</v>
      </c>
      <c r="C162" s="10" t="s">
        <v>316</v>
      </c>
      <c r="E162" s="1">
        <v>400</v>
      </c>
    </row>
    <row r="163" spans="1:5" x14ac:dyDescent="0.4">
      <c r="C163" s="11" t="s">
        <v>1</v>
      </c>
      <c r="E163" s="1">
        <v>400</v>
      </c>
    </row>
    <row r="164" spans="1:5" x14ac:dyDescent="0.4">
      <c r="C164" s="39" t="s">
        <v>660</v>
      </c>
      <c r="D164" s="10" t="s">
        <v>322</v>
      </c>
      <c r="E164" s="1">
        <v>400</v>
      </c>
    </row>
    <row r="165" spans="1:5" x14ac:dyDescent="0.4">
      <c r="B165" s="10" t="s">
        <v>661</v>
      </c>
      <c r="C165" s="10" t="s">
        <v>316</v>
      </c>
      <c r="E165" s="1">
        <v>0</v>
      </c>
    </row>
    <row r="166" spans="1:5" x14ac:dyDescent="0.4">
      <c r="C166" s="11" t="s">
        <v>3</v>
      </c>
      <c r="E166" s="1">
        <v>0</v>
      </c>
    </row>
    <row r="167" spans="1:5" x14ac:dyDescent="0.4">
      <c r="C167" s="39" t="s">
        <v>343</v>
      </c>
      <c r="D167" s="10" t="s">
        <v>329</v>
      </c>
      <c r="E167" s="1">
        <v>0</v>
      </c>
    </row>
    <row r="168" spans="1:5" x14ac:dyDescent="0.4">
      <c r="B168" s="10" t="s">
        <v>662</v>
      </c>
      <c r="C168" s="10" t="s">
        <v>316</v>
      </c>
      <c r="E168" s="1">
        <v>4243.6000000000004</v>
      </c>
    </row>
    <row r="169" spans="1:5" x14ac:dyDescent="0.4">
      <c r="C169" s="11" t="s">
        <v>3</v>
      </c>
      <c r="E169" s="1">
        <v>4243.6000000000004</v>
      </c>
    </row>
    <row r="170" spans="1:5" x14ac:dyDescent="0.4">
      <c r="C170" s="39" t="s">
        <v>343</v>
      </c>
      <c r="D170" s="10" t="s">
        <v>322</v>
      </c>
      <c r="E170" s="1">
        <v>4243.6000000000004</v>
      </c>
    </row>
    <row r="171" spans="1:5" x14ac:dyDescent="0.4">
      <c r="A171" s="10" t="s">
        <v>426</v>
      </c>
      <c r="B171" s="10" t="s">
        <v>427</v>
      </c>
      <c r="C171" s="10" t="s">
        <v>316</v>
      </c>
      <c r="E171" s="1">
        <v>447.98</v>
      </c>
    </row>
    <row r="172" spans="1:5" x14ac:dyDescent="0.4">
      <c r="C172" s="11" t="s">
        <v>3</v>
      </c>
      <c r="E172" s="1">
        <v>447.98</v>
      </c>
    </row>
    <row r="173" spans="1:5" x14ac:dyDescent="0.4">
      <c r="C173" s="39" t="s">
        <v>428</v>
      </c>
      <c r="D173" s="10" t="s">
        <v>322</v>
      </c>
      <c r="E173" s="1">
        <v>223.99</v>
      </c>
    </row>
    <row r="174" spans="1:5" x14ac:dyDescent="0.4">
      <c r="C174" s="39" t="s">
        <v>429</v>
      </c>
      <c r="D174" s="10" t="s">
        <v>322</v>
      </c>
      <c r="E174" s="1">
        <v>223.99</v>
      </c>
    </row>
    <row r="175" spans="1:5" x14ac:dyDescent="0.4">
      <c r="B175" s="10" t="s">
        <v>430</v>
      </c>
      <c r="C175" s="10" t="s">
        <v>316</v>
      </c>
      <c r="E175" s="1">
        <v>39.49</v>
      </c>
    </row>
    <row r="176" spans="1:5" x14ac:dyDescent="0.4">
      <c r="C176" s="11" t="s">
        <v>2</v>
      </c>
      <c r="E176" s="1">
        <v>39.49</v>
      </c>
    </row>
    <row r="177" spans="1:5" x14ac:dyDescent="0.4">
      <c r="C177" s="39" t="s">
        <v>418</v>
      </c>
      <c r="D177" s="10" t="s">
        <v>322</v>
      </c>
      <c r="E177" s="1">
        <v>39.49</v>
      </c>
    </row>
    <row r="178" spans="1:5" x14ac:dyDescent="0.4">
      <c r="B178" s="10" t="s">
        <v>431</v>
      </c>
      <c r="C178" s="10" t="s">
        <v>316</v>
      </c>
      <c r="E178" s="1">
        <v>39.49</v>
      </c>
    </row>
    <row r="179" spans="1:5" x14ac:dyDescent="0.4">
      <c r="C179" s="11" t="s">
        <v>2</v>
      </c>
      <c r="E179" s="1">
        <v>39.49</v>
      </c>
    </row>
    <row r="180" spans="1:5" x14ac:dyDescent="0.4">
      <c r="C180" s="39" t="s">
        <v>334</v>
      </c>
      <c r="D180" s="10" t="s">
        <v>395</v>
      </c>
      <c r="E180" s="1">
        <v>39.49</v>
      </c>
    </row>
    <row r="181" spans="1:5" x14ac:dyDescent="0.4">
      <c r="B181" s="10" t="s">
        <v>432</v>
      </c>
      <c r="C181" s="10" t="s">
        <v>316</v>
      </c>
      <c r="E181" s="1">
        <v>4765.22</v>
      </c>
    </row>
    <row r="182" spans="1:5" x14ac:dyDescent="0.4">
      <c r="C182" s="11" t="s">
        <v>5</v>
      </c>
      <c r="E182" s="1">
        <v>4765.22</v>
      </c>
    </row>
    <row r="183" spans="1:5" x14ac:dyDescent="0.4">
      <c r="C183" s="39" t="s">
        <v>359</v>
      </c>
      <c r="D183" s="10" t="s">
        <v>395</v>
      </c>
      <c r="E183" s="1">
        <v>4765.22</v>
      </c>
    </row>
    <row r="184" spans="1:5" x14ac:dyDescent="0.4">
      <c r="A184" s="10" t="s">
        <v>433</v>
      </c>
      <c r="B184" s="10" t="s">
        <v>394</v>
      </c>
      <c r="C184" s="10" t="s">
        <v>316</v>
      </c>
      <c r="E184" s="1">
        <v>4485</v>
      </c>
    </row>
    <row r="185" spans="1:5" x14ac:dyDescent="0.4">
      <c r="C185" s="11" t="s">
        <v>4</v>
      </c>
      <c r="E185" s="1">
        <v>2265</v>
      </c>
    </row>
    <row r="186" spans="1:5" x14ac:dyDescent="0.4">
      <c r="C186" s="39" t="s">
        <v>386</v>
      </c>
      <c r="D186" s="10" t="s">
        <v>395</v>
      </c>
      <c r="E186" s="1">
        <v>2265</v>
      </c>
    </row>
    <row r="187" spans="1:5" x14ac:dyDescent="0.4">
      <c r="C187" s="11" t="s">
        <v>7</v>
      </c>
      <c r="E187" s="1">
        <v>2220</v>
      </c>
    </row>
    <row r="188" spans="1:5" x14ac:dyDescent="0.4">
      <c r="C188" s="39" t="s">
        <v>413</v>
      </c>
      <c r="D188" s="10" t="s">
        <v>395</v>
      </c>
      <c r="E188" s="1">
        <v>2220</v>
      </c>
    </row>
    <row r="189" spans="1:5" x14ac:dyDescent="0.4">
      <c r="B189" s="10" t="s">
        <v>434</v>
      </c>
      <c r="C189" s="10" t="s">
        <v>316</v>
      </c>
      <c r="E189" s="1">
        <v>250</v>
      </c>
    </row>
    <row r="190" spans="1:5" x14ac:dyDescent="0.4">
      <c r="C190" s="11" t="s">
        <v>12</v>
      </c>
      <c r="E190" s="1">
        <v>250</v>
      </c>
    </row>
    <row r="191" spans="1:5" x14ac:dyDescent="0.4">
      <c r="C191" s="39" t="s">
        <v>398</v>
      </c>
      <c r="D191" s="10" t="s">
        <v>361</v>
      </c>
      <c r="E191" s="1">
        <v>250</v>
      </c>
    </row>
    <row r="192" spans="1:5" x14ac:dyDescent="0.4">
      <c r="B192" s="10" t="s">
        <v>435</v>
      </c>
      <c r="C192" s="10" t="s">
        <v>316</v>
      </c>
      <c r="E192" s="1">
        <v>7000</v>
      </c>
    </row>
    <row r="193" spans="1:5" x14ac:dyDescent="0.4">
      <c r="C193" s="11" t="s">
        <v>12</v>
      </c>
      <c r="E193" s="1">
        <v>7000</v>
      </c>
    </row>
    <row r="194" spans="1:5" x14ac:dyDescent="0.4">
      <c r="C194" s="39" t="s">
        <v>398</v>
      </c>
      <c r="D194" s="10" t="s">
        <v>361</v>
      </c>
      <c r="E194" s="1">
        <v>7000</v>
      </c>
    </row>
    <row r="195" spans="1:5" x14ac:dyDescent="0.4">
      <c r="A195" s="10" t="s">
        <v>436</v>
      </c>
      <c r="B195" s="10" t="s">
        <v>437</v>
      </c>
      <c r="C195" s="10" t="s">
        <v>316</v>
      </c>
      <c r="E195" s="1">
        <v>312</v>
      </c>
    </row>
    <row r="196" spans="1:5" x14ac:dyDescent="0.4">
      <c r="C196" s="11" t="s">
        <v>3</v>
      </c>
      <c r="E196" s="1">
        <v>312</v>
      </c>
    </row>
    <row r="197" spans="1:5" x14ac:dyDescent="0.4">
      <c r="C197" s="39" t="s">
        <v>428</v>
      </c>
      <c r="D197" s="10" t="s">
        <v>322</v>
      </c>
      <c r="E197" s="1">
        <v>312</v>
      </c>
    </row>
    <row r="198" spans="1:5" x14ac:dyDescent="0.4">
      <c r="A198" s="10" t="s">
        <v>438</v>
      </c>
      <c r="B198" s="10" t="s">
        <v>439</v>
      </c>
      <c r="C198" s="10" t="s">
        <v>316</v>
      </c>
      <c r="E198" s="1">
        <v>2800</v>
      </c>
    </row>
    <row r="199" spans="1:5" x14ac:dyDescent="0.4">
      <c r="C199" s="11" t="s">
        <v>7</v>
      </c>
      <c r="E199" s="1">
        <v>2800</v>
      </c>
    </row>
    <row r="200" spans="1:5" x14ac:dyDescent="0.4">
      <c r="C200" s="39" t="s">
        <v>440</v>
      </c>
      <c r="D200" s="10" t="s">
        <v>361</v>
      </c>
      <c r="E200" s="1">
        <v>2800</v>
      </c>
    </row>
    <row r="201" spans="1:5" x14ac:dyDescent="0.4">
      <c r="B201" s="10" t="s">
        <v>441</v>
      </c>
      <c r="C201" s="10" t="s">
        <v>316</v>
      </c>
      <c r="E201" s="1">
        <v>2690</v>
      </c>
    </row>
    <row r="202" spans="1:5" x14ac:dyDescent="0.4">
      <c r="C202" s="11" t="s">
        <v>7</v>
      </c>
      <c r="E202" s="1">
        <v>2690</v>
      </c>
    </row>
    <row r="203" spans="1:5" x14ac:dyDescent="0.4">
      <c r="C203" s="39" t="s">
        <v>440</v>
      </c>
      <c r="D203" s="10" t="s">
        <v>395</v>
      </c>
      <c r="E203" s="1">
        <v>2690</v>
      </c>
    </row>
    <row r="204" spans="1:5" x14ac:dyDescent="0.4">
      <c r="B204" s="10" t="s">
        <v>442</v>
      </c>
      <c r="C204" s="10" t="s">
        <v>316</v>
      </c>
      <c r="E204" s="1">
        <v>0</v>
      </c>
    </row>
    <row r="205" spans="1:5" x14ac:dyDescent="0.4">
      <c r="C205" s="11" t="s">
        <v>5</v>
      </c>
      <c r="E205" s="1">
        <v>0</v>
      </c>
    </row>
    <row r="206" spans="1:5" x14ac:dyDescent="0.4">
      <c r="C206" s="39" t="s">
        <v>359</v>
      </c>
      <c r="D206" s="10" t="s">
        <v>329</v>
      </c>
      <c r="E206" s="1">
        <v>0</v>
      </c>
    </row>
    <row r="207" spans="1:5" x14ac:dyDescent="0.4">
      <c r="B207" s="10" t="s">
        <v>443</v>
      </c>
      <c r="C207" s="10" t="s">
        <v>316</v>
      </c>
      <c r="E207" s="1">
        <v>3000</v>
      </c>
    </row>
    <row r="208" spans="1:5" x14ac:dyDescent="0.4">
      <c r="C208" s="11" t="s">
        <v>3</v>
      </c>
      <c r="E208" s="1">
        <v>3000</v>
      </c>
    </row>
    <row r="209" spans="2:5" x14ac:dyDescent="0.4">
      <c r="C209" s="39" t="s">
        <v>343</v>
      </c>
      <c r="D209" s="10" t="s">
        <v>322</v>
      </c>
      <c r="E209" s="1">
        <v>3000</v>
      </c>
    </row>
    <row r="210" spans="2:5" x14ac:dyDescent="0.4">
      <c r="B210" s="10" t="s">
        <v>444</v>
      </c>
      <c r="C210" s="10" t="s">
        <v>316</v>
      </c>
      <c r="E210" s="1">
        <v>175</v>
      </c>
    </row>
    <row r="211" spans="2:5" x14ac:dyDescent="0.4">
      <c r="C211" s="11" t="s">
        <v>5</v>
      </c>
      <c r="E211" s="1">
        <v>175</v>
      </c>
    </row>
    <row r="212" spans="2:5" x14ac:dyDescent="0.4">
      <c r="C212" s="39" t="s">
        <v>359</v>
      </c>
      <c r="D212" s="10" t="s">
        <v>322</v>
      </c>
      <c r="E212" s="1">
        <v>175</v>
      </c>
    </row>
    <row r="213" spans="2:5" x14ac:dyDescent="0.4">
      <c r="B213" s="10" t="s">
        <v>445</v>
      </c>
      <c r="C213" s="10" t="s">
        <v>316</v>
      </c>
      <c r="E213" s="1">
        <v>4450.41</v>
      </c>
    </row>
    <row r="214" spans="2:5" x14ac:dyDescent="0.4">
      <c r="C214" s="11" t="s">
        <v>5</v>
      </c>
      <c r="E214" s="1">
        <v>4450.41</v>
      </c>
    </row>
    <row r="215" spans="2:5" x14ac:dyDescent="0.4">
      <c r="C215" s="39" t="s">
        <v>359</v>
      </c>
      <c r="D215" s="10" t="s">
        <v>361</v>
      </c>
      <c r="E215" s="1">
        <v>4450.41</v>
      </c>
    </row>
    <row r="216" spans="2:5" x14ac:dyDescent="0.4">
      <c r="B216" s="10" t="s">
        <v>446</v>
      </c>
      <c r="C216" s="10" t="s">
        <v>316</v>
      </c>
      <c r="E216" s="1">
        <v>5000</v>
      </c>
    </row>
    <row r="217" spans="2:5" x14ac:dyDescent="0.4">
      <c r="C217" s="11" t="s">
        <v>5</v>
      </c>
      <c r="E217" s="1">
        <v>5000</v>
      </c>
    </row>
    <row r="218" spans="2:5" x14ac:dyDescent="0.4">
      <c r="C218" s="39" t="s">
        <v>359</v>
      </c>
      <c r="D218" s="10" t="s">
        <v>361</v>
      </c>
      <c r="E218" s="1">
        <v>5000</v>
      </c>
    </row>
    <row r="219" spans="2:5" x14ac:dyDescent="0.4">
      <c r="B219" s="10" t="s">
        <v>447</v>
      </c>
      <c r="C219" s="10" t="s">
        <v>316</v>
      </c>
      <c r="E219" s="1">
        <v>3654.88</v>
      </c>
    </row>
    <row r="220" spans="2:5" x14ac:dyDescent="0.4">
      <c r="C220" s="11" t="s">
        <v>5</v>
      </c>
      <c r="E220" s="1">
        <v>3654.88</v>
      </c>
    </row>
    <row r="221" spans="2:5" x14ac:dyDescent="0.4">
      <c r="C221" s="39" t="s">
        <v>359</v>
      </c>
      <c r="D221" s="10" t="s">
        <v>361</v>
      </c>
      <c r="E221" s="1">
        <v>3654.88</v>
      </c>
    </row>
    <row r="222" spans="2:5" x14ac:dyDescent="0.4">
      <c r="B222" s="10" t="s">
        <v>448</v>
      </c>
      <c r="C222" s="10" t="s">
        <v>316</v>
      </c>
      <c r="E222" s="1">
        <v>0</v>
      </c>
    </row>
    <row r="223" spans="2:5" x14ac:dyDescent="0.4">
      <c r="C223" s="11" t="s">
        <v>6</v>
      </c>
      <c r="E223" s="1">
        <v>0</v>
      </c>
    </row>
    <row r="224" spans="2:5" x14ac:dyDescent="0.4">
      <c r="C224" s="39" t="s">
        <v>415</v>
      </c>
      <c r="D224" s="10" t="s">
        <v>318</v>
      </c>
      <c r="E224" s="1">
        <v>0</v>
      </c>
    </row>
    <row r="225" spans="1:5" x14ac:dyDescent="0.4">
      <c r="B225" s="10" t="s">
        <v>449</v>
      </c>
      <c r="C225" s="10" t="s">
        <v>316</v>
      </c>
      <c r="E225" s="1">
        <v>1920</v>
      </c>
    </row>
    <row r="226" spans="1:5" x14ac:dyDescent="0.4">
      <c r="C226" s="11" t="s">
        <v>5</v>
      </c>
      <c r="E226" s="1">
        <v>1920</v>
      </c>
    </row>
    <row r="227" spans="1:5" x14ac:dyDescent="0.4">
      <c r="C227" s="39" t="s">
        <v>359</v>
      </c>
      <c r="D227" s="10" t="s">
        <v>395</v>
      </c>
      <c r="E227" s="1">
        <v>1920</v>
      </c>
    </row>
    <row r="228" spans="1:5" x14ac:dyDescent="0.4">
      <c r="B228" s="10" t="s">
        <v>450</v>
      </c>
      <c r="C228" s="10" t="s">
        <v>316</v>
      </c>
      <c r="E228" s="1">
        <v>200</v>
      </c>
    </row>
    <row r="229" spans="1:5" x14ac:dyDescent="0.4">
      <c r="C229" s="11" t="s">
        <v>4</v>
      </c>
      <c r="E229" s="1">
        <v>200</v>
      </c>
    </row>
    <row r="230" spans="1:5" x14ac:dyDescent="0.4">
      <c r="C230" s="39" t="s">
        <v>371</v>
      </c>
      <c r="D230" s="10" t="s">
        <v>322</v>
      </c>
      <c r="E230" s="1">
        <v>200</v>
      </c>
    </row>
    <row r="231" spans="1:5" x14ac:dyDescent="0.4">
      <c r="A231" s="10" t="s">
        <v>251</v>
      </c>
      <c r="B231" s="10" t="s">
        <v>368</v>
      </c>
      <c r="C231" s="10" t="s">
        <v>316</v>
      </c>
      <c r="E231" s="1">
        <v>25000</v>
      </c>
    </row>
    <row r="232" spans="1:5" x14ac:dyDescent="0.4">
      <c r="C232" s="11" t="s">
        <v>6</v>
      </c>
      <c r="E232" s="1">
        <v>25000</v>
      </c>
    </row>
    <row r="233" spans="1:5" x14ac:dyDescent="0.4">
      <c r="C233" s="39" t="s">
        <v>451</v>
      </c>
      <c r="D233" s="10" t="s">
        <v>414</v>
      </c>
      <c r="E233" s="1">
        <v>25000</v>
      </c>
    </row>
    <row r="234" spans="1:5" x14ac:dyDescent="0.4">
      <c r="B234" s="10" t="s">
        <v>437</v>
      </c>
      <c r="C234" s="10" t="s">
        <v>316</v>
      </c>
      <c r="E234" s="1">
        <v>160.44</v>
      </c>
    </row>
    <row r="235" spans="1:5" x14ac:dyDescent="0.4">
      <c r="C235" s="11" t="s">
        <v>6</v>
      </c>
      <c r="E235" s="1">
        <v>160.44</v>
      </c>
    </row>
    <row r="236" spans="1:5" x14ac:dyDescent="0.4">
      <c r="C236" s="39" t="s">
        <v>452</v>
      </c>
      <c r="D236" s="10" t="s">
        <v>318</v>
      </c>
      <c r="E236" s="1">
        <v>160.44</v>
      </c>
    </row>
    <row r="237" spans="1:5" x14ac:dyDescent="0.4">
      <c r="B237" s="10" t="s">
        <v>453</v>
      </c>
      <c r="C237" s="10" t="s">
        <v>316</v>
      </c>
      <c r="E237" s="1">
        <v>1056.27</v>
      </c>
    </row>
    <row r="238" spans="1:5" x14ac:dyDescent="0.4">
      <c r="C238" s="11" t="s">
        <v>1</v>
      </c>
      <c r="E238" s="1">
        <v>1056.27</v>
      </c>
    </row>
    <row r="239" spans="1:5" x14ac:dyDescent="0.4">
      <c r="C239" s="39" t="s">
        <v>454</v>
      </c>
      <c r="D239" s="10" t="s">
        <v>322</v>
      </c>
      <c r="E239" s="1">
        <v>1056.27</v>
      </c>
    </row>
    <row r="240" spans="1:5" x14ac:dyDescent="0.4">
      <c r="B240" s="10" t="s">
        <v>455</v>
      </c>
      <c r="C240" s="10" t="s">
        <v>316</v>
      </c>
      <c r="E240" s="1">
        <v>250</v>
      </c>
    </row>
    <row r="241" spans="2:5" x14ac:dyDescent="0.4">
      <c r="C241" s="11" t="s">
        <v>1</v>
      </c>
      <c r="E241" s="1">
        <v>250</v>
      </c>
    </row>
    <row r="242" spans="2:5" x14ac:dyDescent="0.4">
      <c r="C242" s="39" t="s">
        <v>456</v>
      </c>
      <c r="D242" s="10" t="s">
        <v>322</v>
      </c>
      <c r="E242" s="1">
        <v>250</v>
      </c>
    </row>
    <row r="243" spans="2:5" x14ac:dyDescent="0.4">
      <c r="B243" s="10" t="s">
        <v>457</v>
      </c>
      <c r="C243" s="10" t="s">
        <v>316</v>
      </c>
      <c r="E243" s="1">
        <v>2730</v>
      </c>
    </row>
    <row r="244" spans="2:5" x14ac:dyDescent="0.4">
      <c r="C244" s="11" t="s">
        <v>1</v>
      </c>
      <c r="E244" s="1">
        <v>2730</v>
      </c>
    </row>
    <row r="245" spans="2:5" x14ac:dyDescent="0.4">
      <c r="C245" s="39" t="s">
        <v>378</v>
      </c>
      <c r="D245" s="10" t="s">
        <v>322</v>
      </c>
      <c r="E245" s="1">
        <v>2730</v>
      </c>
    </row>
    <row r="246" spans="2:5" x14ac:dyDescent="0.4">
      <c r="B246" s="10" t="s">
        <v>458</v>
      </c>
      <c r="C246" s="10" t="s">
        <v>316</v>
      </c>
      <c r="E246" s="1">
        <v>1538.19</v>
      </c>
    </row>
    <row r="247" spans="2:5" x14ac:dyDescent="0.4">
      <c r="C247" s="11" t="s">
        <v>1</v>
      </c>
      <c r="E247" s="1">
        <v>1538.19</v>
      </c>
    </row>
    <row r="248" spans="2:5" x14ac:dyDescent="0.4">
      <c r="C248" s="39" t="s">
        <v>378</v>
      </c>
      <c r="D248" s="10" t="s">
        <v>322</v>
      </c>
      <c r="E248" s="1">
        <v>1538.19</v>
      </c>
    </row>
    <row r="249" spans="2:5" x14ac:dyDescent="0.4">
      <c r="B249" s="10" t="s">
        <v>459</v>
      </c>
      <c r="C249" s="10" t="s">
        <v>316</v>
      </c>
      <c r="E249" s="1">
        <v>79.959999999999994</v>
      </c>
    </row>
    <row r="250" spans="2:5" x14ac:dyDescent="0.4">
      <c r="C250" s="11" t="s">
        <v>1</v>
      </c>
      <c r="E250" s="1">
        <v>79.959999999999994</v>
      </c>
    </row>
    <row r="251" spans="2:5" x14ac:dyDescent="0.4">
      <c r="C251" s="39" t="s">
        <v>460</v>
      </c>
      <c r="D251" s="10" t="s">
        <v>322</v>
      </c>
      <c r="E251" s="1">
        <v>79.959999999999994</v>
      </c>
    </row>
    <row r="252" spans="2:5" x14ac:dyDescent="0.4">
      <c r="B252" s="10" t="s">
        <v>461</v>
      </c>
      <c r="C252" s="10" t="s">
        <v>316</v>
      </c>
      <c r="E252" s="1">
        <v>1047</v>
      </c>
    </row>
    <row r="253" spans="2:5" x14ac:dyDescent="0.4">
      <c r="C253" s="11" t="s">
        <v>1</v>
      </c>
      <c r="E253" s="1">
        <v>1047</v>
      </c>
    </row>
    <row r="254" spans="2:5" x14ac:dyDescent="0.4">
      <c r="C254" s="39" t="s">
        <v>460</v>
      </c>
      <c r="D254" s="10" t="s">
        <v>322</v>
      </c>
      <c r="E254" s="1">
        <v>1047</v>
      </c>
    </row>
    <row r="255" spans="2:5" x14ac:dyDescent="0.4">
      <c r="B255" s="10" t="s">
        <v>430</v>
      </c>
      <c r="C255" s="10" t="s">
        <v>316</v>
      </c>
      <c r="E255" s="1">
        <v>170.7</v>
      </c>
    </row>
    <row r="256" spans="2:5" x14ac:dyDescent="0.4">
      <c r="C256" s="11" t="s">
        <v>1</v>
      </c>
      <c r="E256" s="1">
        <v>170.7</v>
      </c>
    </row>
    <row r="257" spans="2:5" x14ac:dyDescent="0.4">
      <c r="C257" s="39" t="s">
        <v>462</v>
      </c>
      <c r="D257" s="10" t="s">
        <v>322</v>
      </c>
      <c r="E257" s="1">
        <v>170.7</v>
      </c>
    </row>
    <row r="258" spans="2:5" x14ac:dyDescent="0.4">
      <c r="B258" s="10" t="s">
        <v>463</v>
      </c>
      <c r="C258" s="10" t="s">
        <v>316</v>
      </c>
      <c r="E258" s="1">
        <v>571.14</v>
      </c>
    </row>
    <row r="259" spans="2:5" x14ac:dyDescent="0.4">
      <c r="C259" s="11" t="s">
        <v>1</v>
      </c>
      <c r="E259" s="1">
        <v>193.2</v>
      </c>
    </row>
    <row r="260" spans="2:5" x14ac:dyDescent="0.4">
      <c r="C260" s="39" t="s">
        <v>464</v>
      </c>
      <c r="D260" s="10" t="s">
        <v>322</v>
      </c>
      <c r="E260" s="1">
        <v>193.2</v>
      </c>
    </row>
    <row r="261" spans="2:5" x14ac:dyDescent="0.4">
      <c r="C261" s="11" t="s">
        <v>2</v>
      </c>
      <c r="E261" s="1">
        <v>377.94</v>
      </c>
    </row>
    <row r="262" spans="2:5" x14ac:dyDescent="0.4">
      <c r="C262" s="39" t="s">
        <v>465</v>
      </c>
      <c r="D262" s="10" t="s">
        <v>322</v>
      </c>
      <c r="E262" s="1">
        <v>377.94</v>
      </c>
    </row>
    <row r="263" spans="2:5" x14ac:dyDescent="0.4">
      <c r="B263" s="10" t="s">
        <v>466</v>
      </c>
      <c r="C263" s="10" t="s">
        <v>316</v>
      </c>
      <c r="E263" s="1">
        <v>7200</v>
      </c>
    </row>
    <row r="264" spans="2:5" x14ac:dyDescent="0.4">
      <c r="C264" s="11" t="s">
        <v>1</v>
      </c>
      <c r="E264" s="1">
        <v>7200</v>
      </c>
    </row>
    <row r="265" spans="2:5" x14ac:dyDescent="0.4">
      <c r="C265" s="39" t="s">
        <v>373</v>
      </c>
      <c r="D265" s="10" t="s">
        <v>322</v>
      </c>
      <c r="E265" s="1">
        <v>7200</v>
      </c>
    </row>
    <row r="266" spans="2:5" x14ac:dyDescent="0.4">
      <c r="B266" s="10" t="s">
        <v>467</v>
      </c>
      <c r="C266" s="10" t="s">
        <v>316</v>
      </c>
      <c r="E266" s="1">
        <v>490</v>
      </c>
    </row>
    <row r="267" spans="2:5" x14ac:dyDescent="0.4">
      <c r="C267" s="11" t="s">
        <v>1</v>
      </c>
      <c r="E267" s="1">
        <v>490</v>
      </c>
    </row>
    <row r="268" spans="2:5" x14ac:dyDescent="0.4">
      <c r="C268" s="39" t="s">
        <v>468</v>
      </c>
      <c r="D268" s="10" t="s">
        <v>322</v>
      </c>
      <c r="E268" s="1">
        <v>490</v>
      </c>
    </row>
    <row r="269" spans="2:5" x14ac:dyDescent="0.4">
      <c r="B269" s="10" t="s">
        <v>469</v>
      </c>
      <c r="C269" s="10" t="s">
        <v>316</v>
      </c>
      <c r="E269" s="1">
        <v>1583.56</v>
      </c>
    </row>
    <row r="270" spans="2:5" x14ac:dyDescent="0.4">
      <c r="C270" s="11" t="s">
        <v>1</v>
      </c>
      <c r="E270" s="1">
        <v>1583.56</v>
      </c>
    </row>
    <row r="271" spans="2:5" x14ac:dyDescent="0.4">
      <c r="C271" s="39" t="s">
        <v>468</v>
      </c>
      <c r="D271" s="10" t="s">
        <v>322</v>
      </c>
      <c r="E271" s="1">
        <v>1583.56</v>
      </c>
    </row>
    <row r="272" spans="2:5" x14ac:dyDescent="0.4">
      <c r="B272" s="10" t="s">
        <v>470</v>
      </c>
      <c r="C272" s="10" t="s">
        <v>316</v>
      </c>
      <c r="E272" s="1">
        <v>770</v>
      </c>
    </row>
    <row r="273" spans="2:5" x14ac:dyDescent="0.4">
      <c r="C273" s="11" t="s">
        <v>1</v>
      </c>
      <c r="E273" s="1">
        <v>770</v>
      </c>
    </row>
    <row r="274" spans="2:5" x14ac:dyDescent="0.4">
      <c r="C274" s="39" t="s">
        <v>468</v>
      </c>
      <c r="D274" s="10" t="s">
        <v>322</v>
      </c>
      <c r="E274" s="1">
        <v>770</v>
      </c>
    </row>
    <row r="275" spans="2:5" x14ac:dyDescent="0.4">
      <c r="B275" s="10" t="s">
        <v>471</v>
      </c>
      <c r="C275" s="10" t="s">
        <v>316</v>
      </c>
      <c r="E275" s="1">
        <v>3766.66</v>
      </c>
    </row>
    <row r="276" spans="2:5" x14ac:dyDescent="0.4">
      <c r="C276" s="11" t="s">
        <v>1</v>
      </c>
      <c r="E276" s="1">
        <v>3766.66</v>
      </c>
    </row>
    <row r="277" spans="2:5" x14ac:dyDescent="0.4">
      <c r="C277" s="39" t="s">
        <v>468</v>
      </c>
      <c r="D277" s="10" t="s">
        <v>322</v>
      </c>
      <c r="E277" s="1">
        <v>3766.66</v>
      </c>
    </row>
    <row r="278" spans="2:5" x14ac:dyDescent="0.4">
      <c r="B278" s="10" t="s">
        <v>472</v>
      </c>
      <c r="C278" s="10" t="s">
        <v>316</v>
      </c>
      <c r="E278" s="1">
        <v>8520</v>
      </c>
    </row>
    <row r="279" spans="2:5" x14ac:dyDescent="0.4">
      <c r="C279" s="11" t="s">
        <v>4</v>
      </c>
      <c r="E279" s="1">
        <v>8520</v>
      </c>
    </row>
    <row r="280" spans="2:5" x14ac:dyDescent="0.4">
      <c r="C280" s="39" t="s">
        <v>386</v>
      </c>
      <c r="D280" s="10" t="s">
        <v>322</v>
      </c>
      <c r="E280" s="1">
        <v>8520</v>
      </c>
    </row>
    <row r="281" spans="2:5" x14ac:dyDescent="0.4">
      <c r="B281" s="10" t="s">
        <v>473</v>
      </c>
      <c r="C281" s="10" t="s">
        <v>316</v>
      </c>
      <c r="E281" s="1">
        <v>500</v>
      </c>
    </row>
    <row r="282" spans="2:5" x14ac:dyDescent="0.4">
      <c r="C282" s="11" t="s">
        <v>1</v>
      </c>
      <c r="E282" s="1">
        <v>500</v>
      </c>
    </row>
    <row r="283" spans="2:5" x14ac:dyDescent="0.4">
      <c r="C283" s="39" t="s">
        <v>468</v>
      </c>
      <c r="D283" s="10" t="s">
        <v>322</v>
      </c>
      <c r="E283" s="1">
        <v>500</v>
      </c>
    </row>
    <row r="284" spans="2:5" x14ac:dyDescent="0.4">
      <c r="B284" s="10" t="s">
        <v>474</v>
      </c>
      <c r="C284" s="10" t="s">
        <v>316</v>
      </c>
      <c r="E284" s="1">
        <v>2295.7800000000002</v>
      </c>
    </row>
    <row r="285" spans="2:5" x14ac:dyDescent="0.4">
      <c r="C285" s="11" t="s">
        <v>1</v>
      </c>
      <c r="E285" s="1">
        <v>2295.7800000000002</v>
      </c>
    </row>
    <row r="286" spans="2:5" x14ac:dyDescent="0.4">
      <c r="C286" s="39" t="s">
        <v>373</v>
      </c>
      <c r="D286" s="10" t="s">
        <v>322</v>
      </c>
      <c r="E286" s="1">
        <v>2295.7800000000002</v>
      </c>
    </row>
    <row r="287" spans="2:5" x14ac:dyDescent="0.4">
      <c r="B287" s="10" t="s">
        <v>475</v>
      </c>
      <c r="C287" s="10" t="s">
        <v>316</v>
      </c>
      <c r="E287" s="1">
        <v>85.35</v>
      </c>
    </row>
    <row r="288" spans="2:5" x14ac:dyDescent="0.4">
      <c r="C288" s="11" t="s">
        <v>2</v>
      </c>
      <c r="E288" s="1">
        <v>85.35</v>
      </c>
    </row>
    <row r="289" spans="2:5" x14ac:dyDescent="0.4">
      <c r="C289" s="39" t="s">
        <v>465</v>
      </c>
      <c r="D289" s="10" t="s">
        <v>395</v>
      </c>
      <c r="E289" s="1">
        <v>85.35</v>
      </c>
    </row>
    <row r="290" spans="2:5" x14ac:dyDescent="0.4">
      <c r="B290" s="10" t="s">
        <v>476</v>
      </c>
      <c r="C290" s="10" t="s">
        <v>316</v>
      </c>
      <c r="E290" s="1">
        <v>7008.98</v>
      </c>
    </row>
    <row r="291" spans="2:5" x14ac:dyDescent="0.4">
      <c r="C291" s="11" t="s">
        <v>2</v>
      </c>
      <c r="E291" s="1">
        <v>7008.98</v>
      </c>
    </row>
    <row r="292" spans="2:5" x14ac:dyDescent="0.4">
      <c r="C292" s="39" t="s">
        <v>477</v>
      </c>
      <c r="D292" s="10" t="s">
        <v>322</v>
      </c>
      <c r="E292" s="1">
        <v>7008.98</v>
      </c>
    </row>
    <row r="293" spans="2:5" x14ac:dyDescent="0.4">
      <c r="B293" s="10" t="s">
        <v>478</v>
      </c>
      <c r="C293" s="10" t="s">
        <v>316</v>
      </c>
      <c r="E293" s="1">
        <v>460.49</v>
      </c>
    </row>
    <row r="294" spans="2:5" x14ac:dyDescent="0.4">
      <c r="C294" s="11" t="s">
        <v>2</v>
      </c>
      <c r="E294" s="1">
        <v>460.49</v>
      </c>
    </row>
    <row r="295" spans="2:5" x14ac:dyDescent="0.4">
      <c r="C295" s="39" t="s">
        <v>477</v>
      </c>
      <c r="D295" s="10" t="s">
        <v>322</v>
      </c>
      <c r="E295" s="1">
        <v>460.49</v>
      </c>
    </row>
    <row r="296" spans="2:5" x14ac:dyDescent="0.4">
      <c r="B296" s="10" t="s">
        <v>479</v>
      </c>
      <c r="C296" s="10" t="s">
        <v>316</v>
      </c>
      <c r="E296" s="1">
        <v>105</v>
      </c>
    </row>
    <row r="297" spans="2:5" x14ac:dyDescent="0.4">
      <c r="C297" s="11" t="s">
        <v>2</v>
      </c>
      <c r="E297" s="1">
        <v>105</v>
      </c>
    </row>
    <row r="298" spans="2:5" x14ac:dyDescent="0.4">
      <c r="C298" s="39" t="s">
        <v>477</v>
      </c>
      <c r="D298" s="10" t="s">
        <v>322</v>
      </c>
      <c r="E298" s="1">
        <v>105</v>
      </c>
    </row>
    <row r="299" spans="2:5" x14ac:dyDescent="0.4">
      <c r="B299" s="10" t="s">
        <v>480</v>
      </c>
      <c r="C299" s="10" t="s">
        <v>316</v>
      </c>
      <c r="E299" s="1">
        <v>845.81</v>
      </c>
    </row>
    <row r="300" spans="2:5" x14ac:dyDescent="0.4">
      <c r="C300" s="11" t="s">
        <v>2</v>
      </c>
      <c r="E300" s="1">
        <v>845.81</v>
      </c>
    </row>
    <row r="301" spans="2:5" x14ac:dyDescent="0.4">
      <c r="C301" s="39" t="s">
        <v>481</v>
      </c>
      <c r="D301" s="10" t="s">
        <v>322</v>
      </c>
      <c r="E301" s="1">
        <v>845.81</v>
      </c>
    </row>
    <row r="302" spans="2:5" x14ac:dyDescent="0.4">
      <c r="B302" s="10" t="s">
        <v>482</v>
      </c>
      <c r="C302" s="10" t="s">
        <v>316</v>
      </c>
      <c r="E302" s="1">
        <v>419.96</v>
      </c>
    </row>
    <row r="303" spans="2:5" x14ac:dyDescent="0.4">
      <c r="C303" s="11" t="s">
        <v>5</v>
      </c>
      <c r="E303" s="1">
        <v>419.96</v>
      </c>
    </row>
    <row r="304" spans="2:5" x14ac:dyDescent="0.4">
      <c r="C304" s="39" t="s">
        <v>483</v>
      </c>
      <c r="D304" s="10" t="s">
        <v>329</v>
      </c>
      <c r="E304" s="1">
        <v>419.96</v>
      </c>
    </row>
    <row r="305" spans="2:5" x14ac:dyDescent="0.4">
      <c r="B305" s="10" t="s">
        <v>484</v>
      </c>
      <c r="C305" s="10" t="s">
        <v>316</v>
      </c>
      <c r="E305" s="1">
        <v>2998.8</v>
      </c>
    </row>
    <row r="306" spans="2:5" x14ac:dyDescent="0.4">
      <c r="C306" s="11" t="s">
        <v>2</v>
      </c>
      <c r="E306" s="1">
        <v>2998.8</v>
      </c>
    </row>
    <row r="307" spans="2:5" x14ac:dyDescent="0.4">
      <c r="C307" s="39" t="s">
        <v>328</v>
      </c>
      <c r="D307" s="10" t="s">
        <v>395</v>
      </c>
      <c r="E307" s="1">
        <v>2998.8</v>
      </c>
    </row>
    <row r="308" spans="2:5" x14ac:dyDescent="0.4">
      <c r="B308" s="10" t="s">
        <v>485</v>
      </c>
      <c r="C308" s="10" t="s">
        <v>316</v>
      </c>
      <c r="E308" s="1">
        <v>1214.25</v>
      </c>
    </row>
    <row r="309" spans="2:5" x14ac:dyDescent="0.4">
      <c r="C309" s="11" t="s">
        <v>2</v>
      </c>
      <c r="E309" s="1">
        <v>1214.25</v>
      </c>
    </row>
    <row r="310" spans="2:5" x14ac:dyDescent="0.4">
      <c r="C310" s="39" t="s">
        <v>486</v>
      </c>
      <c r="D310" s="10" t="s">
        <v>322</v>
      </c>
      <c r="E310" s="1">
        <v>1214.25</v>
      </c>
    </row>
    <row r="311" spans="2:5" x14ac:dyDescent="0.4">
      <c r="B311" s="10" t="s">
        <v>487</v>
      </c>
      <c r="C311" s="10" t="s">
        <v>316</v>
      </c>
      <c r="E311" s="1">
        <v>161.88999999999999</v>
      </c>
    </row>
    <row r="312" spans="2:5" x14ac:dyDescent="0.4">
      <c r="C312" s="11" t="s">
        <v>2</v>
      </c>
      <c r="E312" s="1">
        <v>161.88999999999999</v>
      </c>
    </row>
    <row r="313" spans="2:5" x14ac:dyDescent="0.4">
      <c r="C313" s="39" t="s">
        <v>486</v>
      </c>
      <c r="D313" s="10" t="s">
        <v>322</v>
      </c>
      <c r="E313" s="1">
        <v>161.88999999999999</v>
      </c>
    </row>
    <row r="314" spans="2:5" x14ac:dyDescent="0.4">
      <c r="B314" s="10" t="s">
        <v>488</v>
      </c>
      <c r="C314" s="10" t="s">
        <v>316</v>
      </c>
      <c r="E314" s="1">
        <v>316.8</v>
      </c>
    </row>
    <row r="315" spans="2:5" x14ac:dyDescent="0.4">
      <c r="C315" s="11" t="s">
        <v>2</v>
      </c>
      <c r="E315" s="1">
        <v>316.8</v>
      </c>
    </row>
    <row r="316" spans="2:5" x14ac:dyDescent="0.4">
      <c r="C316" s="39" t="s">
        <v>489</v>
      </c>
      <c r="D316" s="10" t="s">
        <v>322</v>
      </c>
      <c r="E316" s="1">
        <v>316.8</v>
      </c>
    </row>
    <row r="317" spans="2:5" x14ac:dyDescent="0.4">
      <c r="B317" s="10" t="s">
        <v>490</v>
      </c>
      <c r="C317" s="10" t="s">
        <v>316</v>
      </c>
      <c r="E317" s="1">
        <v>64.39</v>
      </c>
    </row>
    <row r="318" spans="2:5" x14ac:dyDescent="0.4">
      <c r="C318" s="11" t="s">
        <v>2</v>
      </c>
      <c r="E318" s="1">
        <v>64.39</v>
      </c>
    </row>
    <row r="319" spans="2:5" x14ac:dyDescent="0.4">
      <c r="C319" s="39" t="s">
        <v>489</v>
      </c>
      <c r="D319" s="10" t="s">
        <v>322</v>
      </c>
      <c r="E319" s="1">
        <v>64.39</v>
      </c>
    </row>
    <row r="320" spans="2:5" x14ac:dyDescent="0.4">
      <c r="B320" s="10" t="s">
        <v>491</v>
      </c>
      <c r="C320" s="10" t="s">
        <v>316</v>
      </c>
      <c r="E320" s="1">
        <v>878.61</v>
      </c>
    </row>
    <row r="321" spans="2:5" x14ac:dyDescent="0.4">
      <c r="C321" s="11" t="s">
        <v>2</v>
      </c>
      <c r="E321" s="1">
        <v>878.61</v>
      </c>
    </row>
    <row r="322" spans="2:5" x14ac:dyDescent="0.4">
      <c r="C322" s="39" t="s">
        <v>418</v>
      </c>
      <c r="D322" s="10" t="s">
        <v>322</v>
      </c>
      <c r="E322" s="1">
        <v>878.61</v>
      </c>
    </row>
    <row r="323" spans="2:5" x14ac:dyDescent="0.4">
      <c r="B323" s="10" t="s">
        <v>492</v>
      </c>
      <c r="C323" s="10" t="s">
        <v>316</v>
      </c>
      <c r="E323" s="1">
        <v>249.99</v>
      </c>
    </row>
    <row r="324" spans="2:5" x14ac:dyDescent="0.4">
      <c r="C324" s="11" t="s">
        <v>2</v>
      </c>
      <c r="E324" s="1">
        <v>249.99</v>
      </c>
    </row>
    <row r="325" spans="2:5" x14ac:dyDescent="0.4">
      <c r="C325" s="39" t="s">
        <v>418</v>
      </c>
      <c r="D325" s="10" t="s">
        <v>395</v>
      </c>
      <c r="E325" s="1">
        <v>249.99</v>
      </c>
    </row>
    <row r="326" spans="2:5" x14ac:dyDescent="0.4">
      <c r="B326" s="10" t="s">
        <v>493</v>
      </c>
      <c r="C326" s="10" t="s">
        <v>316</v>
      </c>
      <c r="E326" s="1">
        <v>108.78</v>
      </c>
    </row>
    <row r="327" spans="2:5" x14ac:dyDescent="0.4">
      <c r="C327" s="11" t="s">
        <v>2</v>
      </c>
      <c r="E327" s="1">
        <v>108.78</v>
      </c>
    </row>
    <row r="328" spans="2:5" x14ac:dyDescent="0.4">
      <c r="C328" s="39" t="s">
        <v>418</v>
      </c>
      <c r="D328" s="10" t="s">
        <v>322</v>
      </c>
      <c r="E328" s="1">
        <v>108.78</v>
      </c>
    </row>
    <row r="329" spans="2:5" x14ac:dyDescent="0.4">
      <c r="B329" s="10" t="s">
        <v>494</v>
      </c>
      <c r="C329" s="10" t="s">
        <v>316</v>
      </c>
      <c r="E329" s="1">
        <v>7750</v>
      </c>
    </row>
    <row r="330" spans="2:5" x14ac:dyDescent="0.4">
      <c r="C330" s="11" t="s">
        <v>6</v>
      </c>
      <c r="E330" s="1">
        <v>7750</v>
      </c>
    </row>
    <row r="331" spans="2:5" x14ac:dyDescent="0.4">
      <c r="C331" s="39" t="s">
        <v>415</v>
      </c>
      <c r="D331" s="10" t="s">
        <v>414</v>
      </c>
      <c r="E331" s="1">
        <v>7750</v>
      </c>
    </row>
    <row r="332" spans="2:5" x14ac:dyDescent="0.4">
      <c r="B332" s="10" t="s">
        <v>495</v>
      </c>
      <c r="C332" s="10" t="s">
        <v>316</v>
      </c>
      <c r="E332" s="1">
        <v>7900</v>
      </c>
    </row>
    <row r="333" spans="2:5" x14ac:dyDescent="0.4">
      <c r="C333" s="11" t="s">
        <v>2</v>
      </c>
      <c r="E333" s="1">
        <v>7900</v>
      </c>
    </row>
    <row r="334" spans="2:5" x14ac:dyDescent="0.4">
      <c r="C334" s="39" t="s">
        <v>328</v>
      </c>
      <c r="D334" s="10" t="s">
        <v>322</v>
      </c>
      <c r="E334" s="1">
        <v>7900</v>
      </c>
    </row>
    <row r="335" spans="2:5" x14ac:dyDescent="0.4">
      <c r="B335" s="10" t="s">
        <v>496</v>
      </c>
      <c r="C335" s="10" t="s">
        <v>316</v>
      </c>
      <c r="E335" s="1">
        <v>0</v>
      </c>
    </row>
    <row r="336" spans="2:5" x14ac:dyDescent="0.4">
      <c r="C336" s="11" t="s">
        <v>2</v>
      </c>
      <c r="E336" s="1">
        <v>0</v>
      </c>
    </row>
    <row r="337" spans="2:5" x14ac:dyDescent="0.4">
      <c r="C337" s="39" t="s">
        <v>328</v>
      </c>
      <c r="D337" s="10" t="s">
        <v>329</v>
      </c>
      <c r="E337" s="1">
        <v>0</v>
      </c>
    </row>
    <row r="338" spans="2:5" x14ac:dyDescent="0.4">
      <c r="B338" s="10" t="s">
        <v>497</v>
      </c>
      <c r="C338" s="10" t="s">
        <v>316</v>
      </c>
      <c r="E338" s="1">
        <v>0</v>
      </c>
    </row>
    <row r="339" spans="2:5" x14ac:dyDescent="0.4">
      <c r="C339" s="11" t="s">
        <v>5</v>
      </c>
      <c r="E339" s="1">
        <v>0</v>
      </c>
    </row>
    <row r="340" spans="2:5" x14ac:dyDescent="0.4">
      <c r="C340" s="39" t="s">
        <v>498</v>
      </c>
      <c r="D340" s="10" t="s">
        <v>329</v>
      </c>
      <c r="E340" s="1">
        <v>0</v>
      </c>
    </row>
    <row r="341" spans="2:5" x14ac:dyDescent="0.4">
      <c r="B341" s="10" t="s">
        <v>499</v>
      </c>
      <c r="C341" s="10" t="s">
        <v>316</v>
      </c>
      <c r="E341" s="1">
        <v>860.84</v>
      </c>
    </row>
    <row r="342" spans="2:5" x14ac:dyDescent="0.4">
      <c r="C342" s="11" t="s">
        <v>2</v>
      </c>
      <c r="E342" s="1">
        <v>860.84</v>
      </c>
    </row>
    <row r="343" spans="2:5" x14ac:dyDescent="0.4">
      <c r="C343" s="39" t="s">
        <v>500</v>
      </c>
      <c r="D343" s="10" t="s">
        <v>322</v>
      </c>
      <c r="E343" s="1">
        <v>860.84</v>
      </c>
    </row>
    <row r="344" spans="2:5" x14ac:dyDescent="0.4">
      <c r="B344" s="10" t="s">
        <v>501</v>
      </c>
      <c r="C344" s="10" t="s">
        <v>316</v>
      </c>
      <c r="E344" s="1">
        <v>10140</v>
      </c>
    </row>
    <row r="345" spans="2:5" x14ac:dyDescent="0.4">
      <c r="C345" s="11" t="s">
        <v>5</v>
      </c>
      <c r="E345" s="1">
        <v>10140</v>
      </c>
    </row>
    <row r="346" spans="2:5" x14ac:dyDescent="0.4">
      <c r="C346" s="39" t="s">
        <v>359</v>
      </c>
      <c r="D346" s="10" t="s">
        <v>318</v>
      </c>
      <c r="E346" s="1">
        <v>10140</v>
      </c>
    </row>
    <row r="347" spans="2:5" x14ac:dyDescent="0.4">
      <c r="B347" s="10" t="s">
        <v>502</v>
      </c>
      <c r="C347" s="10" t="s">
        <v>316</v>
      </c>
      <c r="E347" s="1">
        <v>119</v>
      </c>
    </row>
    <row r="348" spans="2:5" x14ac:dyDescent="0.4">
      <c r="C348" s="11" t="s">
        <v>2</v>
      </c>
      <c r="E348" s="1">
        <v>119</v>
      </c>
    </row>
    <row r="349" spans="2:5" x14ac:dyDescent="0.4">
      <c r="C349" s="39" t="s">
        <v>321</v>
      </c>
      <c r="D349" s="10" t="s">
        <v>322</v>
      </c>
      <c r="E349" s="1">
        <v>119</v>
      </c>
    </row>
    <row r="350" spans="2:5" x14ac:dyDescent="0.4">
      <c r="B350" s="10" t="s">
        <v>503</v>
      </c>
      <c r="C350" s="10" t="s">
        <v>316</v>
      </c>
      <c r="E350" s="1">
        <v>430.42</v>
      </c>
    </row>
    <row r="351" spans="2:5" x14ac:dyDescent="0.4">
      <c r="C351" s="11" t="s">
        <v>2</v>
      </c>
      <c r="E351" s="1">
        <v>430.42</v>
      </c>
    </row>
    <row r="352" spans="2:5" x14ac:dyDescent="0.4">
      <c r="C352" s="39" t="s">
        <v>321</v>
      </c>
      <c r="D352" s="10" t="s">
        <v>322</v>
      </c>
      <c r="E352" s="1">
        <v>430.42</v>
      </c>
    </row>
    <row r="353" spans="2:5" x14ac:dyDescent="0.4">
      <c r="B353" s="10" t="s">
        <v>504</v>
      </c>
      <c r="C353" s="10" t="s">
        <v>316</v>
      </c>
      <c r="E353" s="1">
        <v>1666.95</v>
      </c>
    </row>
    <row r="354" spans="2:5" x14ac:dyDescent="0.4">
      <c r="C354" s="11" t="s">
        <v>2</v>
      </c>
      <c r="E354" s="1">
        <v>1666.95</v>
      </c>
    </row>
    <row r="355" spans="2:5" x14ac:dyDescent="0.4">
      <c r="C355" s="39" t="s">
        <v>321</v>
      </c>
      <c r="D355" s="10" t="s">
        <v>322</v>
      </c>
      <c r="E355" s="1">
        <v>1666.95</v>
      </c>
    </row>
    <row r="356" spans="2:5" x14ac:dyDescent="0.4">
      <c r="B356" s="10" t="s">
        <v>505</v>
      </c>
      <c r="C356" s="10" t="s">
        <v>316</v>
      </c>
      <c r="E356" s="1">
        <v>2500</v>
      </c>
    </row>
    <row r="357" spans="2:5" x14ac:dyDescent="0.4">
      <c r="C357" s="11" t="s">
        <v>2</v>
      </c>
      <c r="E357" s="1">
        <v>2500</v>
      </c>
    </row>
    <row r="358" spans="2:5" x14ac:dyDescent="0.4">
      <c r="C358" s="39" t="s">
        <v>328</v>
      </c>
      <c r="D358" s="10" t="s">
        <v>322</v>
      </c>
      <c r="E358" s="1">
        <v>2500</v>
      </c>
    </row>
    <row r="359" spans="2:5" x14ac:dyDescent="0.4">
      <c r="B359" s="10" t="s">
        <v>506</v>
      </c>
      <c r="C359" s="10" t="s">
        <v>316</v>
      </c>
      <c r="E359" s="1">
        <v>7818</v>
      </c>
    </row>
    <row r="360" spans="2:5" x14ac:dyDescent="0.4">
      <c r="C360" s="11" t="s">
        <v>2</v>
      </c>
      <c r="E360" s="1">
        <v>7818</v>
      </c>
    </row>
    <row r="361" spans="2:5" x14ac:dyDescent="0.4">
      <c r="C361" s="39" t="s">
        <v>507</v>
      </c>
      <c r="D361" s="10" t="s">
        <v>322</v>
      </c>
      <c r="E361" s="1">
        <v>7818</v>
      </c>
    </row>
    <row r="362" spans="2:5" x14ac:dyDescent="0.4">
      <c r="B362" s="10" t="s">
        <v>508</v>
      </c>
      <c r="C362" s="10" t="s">
        <v>316</v>
      </c>
      <c r="E362" s="1">
        <v>96</v>
      </c>
    </row>
    <row r="363" spans="2:5" x14ac:dyDescent="0.4">
      <c r="C363" s="11" t="s">
        <v>3</v>
      </c>
      <c r="E363" s="1">
        <v>96</v>
      </c>
    </row>
    <row r="364" spans="2:5" x14ac:dyDescent="0.4">
      <c r="C364" s="39" t="s">
        <v>509</v>
      </c>
      <c r="D364" s="10" t="s">
        <v>361</v>
      </c>
      <c r="E364" s="1">
        <v>96</v>
      </c>
    </row>
    <row r="365" spans="2:5" x14ac:dyDescent="0.4">
      <c r="B365" s="10" t="s">
        <v>510</v>
      </c>
      <c r="C365" s="10" t="s">
        <v>316</v>
      </c>
      <c r="E365" s="1">
        <v>319.83999999999997</v>
      </c>
    </row>
    <row r="366" spans="2:5" x14ac:dyDescent="0.4">
      <c r="C366" s="11" t="s">
        <v>2</v>
      </c>
      <c r="E366" s="1">
        <v>319.83999999999997</v>
      </c>
    </row>
    <row r="367" spans="2:5" x14ac:dyDescent="0.4">
      <c r="C367" s="39" t="s">
        <v>328</v>
      </c>
      <c r="D367" s="10" t="s">
        <v>395</v>
      </c>
      <c r="E367" s="1">
        <v>319.83999999999997</v>
      </c>
    </row>
    <row r="368" spans="2:5" x14ac:dyDescent="0.4">
      <c r="B368" s="10" t="s">
        <v>511</v>
      </c>
      <c r="C368" s="10" t="s">
        <v>316</v>
      </c>
      <c r="E368" s="1">
        <v>35.99</v>
      </c>
    </row>
    <row r="369" spans="2:5" x14ac:dyDescent="0.4">
      <c r="C369" s="11" t="s">
        <v>2</v>
      </c>
      <c r="E369" s="1">
        <v>35.99</v>
      </c>
    </row>
    <row r="370" spans="2:5" x14ac:dyDescent="0.4">
      <c r="C370" s="39" t="s">
        <v>512</v>
      </c>
      <c r="D370" s="10" t="s">
        <v>322</v>
      </c>
      <c r="E370" s="1">
        <v>35.99</v>
      </c>
    </row>
    <row r="371" spans="2:5" x14ac:dyDescent="0.4">
      <c r="B371" s="10" t="s">
        <v>513</v>
      </c>
      <c r="C371" s="10" t="s">
        <v>316</v>
      </c>
      <c r="E371" s="1">
        <v>310.44</v>
      </c>
    </row>
    <row r="372" spans="2:5" x14ac:dyDescent="0.4">
      <c r="C372" s="11" t="s">
        <v>3</v>
      </c>
      <c r="E372" s="1">
        <v>310.44</v>
      </c>
    </row>
    <row r="373" spans="2:5" x14ac:dyDescent="0.4">
      <c r="C373" s="39" t="s">
        <v>514</v>
      </c>
      <c r="D373" s="10" t="s">
        <v>322</v>
      </c>
      <c r="E373" s="1">
        <v>310.44</v>
      </c>
    </row>
    <row r="374" spans="2:5" x14ac:dyDescent="0.4">
      <c r="B374" s="10" t="s">
        <v>515</v>
      </c>
      <c r="C374" s="10" t="s">
        <v>316</v>
      </c>
      <c r="E374" s="1">
        <v>95</v>
      </c>
    </row>
    <row r="375" spans="2:5" x14ac:dyDescent="0.4">
      <c r="C375" s="11" t="s">
        <v>3</v>
      </c>
      <c r="E375" s="1">
        <v>95</v>
      </c>
    </row>
    <row r="376" spans="2:5" x14ac:dyDescent="0.4">
      <c r="C376" s="39" t="s">
        <v>516</v>
      </c>
      <c r="D376" s="10" t="s">
        <v>322</v>
      </c>
      <c r="E376" s="1">
        <v>95</v>
      </c>
    </row>
    <row r="377" spans="2:5" x14ac:dyDescent="0.4">
      <c r="B377" s="10" t="s">
        <v>517</v>
      </c>
      <c r="C377" s="10" t="s">
        <v>316</v>
      </c>
      <c r="E377" s="1">
        <v>310</v>
      </c>
    </row>
    <row r="378" spans="2:5" x14ac:dyDescent="0.4">
      <c r="C378" s="11" t="s">
        <v>5</v>
      </c>
      <c r="E378" s="1">
        <v>310</v>
      </c>
    </row>
    <row r="379" spans="2:5" x14ac:dyDescent="0.4">
      <c r="C379" s="39" t="s">
        <v>359</v>
      </c>
      <c r="D379" s="10" t="s">
        <v>318</v>
      </c>
      <c r="E379" s="1">
        <v>310</v>
      </c>
    </row>
    <row r="380" spans="2:5" x14ac:dyDescent="0.4">
      <c r="B380" s="10" t="s">
        <v>518</v>
      </c>
      <c r="C380" s="10" t="s">
        <v>316</v>
      </c>
      <c r="E380" s="1">
        <v>10154.530000000001</v>
      </c>
    </row>
    <row r="381" spans="2:5" x14ac:dyDescent="0.4">
      <c r="C381" s="11" t="s">
        <v>5</v>
      </c>
      <c r="E381" s="1">
        <v>10154.530000000001</v>
      </c>
    </row>
    <row r="382" spans="2:5" x14ac:dyDescent="0.4">
      <c r="C382" s="39" t="s">
        <v>359</v>
      </c>
      <c r="D382" s="10" t="s">
        <v>322</v>
      </c>
      <c r="E382" s="1">
        <v>10154.530000000001</v>
      </c>
    </row>
    <row r="383" spans="2:5" x14ac:dyDescent="0.4">
      <c r="B383" s="10" t="s">
        <v>519</v>
      </c>
      <c r="C383" s="10" t="s">
        <v>316</v>
      </c>
      <c r="E383" s="1">
        <v>420</v>
      </c>
    </row>
    <row r="384" spans="2:5" x14ac:dyDescent="0.4">
      <c r="C384" s="11" t="s">
        <v>3</v>
      </c>
      <c r="E384" s="1">
        <v>420</v>
      </c>
    </row>
    <row r="385" spans="2:5" x14ac:dyDescent="0.4">
      <c r="C385" s="39" t="s">
        <v>520</v>
      </c>
      <c r="D385" s="10" t="s">
        <v>322</v>
      </c>
      <c r="E385" s="1">
        <v>420</v>
      </c>
    </row>
    <row r="386" spans="2:5" x14ac:dyDescent="0.4">
      <c r="B386" s="10" t="s">
        <v>521</v>
      </c>
      <c r="C386" s="10" t="s">
        <v>316</v>
      </c>
      <c r="E386" s="1">
        <v>479.98</v>
      </c>
    </row>
    <row r="387" spans="2:5" x14ac:dyDescent="0.4">
      <c r="C387" s="11" t="s">
        <v>3</v>
      </c>
      <c r="E387" s="1">
        <v>239.99</v>
      </c>
    </row>
    <row r="388" spans="2:5" x14ac:dyDescent="0.4">
      <c r="C388" s="39" t="s">
        <v>343</v>
      </c>
      <c r="D388" s="10" t="s">
        <v>322</v>
      </c>
      <c r="E388" s="1">
        <v>239.99</v>
      </c>
    </row>
    <row r="389" spans="2:5" x14ac:dyDescent="0.4">
      <c r="C389" s="11" t="s">
        <v>4</v>
      </c>
      <c r="E389" s="1">
        <v>239.99</v>
      </c>
    </row>
    <row r="390" spans="2:5" x14ac:dyDescent="0.4">
      <c r="C390" s="39" t="s">
        <v>423</v>
      </c>
      <c r="D390" s="10" t="s">
        <v>322</v>
      </c>
      <c r="E390" s="1">
        <v>239.99</v>
      </c>
    </row>
    <row r="391" spans="2:5" x14ac:dyDescent="0.4">
      <c r="B391" s="10" t="s">
        <v>522</v>
      </c>
      <c r="C391" s="10" t="s">
        <v>316</v>
      </c>
      <c r="E391" s="1">
        <v>297</v>
      </c>
    </row>
    <row r="392" spans="2:5" x14ac:dyDescent="0.4">
      <c r="C392" s="11" t="s">
        <v>3</v>
      </c>
      <c r="E392" s="1">
        <v>297</v>
      </c>
    </row>
    <row r="393" spans="2:5" x14ac:dyDescent="0.4">
      <c r="C393" s="39" t="s">
        <v>343</v>
      </c>
      <c r="D393" s="10" t="s">
        <v>322</v>
      </c>
      <c r="E393" s="1">
        <v>297</v>
      </c>
    </row>
    <row r="394" spans="2:5" x14ac:dyDescent="0.4">
      <c r="B394" s="10" t="s">
        <v>523</v>
      </c>
      <c r="C394" s="10" t="s">
        <v>316</v>
      </c>
      <c r="E394" s="1">
        <v>735</v>
      </c>
    </row>
    <row r="395" spans="2:5" x14ac:dyDescent="0.4">
      <c r="C395" s="11" t="s">
        <v>4</v>
      </c>
      <c r="E395" s="1">
        <v>735</v>
      </c>
    </row>
    <row r="396" spans="2:5" x14ac:dyDescent="0.4">
      <c r="C396" s="39" t="s">
        <v>386</v>
      </c>
      <c r="D396" s="10" t="s">
        <v>322</v>
      </c>
      <c r="E396" s="1">
        <v>735</v>
      </c>
    </row>
    <row r="397" spans="2:5" x14ac:dyDescent="0.4">
      <c r="B397" s="10" t="s">
        <v>524</v>
      </c>
      <c r="C397" s="10" t="s">
        <v>316</v>
      </c>
      <c r="E397" s="1">
        <v>2579.4</v>
      </c>
    </row>
    <row r="398" spans="2:5" x14ac:dyDescent="0.4">
      <c r="C398" s="11" t="s">
        <v>3</v>
      </c>
      <c r="E398" s="1">
        <v>2579.4</v>
      </c>
    </row>
    <row r="399" spans="2:5" x14ac:dyDescent="0.4">
      <c r="C399" s="39" t="s">
        <v>343</v>
      </c>
      <c r="D399" s="10" t="s">
        <v>395</v>
      </c>
      <c r="E399" s="1">
        <v>2579.4</v>
      </c>
    </row>
    <row r="400" spans="2:5" x14ac:dyDescent="0.4">
      <c r="B400" s="10" t="s">
        <v>525</v>
      </c>
      <c r="C400" s="10" t="s">
        <v>316</v>
      </c>
      <c r="E400" s="1">
        <v>179</v>
      </c>
    </row>
    <row r="401" spans="2:5" x14ac:dyDescent="0.4">
      <c r="C401" s="11" t="s">
        <v>3</v>
      </c>
      <c r="E401" s="1">
        <v>179</v>
      </c>
    </row>
    <row r="402" spans="2:5" x14ac:dyDescent="0.4">
      <c r="C402" s="39" t="s">
        <v>343</v>
      </c>
      <c r="D402" s="10" t="s">
        <v>322</v>
      </c>
      <c r="E402" s="1">
        <v>179</v>
      </c>
    </row>
    <row r="403" spans="2:5" x14ac:dyDescent="0.4">
      <c r="B403" s="10" t="s">
        <v>526</v>
      </c>
      <c r="C403" s="10" t="s">
        <v>316</v>
      </c>
      <c r="E403" s="1">
        <v>1830</v>
      </c>
    </row>
    <row r="404" spans="2:5" x14ac:dyDescent="0.4">
      <c r="C404" s="11" t="s">
        <v>5</v>
      </c>
      <c r="E404" s="1">
        <v>1830</v>
      </c>
    </row>
    <row r="405" spans="2:5" x14ac:dyDescent="0.4">
      <c r="C405" s="39" t="s">
        <v>359</v>
      </c>
      <c r="D405" s="10" t="s">
        <v>361</v>
      </c>
      <c r="E405" s="1">
        <v>1830</v>
      </c>
    </row>
    <row r="406" spans="2:5" x14ac:dyDescent="0.4">
      <c r="B406" s="10" t="s">
        <v>527</v>
      </c>
      <c r="C406" s="10" t="s">
        <v>316</v>
      </c>
      <c r="E406" s="1">
        <v>107.99</v>
      </c>
    </row>
    <row r="407" spans="2:5" x14ac:dyDescent="0.4">
      <c r="C407" s="11" t="s">
        <v>3</v>
      </c>
      <c r="E407" s="1">
        <v>107.99</v>
      </c>
    </row>
    <row r="408" spans="2:5" x14ac:dyDescent="0.4">
      <c r="C408" s="39" t="s">
        <v>429</v>
      </c>
      <c r="D408" s="10" t="s">
        <v>322</v>
      </c>
      <c r="E408" s="1">
        <v>107.99</v>
      </c>
    </row>
    <row r="409" spans="2:5" x14ac:dyDescent="0.4">
      <c r="B409" s="10" t="s">
        <v>528</v>
      </c>
      <c r="C409" s="10" t="s">
        <v>316</v>
      </c>
      <c r="E409" s="1">
        <v>3075.3</v>
      </c>
    </row>
    <row r="410" spans="2:5" x14ac:dyDescent="0.4">
      <c r="C410" s="11" t="s">
        <v>3</v>
      </c>
      <c r="E410" s="1">
        <v>3075.3</v>
      </c>
    </row>
    <row r="411" spans="2:5" x14ac:dyDescent="0.4">
      <c r="C411" s="39" t="s">
        <v>529</v>
      </c>
      <c r="D411" s="10" t="s">
        <v>395</v>
      </c>
      <c r="E411" s="1">
        <v>3075.3</v>
      </c>
    </row>
    <row r="412" spans="2:5" x14ac:dyDescent="0.4">
      <c r="B412" s="10" t="s">
        <v>530</v>
      </c>
      <c r="C412" s="10" t="s">
        <v>316</v>
      </c>
      <c r="E412" s="1">
        <v>165.06</v>
      </c>
    </row>
    <row r="413" spans="2:5" x14ac:dyDescent="0.4">
      <c r="C413" s="11" t="s">
        <v>3</v>
      </c>
      <c r="E413" s="1">
        <v>165.06</v>
      </c>
    </row>
    <row r="414" spans="2:5" x14ac:dyDescent="0.4">
      <c r="C414" s="39" t="s">
        <v>529</v>
      </c>
      <c r="D414" s="10" t="s">
        <v>322</v>
      </c>
      <c r="E414" s="1">
        <v>165.06</v>
      </c>
    </row>
    <row r="415" spans="2:5" x14ac:dyDescent="0.4">
      <c r="B415" s="10" t="s">
        <v>531</v>
      </c>
      <c r="C415" s="10" t="s">
        <v>316</v>
      </c>
      <c r="E415" s="1">
        <v>3241.9</v>
      </c>
    </row>
    <row r="416" spans="2:5" x14ac:dyDescent="0.4">
      <c r="C416" s="11" t="s">
        <v>3</v>
      </c>
      <c r="E416" s="1">
        <v>3241.9</v>
      </c>
    </row>
    <row r="417" spans="2:5" x14ac:dyDescent="0.4">
      <c r="C417" s="39" t="s">
        <v>529</v>
      </c>
      <c r="D417" s="10" t="s">
        <v>322</v>
      </c>
      <c r="E417" s="1">
        <v>3241.9</v>
      </c>
    </row>
    <row r="418" spans="2:5" x14ac:dyDescent="0.4">
      <c r="B418" s="10" t="s">
        <v>532</v>
      </c>
      <c r="C418" s="10" t="s">
        <v>316</v>
      </c>
      <c r="E418" s="1">
        <v>576</v>
      </c>
    </row>
    <row r="419" spans="2:5" x14ac:dyDescent="0.4">
      <c r="C419" s="11" t="s">
        <v>4</v>
      </c>
      <c r="E419" s="1">
        <v>576</v>
      </c>
    </row>
    <row r="420" spans="2:5" x14ac:dyDescent="0.4">
      <c r="C420" s="39" t="s">
        <v>533</v>
      </c>
      <c r="D420" s="10" t="s">
        <v>322</v>
      </c>
      <c r="E420" s="1">
        <v>576</v>
      </c>
    </row>
    <row r="421" spans="2:5" x14ac:dyDescent="0.4">
      <c r="B421" s="10" t="s">
        <v>534</v>
      </c>
      <c r="C421" s="10" t="s">
        <v>316</v>
      </c>
      <c r="E421" s="1">
        <v>1537.65</v>
      </c>
    </row>
    <row r="422" spans="2:5" x14ac:dyDescent="0.4">
      <c r="C422" s="11" t="s">
        <v>4</v>
      </c>
      <c r="E422" s="1">
        <v>1537.65</v>
      </c>
    </row>
    <row r="423" spans="2:5" x14ac:dyDescent="0.4">
      <c r="C423" s="39" t="s">
        <v>535</v>
      </c>
      <c r="D423" s="10" t="s">
        <v>322</v>
      </c>
      <c r="E423" s="1">
        <v>1537.65</v>
      </c>
    </row>
    <row r="424" spans="2:5" x14ac:dyDescent="0.4">
      <c r="B424" s="10" t="s">
        <v>536</v>
      </c>
      <c r="C424" s="10" t="s">
        <v>316</v>
      </c>
      <c r="E424" s="1">
        <v>1225</v>
      </c>
    </row>
    <row r="425" spans="2:5" x14ac:dyDescent="0.4">
      <c r="C425" s="11" t="s">
        <v>4</v>
      </c>
      <c r="E425" s="1">
        <v>1225</v>
      </c>
    </row>
    <row r="426" spans="2:5" x14ac:dyDescent="0.4">
      <c r="C426" s="39" t="s">
        <v>537</v>
      </c>
      <c r="D426" s="10" t="s">
        <v>322</v>
      </c>
      <c r="E426" s="1">
        <v>1225</v>
      </c>
    </row>
    <row r="427" spans="2:5" x14ac:dyDescent="0.4">
      <c r="B427" s="10" t="s">
        <v>538</v>
      </c>
      <c r="C427" s="10" t="s">
        <v>316</v>
      </c>
      <c r="E427" s="1">
        <v>636</v>
      </c>
    </row>
    <row r="428" spans="2:5" x14ac:dyDescent="0.4">
      <c r="C428" s="11" t="s">
        <v>5</v>
      </c>
      <c r="E428" s="1">
        <v>636</v>
      </c>
    </row>
    <row r="429" spans="2:5" x14ac:dyDescent="0.4">
      <c r="C429" s="39" t="s">
        <v>359</v>
      </c>
      <c r="D429" s="10" t="s">
        <v>539</v>
      </c>
      <c r="E429" s="1">
        <v>636</v>
      </c>
    </row>
    <row r="430" spans="2:5" x14ac:dyDescent="0.4">
      <c r="B430" s="10" t="s">
        <v>540</v>
      </c>
      <c r="C430" s="10" t="s">
        <v>316</v>
      </c>
      <c r="E430" s="1">
        <v>0</v>
      </c>
    </row>
    <row r="431" spans="2:5" x14ac:dyDescent="0.4">
      <c r="C431" s="11" t="s">
        <v>4</v>
      </c>
      <c r="E431" s="1">
        <v>0</v>
      </c>
    </row>
    <row r="432" spans="2:5" x14ac:dyDescent="0.4">
      <c r="C432" s="39" t="s">
        <v>386</v>
      </c>
      <c r="D432" s="10" t="s">
        <v>361</v>
      </c>
      <c r="E432" s="1">
        <v>0</v>
      </c>
    </row>
    <row r="433" spans="2:5" x14ac:dyDescent="0.4">
      <c r="B433" s="10" t="s">
        <v>541</v>
      </c>
      <c r="C433" s="10" t="s">
        <v>316</v>
      </c>
      <c r="E433" s="1">
        <v>465</v>
      </c>
    </row>
    <row r="434" spans="2:5" x14ac:dyDescent="0.4">
      <c r="C434" s="11" t="s">
        <v>4</v>
      </c>
      <c r="E434" s="1">
        <v>465</v>
      </c>
    </row>
    <row r="435" spans="2:5" x14ac:dyDescent="0.4">
      <c r="C435" s="39" t="s">
        <v>542</v>
      </c>
      <c r="D435" s="10" t="s">
        <v>322</v>
      </c>
      <c r="E435" s="1">
        <v>465</v>
      </c>
    </row>
    <row r="436" spans="2:5" x14ac:dyDescent="0.4">
      <c r="B436" s="10" t="s">
        <v>543</v>
      </c>
      <c r="C436" s="10" t="s">
        <v>316</v>
      </c>
      <c r="E436" s="1">
        <v>0</v>
      </c>
    </row>
    <row r="437" spans="2:5" x14ac:dyDescent="0.4">
      <c r="C437" s="11" t="s">
        <v>5</v>
      </c>
      <c r="E437" s="1">
        <v>0</v>
      </c>
    </row>
    <row r="438" spans="2:5" x14ac:dyDescent="0.4">
      <c r="C438" s="39" t="s">
        <v>359</v>
      </c>
      <c r="D438" s="10" t="s">
        <v>539</v>
      </c>
      <c r="E438" s="1">
        <v>0</v>
      </c>
    </row>
    <row r="439" spans="2:5" x14ac:dyDescent="0.4">
      <c r="B439" s="10" t="s">
        <v>544</v>
      </c>
      <c r="C439" s="10" t="s">
        <v>316</v>
      </c>
      <c r="E439" s="1">
        <v>500</v>
      </c>
    </row>
    <row r="440" spans="2:5" x14ac:dyDescent="0.4">
      <c r="C440" s="11" t="s">
        <v>5</v>
      </c>
      <c r="E440" s="1">
        <v>500</v>
      </c>
    </row>
    <row r="441" spans="2:5" x14ac:dyDescent="0.4">
      <c r="C441" s="39" t="s">
        <v>359</v>
      </c>
      <c r="D441" s="10" t="s">
        <v>318</v>
      </c>
      <c r="E441" s="1">
        <v>500</v>
      </c>
    </row>
    <row r="442" spans="2:5" x14ac:dyDescent="0.4">
      <c r="B442" s="10" t="s">
        <v>545</v>
      </c>
      <c r="C442" s="10" t="s">
        <v>316</v>
      </c>
      <c r="E442" s="1">
        <v>177.62</v>
      </c>
    </row>
    <row r="443" spans="2:5" x14ac:dyDescent="0.4">
      <c r="C443" s="11" t="s">
        <v>4</v>
      </c>
      <c r="E443" s="1">
        <v>177.62</v>
      </c>
    </row>
    <row r="444" spans="2:5" x14ac:dyDescent="0.4">
      <c r="C444" s="39" t="s">
        <v>542</v>
      </c>
      <c r="D444" s="10" t="s">
        <v>322</v>
      </c>
      <c r="E444" s="1">
        <v>177.62</v>
      </c>
    </row>
    <row r="445" spans="2:5" x14ac:dyDescent="0.4">
      <c r="B445" s="10" t="s">
        <v>546</v>
      </c>
      <c r="C445" s="10" t="s">
        <v>316</v>
      </c>
      <c r="E445" s="1">
        <v>179.97</v>
      </c>
    </row>
    <row r="446" spans="2:5" x14ac:dyDescent="0.4">
      <c r="C446" s="11" t="s">
        <v>4</v>
      </c>
      <c r="E446" s="1">
        <v>179.97</v>
      </c>
    </row>
    <row r="447" spans="2:5" x14ac:dyDescent="0.4">
      <c r="C447" s="39" t="s">
        <v>423</v>
      </c>
      <c r="D447" s="10" t="s">
        <v>322</v>
      </c>
      <c r="E447" s="1">
        <v>179.97</v>
      </c>
    </row>
    <row r="448" spans="2:5" x14ac:dyDescent="0.4">
      <c r="B448" s="10" t="s">
        <v>547</v>
      </c>
      <c r="C448" s="10" t="s">
        <v>316</v>
      </c>
      <c r="E448" s="1">
        <v>1469.74</v>
      </c>
    </row>
    <row r="449" spans="2:5" x14ac:dyDescent="0.4">
      <c r="C449" s="11" t="s">
        <v>4</v>
      </c>
      <c r="E449" s="1">
        <v>1469.74</v>
      </c>
    </row>
    <row r="450" spans="2:5" x14ac:dyDescent="0.4">
      <c r="C450" s="39" t="s">
        <v>542</v>
      </c>
      <c r="D450" s="10" t="s">
        <v>322</v>
      </c>
      <c r="E450" s="1">
        <v>1469.74</v>
      </c>
    </row>
    <row r="451" spans="2:5" x14ac:dyDescent="0.4">
      <c r="B451" s="10" t="s">
        <v>548</v>
      </c>
      <c r="C451" s="10" t="s">
        <v>316</v>
      </c>
      <c r="E451" s="1">
        <v>1280.49</v>
      </c>
    </row>
    <row r="452" spans="2:5" x14ac:dyDescent="0.4">
      <c r="C452" s="11" t="s">
        <v>4</v>
      </c>
      <c r="E452" s="1">
        <v>1280.49</v>
      </c>
    </row>
    <row r="453" spans="2:5" x14ac:dyDescent="0.4">
      <c r="C453" s="39" t="s">
        <v>549</v>
      </c>
      <c r="D453" s="10" t="s">
        <v>322</v>
      </c>
      <c r="E453" s="1">
        <v>1280.49</v>
      </c>
    </row>
    <row r="454" spans="2:5" x14ac:dyDescent="0.4">
      <c r="B454" s="10" t="s">
        <v>550</v>
      </c>
      <c r="C454" s="10" t="s">
        <v>316</v>
      </c>
      <c r="E454" s="1">
        <v>2289.5</v>
      </c>
    </row>
    <row r="455" spans="2:5" x14ac:dyDescent="0.4">
      <c r="C455" s="11" t="s">
        <v>5</v>
      </c>
      <c r="E455" s="1">
        <v>2289.5</v>
      </c>
    </row>
    <row r="456" spans="2:5" x14ac:dyDescent="0.4">
      <c r="C456" s="39" t="s">
        <v>359</v>
      </c>
      <c r="D456" s="10" t="s">
        <v>361</v>
      </c>
      <c r="E456" s="1">
        <v>2289.5</v>
      </c>
    </row>
    <row r="457" spans="2:5" x14ac:dyDescent="0.4">
      <c r="B457" s="10" t="s">
        <v>551</v>
      </c>
      <c r="C457" s="10" t="s">
        <v>316</v>
      </c>
      <c r="E457" s="1">
        <v>559.57000000000005</v>
      </c>
    </row>
    <row r="458" spans="2:5" x14ac:dyDescent="0.4">
      <c r="C458" s="11" t="s">
        <v>4</v>
      </c>
      <c r="E458" s="1">
        <v>559.57000000000005</v>
      </c>
    </row>
    <row r="459" spans="2:5" x14ac:dyDescent="0.4">
      <c r="C459" s="39" t="s">
        <v>552</v>
      </c>
      <c r="D459" s="10" t="s">
        <v>322</v>
      </c>
      <c r="E459" s="1">
        <v>559.57000000000005</v>
      </c>
    </row>
    <row r="460" spans="2:5" x14ac:dyDescent="0.4">
      <c r="B460" s="10" t="s">
        <v>553</v>
      </c>
      <c r="C460" s="10" t="s">
        <v>316</v>
      </c>
      <c r="E460" s="1">
        <v>0</v>
      </c>
    </row>
    <row r="461" spans="2:5" x14ac:dyDescent="0.4">
      <c r="C461" s="11" t="s">
        <v>5</v>
      </c>
      <c r="E461" s="1">
        <v>0</v>
      </c>
    </row>
    <row r="462" spans="2:5" x14ac:dyDescent="0.4">
      <c r="C462" s="39" t="s">
        <v>359</v>
      </c>
      <c r="D462" s="10" t="s">
        <v>361</v>
      </c>
      <c r="E462" s="1">
        <v>0</v>
      </c>
    </row>
    <row r="463" spans="2:5" x14ac:dyDescent="0.4">
      <c r="B463" s="10" t="s">
        <v>554</v>
      </c>
      <c r="C463" s="10" t="s">
        <v>316</v>
      </c>
      <c r="E463" s="1">
        <v>2869.58</v>
      </c>
    </row>
    <row r="464" spans="2:5" x14ac:dyDescent="0.4">
      <c r="C464" s="11" t="s">
        <v>4</v>
      </c>
      <c r="E464" s="1">
        <v>2869.58</v>
      </c>
    </row>
    <row r="465" spans="1:5" x14ac:dyDescent="0.4">
      <c r="C465" s="39" t="s">
        <v>555</v>
      </c>
      <c r="D465" s="10" t="s">
        <v>322</v>
      </c>
      <c r="E465" s="1">
        <v>2869.58</v>
      </c>
    </row>
    <row r="466" spans="1:5" x14ac:dyDescent="0.4">
      <c r="B466" s="10" t="s">
        <v>556</v>
      </c>
      <c r="C466" s="10" t="s">
        <v>316</v>
      </c>
      <c r="E466" s="1">
        <v>4307.7</v>
      </c>
    </row>
    <row r="467" spans="1:5" x14ac:dyDescent="0.4">
      <c r="C467" s="11" t="s">
        <v>4</v>
      </c>
      <c r="E467" s="1">
        <v>4307.7</v>
      </c>
    </row>
    <row r="468" spans="1:5" x14ac:dyDescent="0.4">
      <c r="C468" s="39" t="s">
        <v>557</v>
      </c>
      <c r="D468" s="10" t="s">
        <v>329</v>
      </c>
      <c r="E468" s="1">
        <v>4307.7</v>
      </c>
    </row>
    <row r="469" spans="1:5" x14ac:dyDescent="0.4">
      <c r="B469" s="10" t="s">
        <v>558</v>
      </c>
      <c r="C469" s="10" t="s">
        <v>316</v>
      </c>
      <c r="E469" s="1">
        <v>0</v>
      </c>
    </row>
    <row r="470" spans="1:5" x14ac:dyDescent="0.4">
      <c r="C470" s="11" t="s">
        <v>5</v>
      </c>
      <c r="E470" s="1">
        <v>0</v>
      </c>
    </row>
    <row r="471" spans="1:5" x14ac:dyDescent="0.4">
      <c r="C471" s="39" t="s">
        <v>359</v>
      </c>
      <c r="D471" s="10" t="s">
        <v>322</v>
      </c>
      <c r="E471" s="1">
        <v>0</v>
      </c>
    </row>
    <row r="472" spans="1:5" x14ac:dyDescent="0.4">
      <c r="B472" s="10" t="s">
        <v>559</v>
      </c>
      <c r="C472" s="10" t="s">
        <v>316</v>
      </c>
      <c r="E472" s="1">
        <v>9037.56</v>
      </c>
    </row>
    <row r="473" spans="1:5" x14ac:dyDescent="0.4">
      <c r="C473" s="11" t="s">
        <v>5</v>
      </c>
      <c r="E473" s="1">
        <v>9037.56</v>
      </c>
    </row>
    <row r="474" spans="1:5" x14ac:dyDescent="0.4">
      <c r="C474" s="39" t="s">
        <v>359</v>
      </c>
      <c r="D474" s="10" t="s">
        <v>395</v>
      </c>
      <c r="E474" s="1">
        <v>9037.56</v>
      </c>
    </row>
    <row r="475" spans="1:5" x14ac:dyDescent="0.4">
      <c r="A475" s="10" t="s">
        <v>560</v>
      </c>
      <c r="B475" s="10" t="s">
        <v>368</v>
      </c>
      <c r="C475" s="10" t="s">
        <v>316</v>
      </c>
      <c r="E475" s="1">
        <v>5000</v>
      </c>
    </row>
    <row r="476" spans="1:5" x14ac:dyDescent="0.4">
      <c r="C476" s="11" t="s">
        <v>10</v>
      </c>
      <c r="E476" s="1">
        <v>5000</v>
      </c>
    </row>
    <row r="477" spans="1:5" x14ac:dyDescent="0.4">
      <c r="C477" s="39" t="s">
        <v>561</v>
      </c>
      <c r="D477" s="10" t="s">
        <v>539</v>
      </c>
      <c r="E477" s="1">
        <v>5000</v>
      </c>
    </row>
    <row r="478" spans="1:5" x14ac:dyDescent="0.4">
      <c r="B478" s="10" t="s">
        <v>562</v>
      </c>
      <c r="C478" s="10" t="s">
        <v>316</v>
      </c>
      <c r="E478" s="1">
        <v>7000</v>
      </c>
    </row>
    <row r="479" spans="1:5" x14ac:dyDescent="0.4">
      <c r="C479" s="11" t="s">
        <v>5</v>
      </c>
      <c r="E479" s="1">
        <v>7000</v>
      </c>
    </row>
    <row r="480" spans="1:5" x14ac:dyDescent="0.4">
      <c r="C480" s="39" t="s">
        <v>483</v>
      </c>
      <c r="D480" s="10" t="s">
        <v>361</v>
      </c>
      <c r="E480" s="1">
        <v>7000</v>
      </c>
    </row>
    <row r="481" spans="1:5" x14ac:dyDescent="0.4">
      <c r="B481" s="10" t="s">
        <v>434</v>
      </c>
      <c r="C481" s="10" t="s">
        <v>316</v>
      </c>
      <c r="E481" s="1">
        <v>250</v>
      </c>
    </row>
    <row r="482" spans="1:5" x14ac:dyDescent="0.4">
      <c r="C482" s="11" t="s">
        <v>6</v>
      </c>
      <c r="E482" s="1">
        <v>250</v>
      </c>
    </row>
    <row r="483" spans="1:5" x14ac:dyDescent="0.4">
      <c r="C483" s="39" t="s">
        <v>415</v>
      </c>
      <c r="D483" s="10" t="s">
        <v>361</v>
      </c>
      <c r="E483" s="1">
        <v>250</v>
      </c>
    </row>
    <row r="484" spans="1:5" x14ac:dyDescent="0.4">
      <c r="B484" s="10" t="s">
        <v>475</v>
      </c>
      <c r="C484" s="10" t="s">
        <v>316</v>
      </c>
      <c r="E484" s="1">
        <v>76.510000000000005</v>
      </c>
    </row>
    <row r="485" spans="1:5" x14ac:dyDescent="0.4">
      <c r="C485" s="11" t="s">
        <v>2</v>
      </c>
      <c r="E485" s="1">
        <v>76.510000000000005</v>
      </c>
    </row>
    <row r="486" spans="1:5" x14ac:dyDescent="0.4">
      <c r="C486" s="39" t="s">
        <v>500</v>
      </c>
      <c r="D486" s="10" t="s">
        <v>329</v>
      </c>
      <c r="E486" s="1">
        <v>76.510000000000005</v>
      </c>
    </row>
    <row r="487" spans="1:5" x14ac:dyDescent="0.4">
      <c r="A487" s="10" t="s">
        <v>563</v>
      </c>
      <c r="B487" s="10" t="s">
        <v>564</v>
      </c>
      <c r="C487" s="10" t="s">
        <v>316</v>
      </c>
      <c r="E487" s="1">
        <v>1365.51</v>
      </c>
    </row>
    <row r="488" spans="1:5" x14ac:dyDescent="0.4">
      <c r="C488" s="11" t="s">
        <v>1</v>
      </c>
      <c r="E488" s="1">
        <v>1365.51</v>
      </c>
    </row>
    <row r="489" spans="1:5" x14ac:dyDescent="0.4">
      <c r="C489" s="39" t="s">
        <v>373</v>
      </c>
      <c r="D489" s="10" t="s">
        <v>322</v>
      </c>
      <c r="E489" s="1">
        <v>1365.51</v>
      </c>
    </row>
    <row r="490" spans="1:5" x14ac:dyDescent="0.4">
      <c r="A490" s="10" t="s">
        <v>565</v>
      </c>
      <c r="B490" s="10" t="s">
        <v>320</v>
      </c>
      <c r="C490" s="10" t="s">
        <v>316</v>
      </c>
      <c r="E490" s="1">
        <v>400</v>
      </c>
    </row>
    <row r="491" spans="1:5" x14ac:dyDescent="0.4">
      <c r="C491" s="11" t="s">
        <v>1</v>
      </c>
      <c r="E491" s="1">
        <v>400</v>
      </c>
    </row>
    <row r="492" spans="1:5" x14ac:dyDescent="0.4">
      <c r="C492" s="39" t="s">
        <v>392</v>
      </c>
      <c r="D492" s="10" t="s">
        <v>322</v>
      </c>
      <c r="E492" s="1">
        <v>400</v>
      </c>
    </row>
    <row r="493" spans="1:5" x14ac:dyDescent="0.4">
      <c r="B493" s="10" t="s">
        <v>566</v>
      </c>
      <c r="C493" s="10" t="s">
        <v>316</v>
      </c>
      <c r="E493" s="1">
        <v>12164.15</v>
      </c>
    </row>
    <row r="494" spans="1:5" x14ac:dyDescent="0.4">
      <c r="C494" s="11" t="s">
        <v>5</v>
      </c>
      <c r="E494" s="1">
        <v>12164.15</v>
      </c>
    </row>
    <row r="495" spans="1:5" x14ac:dyDescent="0.4">
      <c r="C495" s="39" t="s">
        <v>359</v>
      </c>
      <c r="D495" s="10" t="s">
        <v>395</v>
      </c>
      <c r="E495" s="1">
        <v>12164.15</v>
      </c>
    </row>
    <row r="496" spans="1:5" x14ac:dyDescent="0.4">
      <c r="B496" s="10" t="s">
        <v>567</v>
      </c>
      <c r="C496" s="10" t="s">
        <v>316</v>
      </c>
      <c r="E496" s="1">
        <v>0</v>
      </c>
    </row>
    <row r="497" spans="1:5" x14ac:dyDescent="0.4">
      <c r="C497" s="11" t="s">
        <v>1</v>
      </c>
      <c r="E497" s="1">
        <v>0</v>
      </c>
    </row>
    <row r="498" spans="1:5" x14ac:dyDescent="0.4">
      <c r="C498" s="39" t="s">
        <v>373</v>
      </c>
      <c r="D498" s="10" t="s">
        <v>395</v>
      </c>
      <c r="E498" s="1">
        <v>0</v>
      </c>
    </row>
    <row r="499" spans="1:5" x14ac:dyDescent="0.4">
      <c r="A499" s="10" t="s">
        <v>568</v>
      </c>
      <c r="B499" s="10" t="s">
        <v>368</v>
      </c>
      <c r="C499" s="10" t="s">
        <v>316</v>
      </c>
      <c r="E499" s="1">
        <v>3000</v>
      </c>
    </row>
    <row r="500" spans="1:5" x14ac:dyDescent="0.4">
      <c r="C500" s="11" t="s">
        <v>6</v>
      </c>
      <c r="E500" s="1">
        <v>3000</v>
      </c>
    </row>
    <row r="501" spans="1:5" x14ac:dyDescent="0.4">
      <c r="C501" s="39" t="s">
        <v>569</v>
      </c>
      <c r="D501" s="10" t="s">
        <v>318</v>
      </c>
      <c r="E501" s="1">
        <v>3000</v>
      </c>
    </row>
    <row r="502" spans="1:5" x14ac:dyDescent="0.4">
      <c r="B502" s="10" t="s">
        <v>390</v>
      </c>
      <c r="C502" s="10" t="s">
        <v>316</v>
      </c>
      <c r="E502" s="1">
        <v>695</v>
      </c>
    </row>
    <row r="503" spans="1:5" x14ac:dyDescent="0.4">
      <c r="C503" s="11" t="s">
        <v>3</v>
      </c>
      <c r="E503" s="1">
        <v>695</v>
      </c>
    </row>
    <row r="504" spans="1:5" x14ac:dyDescent="0.4">
      <c r="C504" s="39" t="s">
        <v>343</v>
      </c>
      <c r="D504" s="10" t="s">
        <v>329</v>
      </c>
      <c r="E504" s="1">
        <v>695</v>
      </c>
    </row>
    <row r="505" spans="1:5" x14ac:dyDescent="0.4">
      <c r="B505" s="10" t="s">
        <v>570</v>
      </c>
      <c r="C505" s="10" t="s">
        <v>316</v>
      </c>
      <c r="E505" s="1">
        <v>825</v>
      </c>
    </row>
    <row r="506" spans="1:5" x14ac:dyDescent="0.4">
      <c r="C506" s="11" t="s">
        <v>2</v>
      </c>
      <c r="E506" s="1">
        <v>825</v>
      </c>
    </row>
    <row r="507" spans="1:5" x14ac:dyDescent="0.4">
      <c r="C507" s="39" t="s">
        <v>489</v>
      </c>
      <c r="D507" s="10" t="s">
        <v>322</v>
      </c>
      <c r="E507" s="1">
        <v>825</v>
      </c>
    </row>
    <row r="508" spans="1:5" x14ac:dyDescent="0.4">
      <c r="B508" s="10" t="s">
        <v>571</v>
      </c>
      <c r="C508" s="10" t="s">
        <v>316</v>
      </c>
      <c r="E508" s="1">
        <v>1775.37</v>
      </c>
    </row>
    <row r="509" spans="1:5" x14ac:dyDescent="0.4">
      <c r="C509" s="11" t="s">
        <v>4</v>
      </c>
      <c r="E509" s="1">
        <v>1775.37</v>
      </c>
    </row>
    <row r="510" spans="1:5" x14ac:dyDescent="0.4">
      <c r="C510" s="39" t="s">
        <v>386</v>
      </c>
      <c r="D510" s="10" t="s">
        <v>329</v>
      </c>
      <c r="E510" s="1">
        <v>1775.37</v>
      </c>
    </row>
    <row r="511" spans="1:5" x14ac:dyDescent="0.4">
      <c r="A511" s="10" t="s">
        <v>197</v>
      </c>
      <c r="B511" s="10" t="s">
        <v>572</v>
      </c>
      <c r="C511" s="10" t="s">
        <v>316</v>
      </c>
      <c r="E511" s="1">
        <v>5000</v>
      </c>
    </row>
    <row r="512" spans="1:5" x14ac:dyDescent="0.4">
      <c r="C512" s="11" t="s">
        <v>12</v>
      </c>
      <c r="E512" s="1">
        <v>5000</v>
      </c>
    </row>
    <row r="513" spans="2:5" x14ac:dyDescent="0.4">
      <c r="C513" s="39" t="s">
        <v>398</v>
      </c>
      <c r="D513" s="10" t="s">
        <v>573</v>
      </c>
      <c r="E513" s="1">
        <v>5000</v>
      </c>
    </row>
    <row r="514" spans="2:5" x14ac:dyDescent="0.4">
      <c r="B514" s="10" t="s">
        <v>574</v>
      </c>
      <c r="C514" s="10" t="s">
        <v>316</v>
      </c>
      <c r="E514" s="1">
        <v>10000</v>
      </c>
    </row>
    <row r="515" spans="2:5" x14ac:dyDescent="0.4">
      <c r="C515" s="11" t="s">
        <v>12</v>
      </c>
      <c r="E515" s="1">
        <v>10000</v>
      </c>
    </row>
    <row r="516" spans="2:5" x14ac:dyDescent="0.4">
      <c r="C516" s="39" t="s">
        <v>398</v>
      </c>
      <c r="D516" s="10" t="s">
        <v>573</v>
      </c>
      <c r="E516" s="1">
        <v>10000</v>
      </c>
    </row>
    <row r="517" spans="2:5" x14ac:dyDescent="0.4">
      <c r="B517" s="10" t="s">
        <v>575</v>
      </c>
      <c r="C517" s="10" t="s">
        <v>316</v>
      </c>
      <c r="E517" s="1">
        <v>770.99</v>
      </c>
    </row>
    <row r="518" spans="2:5" x14ac:dyDescent="0.4">
      <c r="C518" s="11" t="s">
        <v>2</v>
      </c>
      <c r="E518" s="1">
        <v>770.99</v>
      </c>
    </row>
    <row r="519" spans="2:5" x14ac:dyDescent="0.4">
      <c r="C519" s="39" t="s">
        <v>418</v>
      </c>
      <c r="D519" s="10" t="s">
        <v>322</v>
      </c>
      <c r="E519" s="1">
        <v>770.99</v>
      </c>
    </row>
    <row r="520" spans="2:5" x14ac:dyDescent="0.4">
      <c r="B520" s="10" t="s">
        <v>576</v>
      </c>
      <c r="C520" s="10" t="s">
        <v>316</v>
      </c>
      <c r="E520" s="1">
        <v>186.99</v>
      </c>
    </row>
    <row r="521" spans="2:5" x14ac:dyDescent="0.4">
      <c r="C521" s="11" t="s">
        <v>1</v>
      </c>
      <c r="E521" s="1">
        <v>186.99</v>
      </c>
    </row>
    <row r="522" spans="2:5" x14ac:dyDescent="0.4">
      <c r="C522" s="39" t="s">
        <v>468</v>
      </c>
      <c r="D522" s="10" t="s">
        <v>322</v>
      </c>
      <c r="E522" s="1">
        <v>186.99</v>
      </c>
    </row>
    <row r="523" spans="2:5" x14ac:dyDescent="0.4">
      <c r="B523" s="10" t="s">
        <v>577</v>
      </c>
      <c r="C523" s="10" t="s">
        <v>316</v>
      </c>
      <c r="E523" s="1">
        <v>4650</v>
      </c>
    </row>
    <row r="524" spans="2:5" x14ac:dyDescent="0.4">
      <c r="C524" s="11" t="s">
        <v>12</v>
      </c>
      <c r="E524" s="1">
        <v>4650</v>
      </c>
    </row>
    <row r="525" spans="2:5" x14ac:dyDescent="0.4">
      <c r="C525" s="39" t="s">
        <v>398</v>
      </c>
      <c r="D525" s="10" t="s">
        <v>322</v>
      </c>
      <c r="E525" s="1">
        <v>4650</v>
      </c>
    </row>
    <row r="526" spans="2:5" x14ac:dyDescent="0.4">
      <c r="B526" s="10" t="s">
        <v>578</v>
      </c>
      <c r="C526" s="10" t="s">
        <v>316</v>
      </c>
      <c r="E526" s="1">
        <v>200</v>
      </c>
    </row>
    <row r="527" spans="2:5" x14ac:dyDescent="0.4">
      <c r="C527" s="11" t="s">
        <v>12</v>
      </c>
      <c r="E527" s="1">
        <v>200</v>
      </c>
    </row>
    <row r="528" spans="2:5" x14ac:dyDescent="0.4">
      <c r="C528" s="39" t="s">
        <v>398</v>
      </c>
      <c r="D528" s="10" t="s">
        <v>361</v>
      </c>
      <c r="E528" s="1">
        <v>200</v>
      </c>
    </row>
    <row r="529" spans="2:5" x14ac:dyDescent="0.4">
      <c r="B529" s="10" t="s">
        <v>579</v>
      </c>
      <c r="C529" s="10" t="s">
        <v>316</v>
      </c>
      <c r="E529" s="1">
        <v>399.98</v>
      </c>
    </row>
    <row r="530" spans="2:5" x14ac:dyDescent="0.4">
      <c r="C530" s="11" t="s">
        <v>3</v>
      </c>
      <c r="E530" s="1">
        <v>399.98</v>
      </c>
    </row>
    <row r="531" spans="2:5" x14ac:dyDescent="0.4">
      <c r="C531" s="39" t="s">
        <v>520</v>
      </c>
      <c r="D531" s="10" t="s">
        <v>322</v>
      </c>
      <c r="E531" s="1">
        <v>399.98</v>
      </c>
    </row>
    <row r="532" spans="2:5" x14ac:dyDescent="0.4">
      <c r="B532" s="10" t="s">
        <v>580</v>
      </c>
      <c r="C532" s="10" t="s">
        <v>316</v>
      </c>
      <c r="E532" s="1">
        <v>2345.91</v>
      </c>
    </row>
    <row r="533" spans="2:5" x14ac:dyDescent="0.4">
      <c r="C533" s="11" t="s">
        <v>1</v>
      </c>
      <c r="E533" s="1">
        <v>2345.91</v>
      </c>
    </row>
    <row r="534" spans="2:5" x14ac:dyDescent="0.4">
      <c r="C534" s="39" t="s">
        <v>454</v>
      </c>
      <c r="D534" s="10" t="s">
        <v>322</v>
      </c>
      <c r="E534" s="1">
        <v>2345.91</v>
      </c>
    </row>
    <row r="535" spans="2:5" x14ac:dyDescent="0.4">
      <c r="B535" s="10" t="s">
        <v>581</v>
      </c>
      <c r="C535" s="10" t="s">
        <v>316</v>
      </c>
      <c r="E535" s="1">
        <v>549.95000000000005</v>
      </c>
    </row>
    <row r="536" spans="2:5" x14ac:dyDescent="0.4">
      <c r="C536" s="11" t="s">
        <v>1</v>
      </c>
      <c r="E536" s="1">
        <v>549.95000000000005</v>
      </c>
    </row>
    <row r="537" spans="2:5" x14ac:dyDescent="0.4">
      <c r="C537" s="39" t="s">
        <v>582</v>
      </c>
      <c r="D537" s="10" t="s">
        <v>322</v>
      </c>
      <c r="E537" s="1">
        <v>549.95000000000005</v>
      </c>
    </row>
    <row r="538" spans="2:5" x14ac:dyDescent="0.4">
      <c r="B538" s="10" t="s">
        <v>583</v>
      </c>
      <c r="C538" s="10" t="s">
        <v>316</v>
      </c>
      <c r="E538" s="1">
        <v>1735.91</v>
      </c>
    </row>
    <row r="539" spans="2:5" x14ac:dyDescent="0.4">
      <c r="C539" s="11" t="s">
        <v>2</v>
      </c>
      <c r="E539" s="1">
        <v>1735.91</v>
      </c>
    </row>
    <row r="540" spans="2:5" x14ac:dyDescent="0.4">
      <c r="C540" s="39" t="s">
        <v>328</v>
      </c>
      <c r="D540" s="10" t="s">
        <v>322</v>
      </c>
      <c r="E540" s="1">
        <v>1735.91</v>
      </c>
    </row>
    <row r="541" spans="2:5" x14ac:dyDescent="0.4">
      <c r="B541" s="10" t="s">
        <v>584</v>
      </c>
      <c r="C541" s="10" t="s">
        <v>316</v>
      </c>
      <c r="E541" s="1">
        <v>359.99</v>
      </c>
    </row>
    <row r="542" spans="2:5" x14ac:dyDescent="0.4">
      <c r="C542" s="11" t="s">
        <v>2</v>
      </c>
      <c r="E542" s="1">
        <v>359.99</v>
      </c>
    </row>
    <row r="543" spans="2:5" x14ac:dyDescent="0.4">
      <c r="C543" s="39" t="s">
        <v>585</v>
      </c>
      <c r="D543" s="10" t="s">
        <v>322</v>
      </c>
      <c r="E543" s="1">
        <v>359.99</v>
      </c>
    </row>
    <row r="544" spans="2:5" x14ac:dyDescent="0.4">
      <c r="B544" s="10" t="s">
        <v>586</v>
      </c>
      <c r="C544" s="10" t="s">
        <v>316</v>
      </c>
      <c r="E544" s="1">
        <v>41.95</v>
      </c>
    </row>
    <row r="545" spans="2:5" x14ac:dyDescent="0.4">
      <c r="C545" s="11" t="s">
        <v>2</v>
      </c>
      <c r="E545" s="1">
        <v>41.95</v>
      </c>
    </row>
    <row r="546" spans="2:5" x14ac:dyDescent="0.4">
      <c r="C546" s="39" t="s">
        <v>418</v>
      </c>
      <c r="D546" s="10" t="s">
        <v>322</v>
      </c>
      <c r="E546" s="1">
        <v>41.95</v>
      </c>
    </row>
    <row r="547" spans="2:5" x14ac:dyDescent="0.4">
      <c r="B547" s="10" t="s">
        <v>587</v>
      </c>
      <c r="C547" s="10" t="s">
        <v>316</v>
      </c>
      <c r="E547" s="1">
        <v>97.35</v>
      </c>
    </row>
    <row r="548" spans="2:5" x14ac:dyDescent="0.4">
      <c r="C548" s="11" t="s">
        <v>2</v>
      </c>
      <c r="E548" s="1">
        <v>97.35</v>
      </c>
    </row>
    <row r="549" spans="2:5" x14ac:dyDescent="0.4">
      <c r="C549" s="39" t="s">
        <v>328</v>
      </c>
      <c r="D549" s="10" t="s">
        <v>322</v>
      </c>
      <c r="E549" s="1">
        <v>97.35</v>
      </c>
    </row>
    <row r="550" spans="2:5" x14ac:dyDescent="0.4">
      <c r="B550" s="10" t="s">
        <v>588</v>
      </c>
      <c r="C550" s="10" t="s">
        <v>316</v>
      </c>
      <c r="E550" s="1">
        <v>2345.91</v>
      </c>
    </row>
    <row r="551" spans="2:5" x14ac:dyDescent="0.4">
      <c r="C551" s="11" t="s">
        <v>3</v>
      </c>
      <c r="E551" s="1">
        <v>2345.91</v>
      </c>
    </row>
    <row r="552" spans="2:5" x14ac:dyDescent="0.4">
      <c r="C552" s="39" t="s">
        <v>429</v>
      </c>
      <c r="D552" s="10" t="s">
        <v>322</v>
      </c>
      <c r="E552" s="1">
        <v>2345.91</v>
      </c>
    </row>
    <row r="553" spans="2:5" x14ac:dyDescent="0.4">
      <c r="B553" s="10" t="s">
        <v>589</v>
      </c>
      <c r="C553" s="10" t="s">
        <v>316</v>
      </c>
      <c r="E553" s="1">
        <v>2400.91</v>
      </c>
    </row>
    <row r="554" spans="2:5" x14ac:dyDescent="0.4">
      <c r="C554" s="11" t="s">
        <v>4</v>
      </c>
      <c r="E554" s="1">
        <v>2400.91</v>
      </c>
    </row>
    <row r="555" spans="2:5" x14ac:dyDescent="0.4">
      <c r="C555" s="39" t="s">
        <v>533</v>
      </c>
      <c r="D555" s="10" t="s">
        <v>395</v>
      </c>
      <c r="E555" s="1">
        <v>2400.91</v>
      </c>
    </row>
    <row r="556" spans="2:5" x14ac:dyDescent="0.4">
      <c r="B556" s="10" t="s">
        <v>590</v>
      </c>
      <c r="C556" s="10" t="s">
        <v>316</v>
      </c>
      <c r="E556" s="1">
        <v>1557.99</v>
      </c>
    </row>
    <row r="557" spans="2:5" x14ac:dyDescent="0.4">
      <c r="C557" s="11" t="s">
        <v>4</v>
      </c>
      <c r="E557" s="1">
        <v>1557.99</v>
      </c>
    </row>
    <row r="558" spans="2:5" x14ac:dyDescent="0.4">
      <c r="C558" s="39" t="s">
        <v>537</v>
      </c>
      <c r="D558" s="10" t="s">
        <v>322</v>
      </c>
      <c r="E558" s="1">
        <v>1557.99</v>
      </c>
    </row>
    <row r="559" spans="2:5" x14ac:dyDescent="0.4">
      <c r="B559" s="10" t="s">
        <v>591</v>
      </c>
      <c r="C559" s="10" t="s">
        <v>316</v>
      </c>
      <c r="E559" s="1">
        <v>15.99</v>
      </c>
    </row>
    <row r="560" spans="2:5" x14ac:dyDescent="0.4">
      <c r="C560" s="11" t="s">
        <v>4</v>
      </c>
      <c r="E560" s="1">
        <v>15.99</v>
      </c>
    </row>
    <row r="561" spans="1:5" x14ac:dyDescent="0.4">
      <c r="C561" s="39" t="s">
        <v>592</v>
      </c>
      <c r="D561" s="10" t="s">
        <v>322</v>
      </c>
      <c r="E561" s="1">
        <v>15.99</v>
      </c>
    </row>
    <row r="562" spans="1:5" x14ac:dyDescent="0.4">
      <c r="B562" s="10" t="s">
        <v>593</v>
      </c>
      <c r="C562" s="10" t="s">
        <v>316</v>
      </c>
      <c r="E562" s="1">
        <v>61.66</v>
      </c>
    </row>
    <row r="563" spans="1:5" x14ac:dyDescent="0.4">
      <c r="C563" s="11" t="s">
        <v>4</v>
      </c>
      <c r="E563" s="1">
        <v>61.66</v>
      </c>
    </row>
    <row r="564" spans="1:5" x14ac:dyDescent="0.4">
      <c r="C564" s="39" t="s">
        <v>371</v>
      </c>
      <c r="D564" s="10" t="s">
        <v>322</v>
      </c>
      <c r="E564" s="1">
        <v>61.66</v>
      </c>
    </row>
    <row r="565" spans="1:5" x14ac:dyDescent="0.4">
      <c r="A565" s="10" t="s">
        <v>594</v>
      </c>
      <c r="B565" s="10" t="s">
        <v>368</v>
      </c>
      <c r="C565" s="10" t="s">
        <v>316</v>
      </c>
      <c r="E565" s="1">
        <v>1209</v>
      </c>
    </row>
    <row r="566" spans="1:5" x14ac:dyDescent="0.4">
      <c r="C566" s="11" t="s">
        <v>3</v>
      </c>
      <c r="E566" s="1">
        <v>1209</v>
      </c>
    </row>
    <row r="567" spans="1:5" x14ac:dyDescent="0.4">
      <c r="C567" s="39" t="s">
        <v>529</v>
      </c>
      <c r="D567" s="10" t="s">
        <v>395</v>
      </c>
      <c r="E567" s="1">
        <v>1209</v>
      </c>
    </row>
    <row r="568" spans="1:5" x14ac:dyDescent="0.4">
      <c r="B568" s="10" t="s">
        <v>320</v>
      </c>
      <c r="C568" s="10" t="s">
        <v>316</v>
      </c>
      <c r="E568" s="1">
        <v>1078</v>
      </c>
    </row>
    <row r="569" spans="1:5" x14ac:dyDescent="0.4">
      <c r="C569" s="11" t="s">
        <v>2</v>
      </c>
      <c r="E569" s="1">
        <v>1078</v>
      </c>
    </row>
    <row r="570" spans="1:5" x14ac:dyDescent="0.4">
      <c r="C570" s="39" t="s">
        <v>585</v>
      </c>
      <c r="D570" s="10" t="s">
        <v>322</v>
      </c>
      <c r="E570" s="1">
        <v>1078</v>
      </c>
    </row>
    <row r="571" spans="1:5" x14ac:dyDescent="0.4">
      <c r="B571" s="10" t="s">
        <v>595</v>
      </c>
      <c r="C571" s="10" t="s">
        <v>316</v>
      </c>
      <c r="E571" s="1">
        <v>475.99</v>
      </c>
    </row>
    <row r="572" spans="1:5" x14ac:dyDescent="0.4">
      <c r="C572" s="11" t="s">
        <v>3</v>
      </c>
      <c r="E572" s="1">
        <v>475.99</v>
      </c>
    </row>
    <row r="573" spans="1:5" x14ac:dyDescent="0.4">
      <c r="C573" s="39" t="s">
        <v>428</v>
      </c>
      <c r="D573" s="10" t="s">
        <v>322</v>
      </c>
      <c r="E573" s="1">
        <v>475.99</v>
      </c>
    </row>
    <row r="574" spans="1:5" x14ac:dyDescent="0.4">
      <c r="A574" s="10" t="s">
        <v>596</v>
      </c>
      <c r="B574" s="10" t="s">
        <v>368</v>
      </c>
      <c r="C574" s="10" t="s">
        <v>316</v>
      </c>
      <c r="E574" s="1">
        <v>3000</v>
      </c>
    </row>
    <row r="575" spans="1:5" x14ac:dyDescent="0.4">
      <c r="C575" s="11" t="s">
        <v>369</v>
      </c>
      <c r="E575" s="1">
        <v>3000</v>
      </c>
    </row>
    <row r="576" spans="1:5" x14ac:dyDescent="0.4">
      <c r="C576" s="39" t="s">
        <v>597</v>
      </c>
      <c r="D576" s="10" t="s">
        <v>414</v>
      </c>
      <c r="E576" s="1">
        <v>3000</v>
      </c>
    </row>
    <row r="577" spans="1:5" x14ac:dyDescent="0.4">
      <c r="B577" s="10" t="s">
        <v>598</v>
      </c>
      <c r="C577" s="10" t="s">
        <v>316</v>
      </c>
      <c r="E577" s="1">
        <v>465</v>
      </c>
    </row>
    <row r="578" spans="1:5" x14ac:dyDescent="0.4">
      <c r="C578" s="11" t="s">
        <v>5</v>
      </c>
      <c r="E578" s="1">
        <v>465</v>
      </c>
    </row>
    <row r="579" spans="1:5" x14ac:dyDescent="0.4">
      <c r="C579" s="39" t="s">
        <v>359</v>
      </c>
      <c r="D579" s="10" t="s">
        <v>395</v>
      </c>
      <c r="E579" s="1">
        <v>465</v>
      </c>
    </row>
    <row r="580" spans="1:5" x14ac:dyDescent="0.4">
      <c r="A580" s="10" t="s">
        <v>654</v>
      </c>
      <c r="B580" s="10" t="s">
        <v>655</v>
      </c>
      <c r="C580" s="10" t="s">
        <v>316</v>
      </c>
      <c r="E580" s="1">
        <v>2436.98</v>
      </c>
    </row>
    <row r="581" spans="1:5" x14ac:dyDescent="0.4">
      <c r="C581" s="11" t="s">
        <v>3</v>
      </c>
      <c r="E581" s="1">
        <v>2436.98</v>
      </c>
    </row>
    <row r="582" spans="1:5" x14ac:dyDescent="0.4">
      <c r="C582" s="39" t="s">
        <v>656</v>
      </c>
      <c r="D582" s="10" t="s">
        <v>395</v>
      </c>
      <c r="E582" s="1">
        <v>2436.98</v>
      </c>
    </row>
    <row r="583" spans="1:5" x14ac:dyDescent="0.4">
      <c r="B583" s="10" t="s">
        <v>657</v>
      </c>
      <c r="C583" s="10" t="s">
        <v>316</v>
      </c>
      <c r="E583" s="1">
        <v>0</v>
      </c>
    </row>
    <row r="584" spans="1:5" x14ac:dyDescent="0.4">
      <c r="C584" s="11" t="s">
        <v>5</v>
      </c>
      <c r="E584" s="1">
        <v>0</v>
      </c>
    </row>
    <row r="585" spans="1:5" x14ac:dyDescent="0.4">
      <c r="C585" s="39" t="s">
        <v>409</v>
      </c>
      <c r="D585" s="10" t="s">
        <v>361</v>
      </c>
      <c r="E585" s="1">
        <v>0</v>
      </c>
    </row>
    <row r="586" spans="1:5" x14ac:dyDescent="0.4">
      <c r="B586" s="10" t="s">
        <v>658</v>
      </c>
      <c r="C586" s="10" t="s">
        <v>316</v>
      </c>
      <c r="E586" s="1">
        <v>0</v>
      </c>
    </row>
    <row r="587" spans="1:5" x14ac:dyDescent="0.4">
      <c r="C587" s="11" t="s">
        <v>5</v>
      </c>
      <c r="E587" s="1">
        <v>0</v>
      </c>
    </row>
    <row r="588" spans="1:5" x14ac:dyDescent="0.4">
      <c r="C588" s="39" t="s">
        <v>359</v>
      </c>
      <c r="D588" s="10" t="s">
        <v>361</v>
      </c>
      <c r="E588" s="1">
        <v>0</v>
      </c>
    </row>
    <row r="589" spans="1:5" x14ac:dyDescent="0.4">
      <c r="A589" s="10" t="s">
        <v>599</v>
      </c>
      <c r="B589" s="10" t="s">
        <v>368</v>
      </c>
      <c r="C589" s="10" t="s">
        <v>316</v>
      </c>
      <c r="E589" s="1">
        <v>9000</v>
      </c>
    </row>
    <row r="590" spans="1:5" x14ac:dyDescent="0.4">
      <c r="C590" s="11" t="s">
        <v>3</v>
      </c>
      <c r="E590" s="1">
        <v>9000</v>
      </c>
    </row>
    <row r="591" spans="1:5" x14ac:dyDescent="0.4">
      <c r="C591" s="39" t="s">
        <v>600</v>
      </c>
      <c r="D591" s="10" t="s">
        <v>601</v>
      </c>
      <c r="E591" s="1">
        <v>9000</v>
      </c>
    </row>
    <row r="592" spans="1:5" x14ac:dyDescent="0.4">
      <c r="B592" s="10" t="s">
        <v>602</v>
      </c>
      <c r="C592" s="10" t="s">
        <v>316</v>
      </c>
      <c r="E592" s="1">
        <v>1248</v>
      </c>
    </row>
    <row r="593" spans="2:5" x14ac:dyDescent="0.4">
      <c r="C593" s="11" t="s">
        <v>5</v>
      </c>
      <c r="E593" s="1">
        <v>1248</v>
      </c>
    </row>
    <row r="594" spans="2:5" x14ac:dyDescent="0.4">
      <c r="C594" s="39" t="s">
        <v>364</v>
      </c>
      <c r="D594" s="10" t="s">
        <v>395</v>
      </c>
      <c r="E594" s="1">
        <v>1248</v>
      </c>
    </row>
    <row r="595" spans="2:5" x14ac:dyDescent="0.4">
      <c r="B595" s="10" t="s">
        <v>437</v>
      </c>
      <c r="C595" s="10" t="s">
        <v>316</v>
      </c>
      <c r="E595" s="1">
        <v>360</v>
      </c>
    </row>
    <row r="596" spans="2:5" x14ac:dyDescent="0.4">
      <c r="C596" s="11" t="s">
        <v>4</v>
      </c>
      <c r="E596" s="1">
        <v>360</v>
      </c>
    </row>
    <row r="597" spans="2:5" x14ac:dyDescent="0.4">
      <c r="C597" s="39" t="s">
        <v>603</v>
      </c>
      <c r="D597" s="10" t="s">
        <v>322</v>
      </c>
      <c r="E597" s="1">
        <v>360</v>
      </c>
    </row>
    <row r="598" spans="2:5" x14ac:dyDescent="0.4">
      <c r="B598" s="10" t="s">
        <v>579</v>
      </c>
      <c r="C598" s="10" t="s">
        <v>316</v>
      </c>
      <c r="E598" s="1">
        <v>230.35</v>
      </c>
    </row>
    <row r="599" spans="2:5" x14ac:dyDescent="0.4">
      <c r="C599" s="11" t="s">
        <v>4</v>
      </c>
      <c r="E599" s="1">
        <v>230.35</v>
      </c>
    </row>
    <row r="600" spans="2:5" x14ac:dyDescent="0.4">
      <c r="C600" s="39" t="s">
        <v>371</v>
      </c>
      <c r="D600" s="10" t="s">
        <v>322</v>
      </c>
      <c r="E600" s="1">
        <v>230.35</v>
      </c>
    </row>
    <row r="601" spans="2:5" x14ac:dyDescent="0.4">
      <c r="B601" s="10" t="s">
        <v>604</v>
      </c>
      <c r="C601" s="10" t="s">
        <v>316</v>
      </c>
      <c r="E601" s="1">
        <v>172.12</v>
      </c>
    </row>
    <row r="602" spans="2:5" x14ac:dyDescent="0.4">
      <c r="C602" s="11" t="s">
        <v>2</v>
      </c>
      <c r="E602" s="1">
        <v>172.12</v>
      </c>
    </row>
    <row r="603" spans="2:5" x14ac:dyDescent="0.4">
      <c r="C603" s="39" t="s">
        <v>465</v>
      </c>
      <c r="D603" s="10" t="s">
        <v>322</v>
      </c>
      <c r="E603" s="1">
        <v>172.12</v>
      </c>
    </row>
    <row r="604" spans="2:5" x14ac:dyDescent="0.4">
      <c r="B604" s="10" t="s">
        <v>605</v>
      </c>
      <c r="C604" s="10" t="s">
        <v>316</v>
      </c>
      <c r="E604" s="1">
        <v>1452.98</v>
      </c>
    </row>
    <row r="605" spans="2:5" x14ac:dyDescent="0.4">
      <c r="C605" s="11" t="s">
        <v>2</v>
      </c>
      <c r="E605" s="1">
        <v>1452.98</v>
      </c>
    </row>
    <row r="606" spans="2:5" x14ac:dyDescent="0.4">
      <c r="C606" s="39" t="s">
        <v>328</v>
      </c>
      <c r="D606" s="10" t="s">
        <v>395</v>
      </c>
      <c r="E606" s="1">
        <v>1452.98</v>
      </c>
    </row>
    <row r="607" spans="2:5" x14ac:dyDescent="0.4">
      <c r="B607" s="10" t="s">
        <v>606</v>
      </c>
      <c r="C607" s="10" t="s">
        <v>316</v>
      </c>
      <c r="E607" s="1">
        <v>14.95</v>
      </c>
    </row>
    <row r="608" spans="2:5" x14ac:dyDescent="0.4">
      <c r="C608" s="11" t="s">
        <v>5</v>
      </c>
      <c r="E608" s="1">
        <v>14.95</v>
      </c>
    </row>
    <row r="609" spans="1:5" x14ac:dyDescent="0.4">
      <c r="C609" s="39" t="s">
        <v>364</v>
      </c>
      <c r="D609" s="10" t="s">
        <v>361</v>
      </c>
      <c r="E609" s="1">
        <v>14.95</v>
      </c>
    </row>
    <row r="610" spans="1:5" x14ac:dyDescent="0.4">
      <c r="A610" s="10" t="s">
        <v>607</v>
      </c>
      <c r="B610" s="10" t="s">
        <v>388</v>
      </c>
      <c r="C610" s="10" t="s">
        <v>316</v>
      </c>
      <c r="E610" s="1">
        <v>181.48</v>
      </c>
    </row>
    <row r="611" spans="1:5" x14ac:dyDescent="0.4">
      <c r="C611" s="11" t="s">
        <v>4</v>
      </c>
      <c r="E611" s="1">
        <v>181.48</v>
      </c>
    </row>
    <row r="612" spans="1:5" x14ac:dyDescent="0.4">
      <c r="C612" s="39" t="s">
        <v>603</v>
      </c>
      <c r="D612" s="10" t="s">
        <v>322</v>
      </c>
      <c r="E612" s="1">
        <v>181.48</v>
      </c>
    </row>
    <row r="613" spans="1:5" x14ac:dyDescent="0.4">
      <c r="A613" s="10" t="s">
        <v>608</v>
      </c>
      <c r="B613" s="10" t="s">
        <v>368</v>
      </c>
      <c r="C613" s="10" t="s">
        <v>316</v>
      </c>
      <c r="E613" s="1">
        <v>2000</v>
      </c>
    </row>
    <row r="614" spans="1:5" x14ac:dyDescent="0.4">
      <c r="C614" s="11" t="s">
        <v>8</v>
      </c>
      <c r="E614" s="1">
        <v>2000</v>
      </c>
    </row>
    <row r="615" spans="1:5" x14ac:dyDescent="0.4">
      <c r="C615" s="39" t="s">
        <v>400</v>
      </c>
      <c r="D615" s="10" t="s">
        <v>414</v>
      </c>
      <c r="E615" s="1">
        <v>2000</v>
      </c>
    </row>
    <row r="616" spans="1:5" x14ac:dyDescent="0.4">
      <c r="B616" s="10" t="s">
        <v>609</v>
      </c>
      <c r="C616" s="10" t="s">
        <v>316</v>
      </c>
      <c r="E616" s="1">
        <v>8000</v>
      </c>
    </row>
    <row r="617" spans="1:5" x14ac:dyDescent="0.4">
      <c r="C617" s="11" t="s">
        <v>3</v>
      </c>
      <c r="E617" s="1">
        <v>8000</v>
      </c>
    </row>
    <row r="618" spans="1:5" x14ac:dyDescent="0.4">
      <c r="C618" s="39" t="s">
        <v>343</v>
      </c>
      <c r="D618" s="10" t="s">
        <v>322</v>
      </c>
      <c r="E618" s="1">
        <v>8000</v>
      </c>
    </row>
    <row r="619" spans="1:5" x14ac:dyDescent="0.4">
      <c r="B619" s="10" t="s">
        <v>610</v>
      </c>
      <c r="C619" s="10" t="s">
        <v>316</v>
      </c>
      <c r="E619" s="1">
        <v>500</v>
      </c>
    </row>
    <row r="620" spans="1:5" x14ac:dyDescent="0.4">
      <c r="C620" s="11" t="s">
        <v>5</v>
      </c>
      <c r="E620" s="1">
        <v>500</v>
      </c>
    </row>
    <row r="621" spans="1:5" x14ac:dyDescent="0.4">
      <c r="C621" s="39" t="s">
        <v>359</v>
      </c>
      <c r="D621" s="10" t="s">
        <v>401</v>
      </c>
      <c r="E621" s="1">
        <v>500</v>
      </c>
    </row>
    <row r="622" spans="1:5" x14ac:dyDescent="0.4">
      <c r="B622" s="10" t="s">
        <v>611</v>
      </c>
      <c r="C622" s="10" t="s">
        <v>316</v>
      </c>
      <c r="E622" s="1">
        <v>89.45</v>
      </c>
    </row>
    <row r="623" spans="1:5" x14ac:dyDescent="0.4">
      <c r="C623" s="11" t="s">
        <v>1</v>
      </c>
      <c r="E623" s="1">
        <v>89.45</v>
      </c>
    </row>
    <row r="624" spans="1:5" x14ac:dyDescent="0.4">
      <c r="C624" s="39" t="s">
        <v>376</v>
      </c>
      <c r="D624" s="10" t="s">
        <v>322</v>
      </c>
      <c r="E624" s="1">
        <v>89.45</v>
      </c>
    </row>
    <row r="625" spans="2:5" x14ac:dyDescent="0.4">
      <c r="B625" s="10" t="s">
        <v>612</v>
      </c>
      <c r="C625" s="10" t="s">
        <v>316</v>
      </c>
      <c r="E625" s="1">
        <v>7279.46</v>
      </c>
    </row>
    <row r="626" spans="2:5" x14ac:dyDescent="0.4">
      <c r="C626" s="11" t="s">
        <v>3</v>
      </c>
      <c r="E626" s="1">
        <v>7279.46</v>
      </c>
    </row>
    <row r="627" spans="2:5" x14ac:dyDescent="0.4">
      <c r="C627" s="39" t="s">
        <v>516</v>
      </c>
      <c r="D627" s="10" t="s">
        <v>322</v>
      </c>
      <c r="E627" s="1">
        <v>7279.46</v>
      </c>
    </row>
    <row r="628" spans="2:5" x14ac:dyDescent="0.4">
      <c r="B628" s="10" t="s">
        <v>613</v>
      </c>
      <c r="C628" s="10" t="s">
        <v>316</v>
      </c>
      <c r="E628" s="1">
        <v>262.99</v>
      </c>
    </row>
    <row r="629" spans="2:5" x14ac:dyDescent="0.4">
      <c r="C629" s="11" t="s">
        <v>3</v>
      </c>
      <c r="E629" s="1">
        <v>262.99</v>
      </c>
    </row>
    <row r="630" spans="2:5" x14ac:dyDescent="0.4">
      <c r="C630" s="39" t="s">
        <v>343</v>
      </c>
      <c r="D630" s="10" t="s">
        <v>322</v>
      </c>
      <c r="E630" s="1">
        <v>262.99</v>
      </c>
    </row>
    <row r="631" spans="2:5" x14ac:dyDescent="0.4">
      <c r="B631" s="10" t="s">
        <v>614</v>
      </c>
      <c r="C631" s="10" t="s">
        <v>316</v>
      </c>
      <c r="E631" s="1">
        <v>1625</v>
      </c>
    </row>
    <row r="632" spans="2:5" x14ac:dyDescent="0.4">
      <c r="C632" s="11" t="s">
        <v>4</v>
      </c>
      <c r="E632" s="1">
        <v>1625</v>
      </c>
    </row>
    <row r="633" spans="2:5" x14ac:dyDescent="0.4">
      <c r="C633" s="39" t="s">
        <v>386</v>
      </c>
      <c r="D633" s="10" t="s">
        <v>395</v>
      </c>
      <c r="E633" s="1">
        <v>1625</v>
      </c>
    </row>
    <row r="634" spans="2:5" x14ac:dyDescent="0.4">
      <c r="B634" s="10" t="s">
        <v>615</v>
      </c>
      <c r="C634" s="10" t="s">
        <v>316</v>
      </c>
      <c r="E634" s="1">
        <v>321.29000000000002</v>
      </c>
    </row>
    <row r="635" spans="2:5" x14ac:dyDescent="0.4">
      <c r="C635" s="11" t="s">
        <v>3</v>
      </c>
      <c r="E635" s="1">
        <v>321.29000000000002</v>
      </c>
    </row>
    <row r="636" spans="2:5" x14ac:dyDescent="0.4">
      <c r="C636" s="39" t="s">
        <v>616</v>
      </c>
      <c r="D636" s="10" t="s">
        <v>322</v>
      </c>
      <c r="E636" s="1">
        <v>321.29000000000002</v>
      </c>
    </row>
    <row r="637" spans="2:5" x14ac:dyDescent="0.4">
      <c r="B637" s="10" t="s">
        <v>617</v>
      </c>
      <c r="C637" s="10" t="s">
        <v>316</v>
      </c>
      <c r="E637" s="1">
        <v>349.25</v>
      </c>
    </row>
    <row r="638" spans="2:5" x14ac:dyDescent="0.4">
      <c r="C638" s="11" t="s">
        <v>3</v>
      </c>
      <c r="E638" s="1">
        <v>349.25</v>
      </c>
    </row>
    <row r="639" spans="2:5" x14ac:dyDescent="0.4">
      <c r="C639" s="39" t="s">
        <v>429</v>
      </c>
      <c r="D639" s="10" t="s">
        <v>401</v>
      </c>
      <c r="E639" s="1">
        <v>349.25</v>
      </c>
    </row>
    <row r="640" spans="2:5" x14ac:dyDescent="0.4">
      <c r="B640" s="10" t="s">
        <v>618</v>
      </c>
      <c r="C640" s="10" t="s">
        <v>316</v>
      </c>
      <c r="E640" s="1">
        <v>0</v>
      </c>
    </row>
    <row r="641" spans="1:5" x14ac:dyDescent="0.4">
      <c r="C641" s="11" t="s">
        <v>11</v>
      </c>
      <c r="E641" s="1">
        <v>0</v>
      </c>
    </row>
    <row r="642" spans="1:5" x14ac:dyDescent="0.4">
      <c r="C642" s="39" t="s">
        <v>619</v>
      </c>
      <c r="D642" s="10" t="s">
        <v>361</v>
      </c>
      <c r="E642" s="1">
        <v>0</v>
      </c>
    </row>
    <row r="643" spans="1:5" x14ac:dyDescent="0.4">
      <c r="B643" s="10" t="s">
        <v>620</v>
      </c>
      <c r="C643" s="10" t="s">
        <v>316</v>
      </c>
      <c r="E643" s="1">
        <v>707.19</v>
      </c>
    </row>
    <row r="644" spans="1:5" x14ac:dyDescent="0.4">
      <c r="C644" s="11" t="s">
        <v>4</v>
      </c>
      <c r="E644" s="1">
        <v>707.19</v>
      </c>
    </row>
    <row r="645" spans="1:5" x14ac:dyDescent="0.4">
      <c r="C645" s="39" t="s">
        <v>621</v>
      </c>
      <c r="D645" s="10" t="s">
        <v>322</v>
      </c>
      <c r="E645" s="1">
        <v>707.19</v>
      </c>
    </row>
    <row r="646" spans="1:5" x14ac:dyDescent="0.4">
      <c r="A646" s="10" t="s">
        <v>622</v>
      </c>
      <c r="B646" s="10" t="s">
        <v>623</v>
      </c>
      <c r="C646" s="10" t="s">
        <v>316</v>
      </c>
      <c r="E646" s="1">
        <v>0</v>
      </c>
    </row>
    <row r="647" spans="1:5" x14ac:dyDescent="0.4">
      <c r="C647" s="11" t="s">
        <v>5</v>
      </c>
      <c r="E647" s="1">
        <v>0</v>
      </c>
    </row>
    <row r="648" spans="1:5" x14ac:dyDescent="0.4">
      <c r="C648" s="39" t="s">
        <v>359</v>
      </c>
      <c r="D648" s="10" t="s">
        <v>318</v>
      </c>
      <c r="E648" s="1">
        <v>0</v>
      </c>
    </row>
    <row r="649" spans="1:5" x14ac:dyDescent="0.4">
      <c r="B649" s="10" t="s">
        <v>624</v>
      </c>
      <c r="C649" s="10" t="s">
        <v>316</v>
      </c>
      <c r="E649" s="1">
        <v>1792.39</v>
      </c>
    </row>
    <row r="650" spans="1:5" x14ac:dyDescent="0.4">
      <c r="C650" s="11" t="s">
        <v>3</v>
      </c>
      <c r="E650" s="1">
        <v>1792.39</v>
      </c>
    </row>
    <row r="651" spans="1:5" x14ac:dyDescent="0.4">
      <c r="C651" s="39" t="s">
        <v>343</v>
      </c>
      <c r="D651" s="10" t="s">
        <v>573</v>
      </c>
      <c r="E651" s="1">
        <v>1792.39</v>
      </c>
    </row>
    <row r="652" spans="1:5" x14ac:dyDescent="0.4">
      <c r="B652" s="10" t="s">
        <v>625</v>
      </c>
      <c r="C652" s="10" t="s">
        <v>316</v>
      </c>
      <c r="E652" s="1">
        <v>0</v>
      </c>
    </row>
    <row r="653" spans="1:5" x14ac:dyDescent="0.4">
      <c r="C653" s="11" t="s">
        <v>2</v>
      </c>
      <c r="E653" s="1">
        <v>0</v>
      </c>
    </row>
    <row r="654" spans="1:5" x14ac:dyDescent="0.4">
      <c r="C654" s="39" t="s">
        <v>328</v>
      </c>
      <c r="D654" s="10" t="s">
        <v>329</v>
      </c>
      <c r="E654" s="1">
        <v>0</v>
      </c>
    </row>
    <row r="655" spans="1:5" x14ac:dyDescent="0.4">
      <c r="B655" s="10" t="s">
        <v>626</v>
      </c>
      <c r="C655" s="10" t="s">
        <v>316</v>
      </c>
      <c r="E655" s="1">
        <v>4406</v>
      </c>
    </row>
    <row r="656" spans="1:5" x14ac:dyDescent="0.4">
      <c r="C656" s="11" t="s">
        <v>3</v>
      </c>
      <c r="E656" s="1">
        <v>4406</v>
      </c>
    </row>
    <row r="657" spans="1:5" x14ac:dyDescent="0.4">
      <c r="C657" s="39" t="s">
        <v>343</v>
      </c>
      <c r="D657" s="10" t="s">
        <v>395</v>
      </c>
      <c r="E657" s="1">
        <v>4406</v>
      </c>
    </row>
    <row r="658" spans="1:5" x14ac:dyDescent="0.4">
      <c r="B658" s="10" t="s">
        <v>627</v>
      </c>
      <c r="C658" s="10" t="s">
        <v>316</v>
      </c>
      <c r="E658" s="1">
        <v>0</v>
      </c>
    </row>
    <row r="659" spans="1:5" x14ac:dyDescent="0.4">
      <c r="C659" s="11" t="s">
        <v>5</v>
      </c>
      <c r="E659" s="1">
        <v>0</v>
      </c>
    </row>
    <row r="660" spans="1:5" x14ac:dyDescent="0.4">
      <c r="C660" s="39" t="s">
        <v>359</v>
      </c>
      <c r="D660" s="10" t="s">
        <v>361</v>
      </c>
      <c r="E660" s="1">
        <v>0</v>
      </c>
    </row>
    <row r="661" spans="1:5" x14ac:dyDescent="0.4">
      <c r="A661" s="10" t="s">
        <v>628</v>
      </c>
      <c r="B661" s="10" t="s">
        <v>629</v>
      </c>
      <c r="C661" s="10" t="s">
        <v>316</v>
      </c>
      <c r="E661" s="1">
        <v>892.84</v>
      </c>
    </row>
    <row r="662" spans="1:5" x14ac:dyDescent="0.4">
      <c r="C662" s="11" t="s">
        <v>6</v>
      </c>
      <c r="E662" s="1">
        <v>892.84</v>
      </c>
    </row>
    <row r="663" spans="1:5" x14ac:dyDescent="0.4">
      <c r="C663" s="39" t="s">
        <v>451</v>
      </c>
      <c r="D663" s="10" t="s">
        <v>630</v>
      </c>
      <c r="E663" s="1">
        <v>892.84</v>
      </c>
    </row>
    <row r="664" spans="1:5" x14ac:dyDescent="0.4">
      <c r="B664" s="10" t="s">
        <v>631</v>
      </c>
      <c r="C664" s="10" t="s">
        <v>316</v>
      </c>
      <c r="E664" s="1">
        <v>10000</v>
      </c>
    </row>
    <row r="665" spans="1:5" x14ac:dyDescent="0.4">
      <c r="C665" s="11" t="s">
        <v>12</v>
      </c>
      <c r="E665" s="1">
        <v>10000</v>
      </c>
    </row>
    <row r="666" spans="1:5" x14ac:dyDescent="0.4">
      <c r="C666" s="39" t="s">
        <v>398</v>
      </c>
      <c r="D666" s="10" t="s">
        <v>361</v>
      </c>
      <c r="E666" s="1">
        <v>10000</v>
      </c>
    </row>
    <row r="667" spans="1:5" x14ac:dyDescent="0.4">
      <c r="B667" s="10" t="s">
        <v>632</v>
      </c>
      <c r="C667" s="10" t="s">
        <v>316</v>
      </c>
      <c r="E667" s="1">
        <v>1482</v>
      </c>
    </row>
    <row r="668" spans="1:5" x14ac:dyDescent="0.4">
      <c r="C668" s="11" t="s">
        <v>1</v>
      </c>
      <c r="E668" s="1">
        <v>1482</v>
      </c>
    </row>
    <row r="669" spans="1:5" x14ac:dyDescent="0.4">
      <c r="C669" s="39" t="s">
        <v>454</v>
      </c>
      <c r="D669" s="10" t="s">
        <v>322</v>
      </c>
      <c r="E669" s="1">
        <v>1482</v>
      </c>
    </row>
    <row r="670" spans="1:5" x14ac:dyDescent="0.4">
      <c r="B670" s="10" t="s">
        <v>633</v>
      </c>
      <c r="C670" s="10" t="s">
        <v>316</v>
      </c>
      <c r="E670" s="1">
        <v>310</v>
      </c>
    </row>
    <row r="671" spans="1:5" x14ac:dyDescent="0.4">
      <c r="C671" s="11" t="s">
        <v>1</v>
      </c>
      <c r="E671" s="1">
        <v>310</v>
      </c>
    </row>
    <row r="672" spans="1:5" x14ac:dyDescent="0.4">
      <c r="C672" s="39" t="s">
        <v>468</v>
      </c>
      <c r="D672" s="10" t="s">
        <v>322</v>
      </c>
      <c r="E672" s="1">
        <v>310</v>
      </c>
    </row>
    <row r="673" spans="1:5" x14ac:dyDescent="0.4">
      <c r="B673" s="10" t="s">
        <v>634</v>
      </c>
      <c r="C673" s="10" t="s">
        <v>316</v>
      </c>
      <c r="E673" s="1">
        <v>486</v>
      </c>
    </row>
    <row r="674" spans="1:5" x14ac:dyDescent="0.4">
      <c r="C674" s="11" t="s">
        <v>3</v>
      </c>
      <c r="E674" s="1">
        <v>486</v>
      </c>
    </row>
    <row r="675" spans="1:5" x14ac:dyDescent="0.4">
      <c r="C675" s="39" t="s">
        <v>428</v>
      </c>
      <c r="D675" s="10" t="s">
        <v>322</v>
      </c>
      <c r="E675" s="1">
        <v>486</v>
      </c>
    </row>
    <row r="676" spans="1:5" x14ac:dyDescent="0.4">
      <c r="A676" s="10" t="s">
        <v>635</v>
      </c>
      <c r="B676" s="10" t="s">
        <v>320</v>
      </c>
      <c r="C676" s="10" t="s">
        <v>316</v>
      </c>
      <c r="E676" s="1">
        <v>539</v>
      </c>
    </row>
    <row r="677" spans="1:5" x14ac:dyDescent="0.4">
      <c r="C677" s="11" t="s">
        <v>5</v>
      </c>
      <c r="E677" s="1">
        <v>539</v>
      </c>
    </row>
    <row r="678" spans="1:5" x14ac:dyDescent="0.4">
      <c r="C678" s="39" t="s">
        <v>359</v>
      </c>
      <c r="D678" s="10" t="s">
        <v>322</v>
      </c>
      <c r="E678" s="1">
        <v>539</v>
      </c>
    </row>
    <row r="679" spans="1:5" x14ac:dyDescent="0.4">
      <c r="B679" s="10" t="s">
        <v>382</v>
      </c>
      <c r="C679" s="10" t="s">
        <v>316</v>
      </c>
      <c r="E679" s="1">
        <v>705</v>
      </c>
    </row>
    <row r="680" spans="1:5" x14ac:dyDescent="0.4">
      <c r="C680" s="11" t="s">
        <v>4</v>
      </c>
      <c r="E680" s="1">
        <v>705</v>
      </c>
    </row>
    <row r="681" spans="1:5" x14ac:dyDescent="0.4">
      <c r="C681" s="39" t="s">
        <v>533</v>
      </c>
      <c r="D681" s="10" t="s">
        <v>322</v>
      </c>
      <c r="E681" s="1">
        <v>705</v>
      </c>
    </row>
    <row r="682" spans="1:5" x14ac:dyDescent="0.4">
      <c r="B682" s="10" t="s">
        <v>636</v>
      </c>
      <c r="C682" s="10" t="s">
        <v>316</v>
      </c>
      <c r="E682" s="1">
        <v>558</v>
      </c>
    </row>
    <row r="683" spans="1:5" x14ac:dyDescent="0.4">
      <c r="C683" s="11" t="s">
        <v>3</v>
      </c>
      <c r="E683" s="1">
        <v>558</v>
      </c>
    </row>
    <row r="684" spans="1:5" x14ac:dyDescent="0.4">
      <c r="C684" s="39" t="s">
        <v>324</v>
      </c>
      <c r="D684" s="10" t="s">
        <v>322</v>
      </c>
      <c r="E684" s="1">
        <v>558</v>
      </c>
    </row>
    <row r="685" spans="1:5" x14ac:dyDescent="0.4">
      <c r="B685" s="10" t="s">
        <v>637</v>
      </c>
      <c r="C685" s="10" t="s">
        <v>316</v>
      </c>
      <c r="E685" s="1">
        <v>64.150000000000006</v>
      </c>
    </row>
    <row r="686" spans="1:5" x14ac:dyDescent="0.4">
      <c r="C686" s="11" t="s">
        <v>1</v>
      </c>
      <c r="E686" s="1">
        <v>64.150000000000006</v>
      </c>
    </row>
    <row r="687" spans="1:5" x14ac:dyDescent="0.4">
      <c r="C687" s="39" t="s">
        <v>392</v>
      </c>
      <c r="D687" s="10" t="s">
        <v>322</v>
      </c>
      <c r="E687" s="1">
        <v>64.150000000000006</v>
      </c>
    </row>
    <row r="688" spans="1:5" x14ac:dyDescent="0.4">
      <c r="B688" s="10" t="s">
        <v>638</v>
      </c>
      <c r="C688" s="10" t="s">
        <v>316</v>
      </c>
      <c r="E688" s="1">
        <v>200</v>
      </c>
    </row>
    <row r="689" spans="1:5" x14ac:dyDescent="0.4">
      <c r="C689" s="11" t="s">
        <v>3</v>
      </c>
      <c r="E689" s="1">
        <v>200</v>
      </c>
    </row>
    <row r="690" spans="1:5" x14ac:dyDescent="0.4">
      <c r="C690" s="39" t="s">
        <v>343</v>
      </c>
      <c r="D690" s="10" t="s">
        <v>329</v>
      </c>
      <c r="E690" s="1">
        <v>200</v>
      </c>
    </row>
    <row r="691" spans="1:5" x14ac:dyDescent="0.4">
      <c r="B691" s="10" t="s">
        <v>639</v>
      </c>
      <c r="C691" s="10" t="s">
        <v>316</v>
      </c>
      <c r="E691" s="1">
        <v>0</v>
      </c>
    </row>
    <row r="692" spans="1:5" x14ac:dyDescent="0.4">
      <c r="C692" s="11" t="s">
        <v>3</v>
      </c>
      <c r="E692" s="1">
        <v>0</v>
      </c>
    </row>
    <row r="693" spans="1:5" x14ac:dyDescent="0.4">
      <c r="C693" s="39" t="s">
        <v>343</v>
      </c>
      <c r="D693" s="10" t="s">
        <v>329</v>
      </c>
      <c r="E693" s="1">
        <v>0</v>
      </c>
    </row>
    <row r="694" spans="1:5" x14ac:dyDescent="0.4">
      <c r="B694" s="10" t="s">
        <v>640</v>
      </c>
      <c r="C694" s="10" t="s">
        <v>316</v>
      </c>
      <c r="E694" s="1">
        <v>2914</v>
      </c>
    </row>
    <row r="695" spans="1:5" x14ac:dyDescent="0.4">
      <c r="C695" s="11" t="s">
        <v>3</v>
      </c>
      <c r="E695" s="1">
        <v>1468</v>
      </c>
    </row>
    <row r="696" spans="1:5" x14ac:dyDescent="0.4">
      <c r="C696" s="39" t="s">
        <v>641</v>
      </c>
      <c r="D696" s="10" t="s">
        <v>322</v>
      </c>
      <c r="E696" s="1">
        <v>1468</v>
      </c>
    </row>
    <row r="697" spans="1:5" x14ac:dyDescent="0.4">
      <c r="C697" s="11" t="s">
        <v>5</v>
      </c>
      <c r="E697" s="1">
        <v>1446</v>
      </c>
    </row>
    <row r="698" spans="1:5" x14ac:dyDescent="0.4">
      <c r="C698" s="39" t="s">
        <v>359</v>
      </c>
      <c r="D698" s="10" t="s">
        <v>414</v>
      </c>
      <c r="E698" s="1">
        <v>1446</v>
      </c>
    </row>
    <row r="699" spans="1:5" x14ac:dyDescent="0.4">
      <c r="B699" s="10" t="s">
        <v>642</v>
      </c>
      <c r="C699" s="10" t="s">
        <v>316</v>
      </c>
      <c r="E699" s="1">
        <v>0</v>
      </c>
    </row>
    <row r="700" spans="1:5" x14ac:dyDescent="0.4">
      <c r="C700" s="11" t="s">
        <v>6</v>
      </c>
      <c r="E700" s="1">
        <v>0</v>
      </c>
    </row>
    <row r="701" spans="1:5" x14ac:dyDescent="0.4">
      <c r="C701" s="39" t="s">
        <v>415</v>
      </c>
      <c r="D701" s="10" t="s">
        <v>361</v>
      </c>
      <c r="E701" s="1">
        <v>0</v>
      </c>
    </row>
    <row r="702" spans="1:5" x14ac:dyDescent="0.4">
      <c r="A702" s="10" t="s">
        <v>643</v>
      </c>
      <c r="B702" s="10" t="s">
        <v>368</v>
      </c>
      <c r="C702" s="10" t="s">
        <v>316</v>
      </c>
      <c r="E702" s="1">
        <v>1048.56</v>
      </c>
    </row>
    <row r="703" spans="1:5" x14ac:dyDescent="0.4">
      <c r="C703" s="11" t="s">
        <v>1</v>
      </c>
      <c r="E703" s="1">
        <v>1048.56</v>
      </c>
    </row>
    <row r="704" spans="1:5" x14ac:dyDescent="0.4">
      <c r="C704" s="39" t="s">
        <v>582</v>
      </c>
      <c r="D704" s="10" t="s">
        <v>322</v>
      </c>
      <c r="E704" s="1">
        <v>1048.56</v>
      </c>
    </row>
    <row r="705" spans="1:5" x14ac:dyDescent="0.4">
      <c r="B705" s="10" t="s">
        <v>644</v>
      </c>
      <c r="C705" s="10" t="s">
        <v>316</v>
      </c>
      <c r="E705" s="1">
        <v>0</v>
      </c>
    </row>
    <row r="706" spans="1:5" x14ac:dyDescent="0.4">
      <c r="C706" s="11" t="s">
        <v>12</v>
      </c>
      <c r="E706" s="1">
        <v>0</v>
      </c>
    </row>
    <row r="707" spans="1:5" x14ac:dyDescent="0.4">
      <c r="C707" s="39" t="s">
        <v>398</v>
      </c>
      <c r="D707" s="10" t="s">
        <v>361</v>
      </c>
      <c r="E707" s="1">
        <v>0</v>
      </c>
    </row>
    <row r="708" spans="1:5" x14ac:dyDescent="0.4">
      <c r="B708" s="10" t="s">
        <v>577</v>
      </c>
      <c r="C708" s="10" t="s">
        <v>316</v>
      </c>
      <c r="E708" s="1">
        <v>0</v>
      </c>
    </row>
    <row r="709" spans="1:5" x14ac:dyDescent="0.4">
      <c r="C709" s="11" t="s">
        <v>3</v>
      </c>
      <c r="E709" s="1">
        <v>0</v>
      </c>
    </row>
    <row r="710" spans="1:5" x14ac:dyDescent="0.4">
      <c r="C710" s="39" t="s">
        <v>343</v>
      </c>
      <c r="D710" s="10" t="s">
        <v>395</v>
      </c>
      <c r="E710" s="1">
        <v>0</v>
      </c>
    </row>
    <row r="711" spans="1:5" x14ac:dyDescent="0.4">
      <c r="A711" s="10" t="s">
        <v>645</v>
      </c>
      <c r="B711" s="10" t="s">
        <v>646</v>
      </c>
      <c r="C711" s="10" t="s">
        <v>316</v>
      </c>
      <c r="E711" s="1">
        <v>1282.4000000000001</v>
      </c>
    </row>
    <row r="712" spans="1:5" x14ac:dyDescent="0.4">
      <c r="C712" s="11" t="s">
        <v>6</v>
      </c>
      <c r="E712" s="1">
        <v>1282.4000000000001</v>
      </c>
    </row>
    <row r="713" spans="1:5" x14ac:dyDescent="0.4">
      <c r="C713" s="39" t="s">
        <v>647</v>
      </c>
      <c r="D713" s="10" t="s">
        <v>539</v>
      </c>
      <c r="E713" s="1">
        <v>1282.4000000000001</v>
      </c>
    </row>
    <row r="714" spans="1:5" x14ac:dyDescent="0.4">
      <c r="B714" s="10" t="s">
        <v>648</v>
      </c>
      <c r="C714" s="10" t="s">
        <v>316</v>
      </c>
      <c r="E714" s="1">
        <v>1268.3599999999999</v>
      </c>
    </row>
    <row r="715" spans="1:5" x14ac:dyDescent="0.4">
      <c r="C715" s="11" t="s">
        <v>8</v>
      </c>
      <c r="E715" s="1">
        <v>1268.3599999999999</v>
      </c>
    </row>
    <row r="716" spans="1:5" x14ac:dyDescent="0.4">
      <c r="C716" s="39" t="s">
        <v>649</v>
      </c>
      <c r="D716" s="10" t="s">
        <v>539</v>
      </c>
      <c r="E716" s="1">
        <v>1268.3599999999999</v>
      </c>
    </row>
    <row r="717" spans="1:5" x14ac:dyDescent="0.4">
      <c r="B717" s="10" t="s">
        <v>441</v>
      </c>
      <c r="C717" s="10" t="s">
        <v>316</v>
      </c>
      <c r="E717" s="1">
        <v>5892</v>
      </c>
    </row>
    <row r="718" spans="1:5" x14ac:dyDescent="0.4">
      <c r="C718" s="11" t="s">
        <v>4</v>
      </c>
      <c r="E718" s="1">
        <v>5892</v>
      </c>
    </row>
    <row r="719" spans="1:5" x14ac:dyDescent="0.4">
      <c r="C719" s="39" t="s">
        <v>386</v>
      </c>
      <c r="D719" s="10" t="s">
        <v>322</v>
      </c>
      <c r="E719" s="1">
        <v>5892</v>
      </c>
    </row>
    <row r="720" spans="1:5" x14ac:dyDescent="0.4">
      <c r="B720" s="10" t="s">
        <v>650</v>
      </c>
      <c r="C720" s="10" t="s">
        <v>316</v>
      </c>
      <c r="E720" s="1">
        <v>1500</v>
      </c>
    </row>
    <row r="721" spans="1:5" x14ac:dyDescent="0.4">
      <c r="C721" s="11" t="s">
        <v>4</v>
      </c>
      <c r="E721" s="1">
        <v>1500</v>
      </c>
    </row>
    <row r="722" spans="1:5" x14ac:dyDescent="0.4">
      <c r="C722" s="39" t="s">
        <v>386</v>
      </c>
      <c r="D722" s="10" t="s">
        <v>322</v>
      </c>
      <c r="E722" s="1">
        <v>1500</v>
      </c>
    </row>
    <row r="723" spans="1:5" x14ac:dyDescent="0.4">
      <c r="B723" s="10" t="s">
        <v>651</v>
      </c>
      <c r="C723" s="10" t="s">
        <v>316</v>
      </c>
      <c r="E723" s="1">
        <v>500</v>
      </c>
    </row>
    <row r="724" spans="1:5" x14ac:dyDescent="0.4">
      <c r="C724" s="11" t="s">
        <v>4</v>
      </c>
      <c r="E724" s="1">
        <v>500</v>
      </c>
    </row>
    <row r="725" spans="1:5" x14ac:dyDescent="0.4">
      <c r="C725" s="39" t="s">
        <v>371</v>
      </c>
      <c r="D725" s="10" t="s">
        <v>322</v>
      </c>
      <c r="E725" s="1">
        <v>500</v>
      </c>
    </row>
    <row r="726" spans="1:5" x14ac:dyDescent="0.4">
      <c r="A726" s="10" t="s">
        <v>652</v>
      </c>
      <c r="B726" s="10" t="s">
        <v>652</v>
      </c>
      <c r="C726" s="10" t="s">
        <v>653</v>
      </c>
    </row>
    <row r="727" spans="1:5" x14ac:dyDescent="0.4">
      <c r="C727" s="11" t="s">
        <v>653</v>
      </c>
    </row>
    <row r="728" spans="1:5" x14ac:dyDescent="0.4">
      <c r="C728" s="39" t="s">
        <v>652</v>
      </c>
      <c r="D728" s="10" t="s">
        <v>652</v>
      </c>
    </row>
    <row r="729" spans="1:5" x14ac:dyDescent="0.4">
      <c r="A729" s="10" t="s">
        <v>663</v>
      </c>
      <c r="B729" s="10" t="s">
        <v>664</v>
      </c>
      <c r="C729" s="10" t="s">
        <v>316</v>
      </c>
      <c r="E729" s="1">
        <v>0</v>
      </c>
    </row>
    <row r="730" spans="1:5" x14ac:dyDescent="0.4">
      <c r="C730" s="11" t="s">
        <v>1</v>
      </c>
      <c r="E730" s="1">
        <v>0</v>
      </c>
    </row>
    <row r="731" spans="1:5" x14ac:dyDescent="0.4">
      <c r="C731" s="39" t="s">
        <v>373</v>
      </c>
      <c r="D731" s="10" t="s">
        <v>329</v>
      </c>
      <c r="E731" s="1">
        <v>0</v>
      </c>
    </row>
    <row r="732" spans="1:5" x14ac:dyDescent="0.4">
      <c r="A732" s="10" t="s">
        <v>665</v>
      </c>
      <c r="B732" s="10" t="s">
        <v>368</v>
      </c>
      <c r="C732" s="10" t="s">
        <v>316</v>
      </c>
      <c r="E732" s="1">
        <v>3600</v>
      </c>
    </row>
    <row r="733" spans="1:5" x14ac:dyDescent="0.4">
      <c r="C733" s="11" t="s">
        <v>7</v>
      </c>
      <c r="E733" s="1">
        <v>3600</v>
      </c>
    </row>
    <row r="734" spans="1:5" x14ac:dyDescent="0.4">
      <c r="C734" s="39" t="s">
        <v>440</v>
      </c>
      <c r="D734" s="10" t="s">
        <v>318</v>
      </c>
      <c r="E734" s="1">
        <v>3600</v>
      </c>
    </row>
    <row r="735" spans="1:5" x14ac:dyDescent="0.4">
      <c r="B735" s="10" t="s">
        <v>666</v>
      </c>
      <c r="C735" s="10" t="s">
        <v>316</v>
      </c>
      <c r="E735" s="1">
        <v>155</v>
      </c>
    </row>
    <row r="736" spans="1:5" x14ac:dyDescent="0.4">
      <c r="C736" s="11" t="s">
        <v>2</v>
      </c>
      <c r="E736" s="1">
        <v>155</v>
      </c>
    </row>
    <row r="737" spans="1:5" x14ac:dyDescent="0.4">
      <c r="C737" s="39" t="s">
        <v>418</v>
      </c>
      <c r="D737" s="10" t="s">
        <v>322</v>
      </c>
      <c r="E737" s="1">
        <v>155</v>
      </c>
    </row>
    <row r="738" spans="1:5" x14ac:dyDescent="0.4">
      <c r="B738" s="10" t="s">
        <v>667</v>
      </c>
      <c r="C738" s="10" t="s">
        <v>316</v>
      </c>
      <c r="E738" s="1">
        <v>310</v>
      </c>
    </row>
    <row r="739" spans="1:5" x14ac:dyDescent="0.4">
      <c r="C739" s="11" t="s">
        <v>2</v>
      </c>
      <c r="E739" s="1">
        <v>310</v>
      </c>
    </row>
    <row r="740" spans="1:5" x14ac:dyDescent="0.4">
      <c r="C740" s="39" t="s">
        <v>328</v>
      </c>
      <c r="D740" s="10" t="s">
        <v>322</v>
      </c>
      <c r="E740" s="1">
        <v>310</v>
      </c>
    </row>
    <row r="741" spans="1:5" x14ac:dyDescent="0.4">
      <c r="A741" s="10" t="s">
        <v>668</v>
      </c>
      <c r="B741" s="10" t="s">
        <v>669</v>
      </c>
      <c r="C741" s="10" t="s">
        <v>316</v>
      </c>
      <c r="E741" s="1">
        <v>22534.63</v>
      </c>
    </row>
    <row r="742" spans="1:5" x14ac:dyDescent="0.4">
      <c r="C742" s="11" t="s">
        <v>369</v>
      </c>
      <c r="E742" s="1">
        <v>22534.63</v>
      </c>
    </row>
    <row r="743" spans="1:5" x14ac:dyDescent="0.4">
      <c r="C743" s="39" t="s">
        <v>597</v>
      </c>
      <c r="D743" s="10" t="s">
        <v>395</v>
      </c>
      <c r="E743" s="1">
        <v>22534.63</v>
      </c>
    </row>
    <row r="744" spans="1:5" x14ac:dyDescent="0.4">
      <c r="B744" s="10" t="s">
        <v>390</v>
      </c>
      <c r="C744" s="10" t="s">
        <v>316</v>
      </c>
      <c r="E744" s="1">
        <v>2154.85</v>
      </c>
    </row>
    <row r="745" spans="1:5" x14ac:dyDescent="0.4">
      <c r="C745" s="11" t="s">
        <v>3</v>
      </c>
      <c r="E745" s="1">
        <v>2154.85</v>
      </c>
    </row>
    <row r="746" spans="1:5" x14ac:dyDescent="0.4">
      <c r="C746" s="39" t="s">
        <v>529</v>
      </c>
      <c r="D746" s="10" t="s">
        <v>322</v>
      </c>
      <c r="E746" s="1">
        <v>2154.85</v>
      </c>
    </row>
    <row r="747" spans="1:5" x14ac:dyDescent="0.4">
      <c r="B747" s="10" t="s">
        <v>670</v>
      </c>
      <c r="C747" s="10" t="s">
        <v>316</v>
      </c>
      <c r="E747" s="1">
        <v>51.99</v>
      </c>
    </row>
    <row r="748" spans="1:5" x14ac:dyDescent="0.4">
      <c r="C748" s="11" t="s">
        <v>4</v>
      </c>
      <c r="E748" s="1">
        <v>51.99</v>
      </c>
    </row>
    <row r="749" spans="1:5" x14ac:dyDescent="0.4">
      <c r="C749" s="39" t="s">
        <v>533</v>
      </c>
      <c r="D749" s="10" t="s">
        <v>322</v>
      </c>
      <c r="E749" s="1">
        <v>51.99</v>
      </c>
    </row>
    <row r="750" spans="1:5" x14ac:dyDescent="0.4">
      <c r="B750" s="10" t="s">
        <v>671</v>
      </c>
      <c r="C750" s="10" t="s">
        <v>316</v>
      </c>
      <c r="E750" s="1">
        <v>6225.2</v>
      </c>
    </row>
    <row r="751" spans="1:5" x14ac:dyDescent="0.4">
      <c r="C751" s="11" t="s">
        <v>4</v>
      </c>
      <c r="E751" s="1">
        <v>6225.2</v>
      </c>
    </row>
    <row r="752" spans="1:5" x14ac:dyDescent="0.4">
      <c r="C752" s="39" t="s">
        <v>672</v>
      </c>
      <c r="D752" s="10" t="s">
        <v>322</v>
      </c>
      <c r="E752" s="1">
        <v>6225.2</v>
      </c>
    </row>
    <row r="753" spans="1:5" x14ac:dyDescent="0.4">
      <c r="A753" s="10" t="s">
        <v>673</v>
      </c>
      <c r="B753" s="10" t="s">
        <v>674</v>
      </c>
      <c r="C753" s="10" t="s">
        <v>316</v>
      </c>
      <c r="E753" s="1">
        <v>10506</v>
      </c>
    </row>
    <row r="754" spans="1:5" x14ac:dyDescent="0.4">
      <c r="C754" s="11" t="s">
        <v>5</v>
      </c>
      <c r="E754" s="1">
        <v>10506</v>
      </c>
    </row>
    <row r="755" spans="1:5" x14ac:dyDescent="0.4">
      <c r="C755" s="39" t="s">
        <v>359</v>
      </c>
      <c r="D755" s="10" t="s">
        <v>361</v>
      </c>
      <c r="E755" s="1">
        <v>10506</v>
      </c>
    </row>
    <row r="756" spans="1:5" x14ac:dyDescent="0.4">
      <c r="B756" s="10" t="s">
        <v>675</v>
      </c>
      <c r="C756" s="10" t="s">
        <v>316</v>
      </c>
      <c r="E756" s="1">
        <v>12108</v>
      </c>
    </row>
    <row r="757" spans="1:5" x14ac:dyDescent="0.4">
      <c r="C757" s="11" t="s">
        <v>5</v>
      </c>
      <c r="E757" s="1">
        <v>12108</v>
      </c>
    </row>
    <row r="758" spans="1:5" x14ac:dyDescent="0.4">
      <c r="C758" s="39" t="s">
        <v>359</v>
      </c>
      <c r="D758" s="10" t="s">
        <v>395</v>
      </c>
      <c r="E758" s="1">
        <v>12108</v>
      </c>
    </row>
    <row r="759" spans="1:5" x14ac:dyDescent="0.4">
      <c r="A759" s="10" t="s">
        <v>676</v>
      </c>
      <c r="B759" s="10" t="s">
        <v>677</v>
      </c>
      <c r="C759" s="10" t="s">
        <v>316</v>
      </c>
      <c r="E759" s="1">
        <v>0</v>
      </c>
    </row>
    <row r="760" spans="1:5" x14ac:dyDescent="0.4">
      <c r="C760" s="11" t="s">
        <v>2</v>
      </c>
      <c r="E760" s="1">
        <v>0</v>
      </c>
    </row>
    <row r="761" spans="1:5" x14ac:dyDescent="0.4">
      <c r="C761" s="39" t="s">
        <v>465</v>
      </c>
      <c r="D761" s="10" t="s">
        <v>329</v>
      </c>
      <c r="E761" s="1">
        <v>0</v>
      </c>
    </row>
    <row r="762" spans="1:5" x14ac:dyDescent="0.4">
      <c r="B762" s="10" t="s">
        <v>678</v>
      </c>
      <c r="C762" s="10" t="s">
        <v>316</v>
      </c>
      <c r="E762" s="1">
        <v>481.56</v>
      </c>
    </row>
    <row r="763" spans="1:5" x14ac:dyDescent="0.4">
      <c r="C763" s="11" t="s">
        <v>4</v>
      </c>
      <c r="E763" s="1">
        <v>481.56</v>
      </c>
    </row>
    <row r="764" spans="1:5" x14ac:dyDescent="0.4">
      <c r="C764" s="39" t="s">
        <v>592</v>
      </c>
      <c r="D764" s="10" t="s">
        <v>322</v>
      </c>
      <c r="E764" s="1">
        <v>481.56</v>
      </c>
    </row>
    <row r="765" spans="1:5" x14ac:dyDescent="0.4">
      <c r="B765" s="10" t="s">
        <v>679</v>
      </c>
      <c r="C765" s="10" t="s">
        <v>316</v>
      </c>
      <c r="E765" s="1">
        <v>0</v>
      </c>
    </row>
    <row r="766" spans="1:5" x14ac:dyDescent="0.4">
      <c r="C766" s="11" t="s">
        <v>5</v>
      </c>
      <c r="E766" s="1">
        <v>0</v>
      </c>
    </row>
    <row r="767" spans="1:5" x14ac:dyDescent="0.4">
      <c r="C767" s="39" t="s">
        <v>359</v>
      </c>
      <c r="D767" s="10" t="s">
        <v>361</v>
      </c>
      <c r="E767" s="1">
        <v>0</v>
      </c>
    </row>
    <row r="768" spans="1:5" x14ac:dyDescent="0.4">
      <c r="B768" s="10" t="s">
        <v>680</v>
      </c>
      <c r="C768" s="10" t="s">
        <v>316</v>
      </c>
      <c r="E768" s="1">
        <v>620</v>
      </c>
    </row>
    <row r="769" spans="1:5" x14ac:dyDescent="0.4">
      <c r="C769" s="11" t="s">
        <v>4</v>
      </c>
      <c r="E769" s="1">
        <v>620</v>
      </c>
    </row>
    <row r="770" spans="1:5" x14ac:dyDescent="0.4">
      <c r="C770" s="39" t="s">
        <v>425</v>
      </c>
      <c r="D770" s="10" t="s">
        <v>322</v>
      </c>
      <c r="E770" s="1">
        <v>620</v>
      </c>
    </row>
    <row r="771" spans="1:5" x14ac:dyDescent="0.4">
      <c r="A771" s="10" t="s">
        <v>681</v>
      </c>
      <c r="B771" s="10" t="s">
        <v>315</v>
      </c>
      <c r="C771" s="10" t="s">
        <v>316</v>
      </c>
      <c r="E771" s="1">
        <v>9170</v>
      </c>
    </row>
    <row r="772" spans="1:5" x14ac:dyDescent="0.4">
      <c r="C772" s="11" t="s">
        <v>8</v>
      </c>
      <c r="E772" s="1">
        <v>9170</v>
      </c>
    </row>
    <row r="773" spans="1:5" x14ac:dyDescent="0.4">
      <c r="C773" s="39" t="s">
        <v>317</v>
      </c>
      <c r="D773" s="10" t="s">
        <v>539</v>
      </c>
      <c r="E773" s="1">
        <v>9170</v>
      </c>
    </row>
    <row r="774" spans="1:5" x14ac:dyDescent="0.4">
      <c r="B774" s="10" t="s">
        <v>682</v>
      </c>
      <c r="C774" s="10" t="s">
        <v>316</v>
      </c>
      <c r="E774" s="1">
        <v>4650</v>
      </c>
    </row>
    <row r="775" spans="1:5" x14ac:dyDescent="0.4">
      <c r="C775" s="11" t="s">
        <v>3</v>
      </c>
      <c r="E775" s="1">
        <v>4650</v>
      </c>
    </row>
    <row r="776" spans="1:5" x14ac:dyDescent="0.4">
      <c r="C776" s="39" t="s">
        <v>343</v>
      </c>
      <c r="D776" s="10" t="s">
        <v>322</v>
      </c>
      <c r="E776" s="1">
        <v>4650</v>
      </c>
    </row>
    <row r="777" spans="1:5" x14ac:dyDescent="0.4">
      <c r="B777" s="10" t="s">
        <v>578</v>
      </c>
      <c r="C777" s="10" t="s">
        <v>316</v>
      </c>
      <c r="E777" s="1">
        <v>350</v>
      </c>
    </row>
    <row r="778" spans="1:5" x14ac:dyDescent="0.4">
      <c r="C778" s="11" t="s">
        <v>5</v>
      </c>
      <c r="E778" s="1">
        <v>350</v>
      </c>
    </row>
    <row r="779" spans="1:5" x14ac:dyDescent="0.4">
      <c r="C779" s="39" t="s">
        <v>359</v>
      </c>
      <c r="D779" s="10" t="s">
        <v>361</v>
      </c>
      <c r="E779" s="1">
        <v>350</v>
      </c>
    </row>
    <row r="780" spans="1:5" x14ac:dyDescent="0.4">
      <c r="B780" s="10" t="s">
        <v>683</v>
      </c>
      <c r="C780" s="10" t="s">
        <v>316</v>
      </c>
      <c r="E780" s="1">
        <v>5</v>
      </c>
    </row>
    <row r="781" spans="1:5" x14ac:dyDescent="0.4">
      <c r="C781" s="11" t="s">
        <v>1</v>
      </c>
      <c r="E781" s="1">
        <v>5</v>
      </c>
    </row>
    <row r="782" spans="1:5" x14ac:dyDescent="0.4">
      <c r="C782" s="39" t="s">
        <v>392</v>
      </c>
      <c r="D782" s="10" t="s">
        <v>329</v>
      </c>
      <c r="E782" s="1">
        <v>5</v>
      </c>
    </row>
    <row r="783" spans="1:5" x14ac:dyDescent="0.4">
      <c r="B783" s="10" t="s">
        <v>684</v>
      </c>
      <c r="C783" s="10" t="s">
        <v>316</v>
      </c>
      <c r="E783" s="1">
        <v>1107.4100000000001</v>
      </c>
    </row>
    <row r="784" spans="1:5" x14ac:dyDescent="0.4">
      <c r="C784" s="11" t="s">
        <v>1</v>
      </c>
      <c r="E784" s="1">
        <v>1107.4100000000001</v>
      </c>
    </row>
    <row r="785" spans="2:5" x14ac:dyDescent="0.4">
      <c r="C785" s="39" t="s">
        <v>685</v>
      </c>
      <c r="D785" s="10" t="s">
        <v>322</v>
      </c>
      <c r="E785" s="1">
        <v>1107.4100000000001</v>
      </c>
    </row>
    <row r="786" spans="2:5" x14ac:dyDescent="0.4">
      <c r="B786" s="10" t="s">
        <v>686</v>
      </c>
      <c r="C786" s="10" t="s">
        <v>316</v>
      </c>
      <c r="E786" s="1">
        <v>875</v>
      </c>
    </row>
    <row r="787" spans="2:5" x14ac:dyDescent="0.4">
      <c r="C787" s="11" t="s">
        <v>2</v>
      </c>
      <c r="E787" s="1">
        <v>875</v>
      </c>
    </row>
    <row r="788" spans="2:5" x14ac:dyDescent="0.4">
      <c r="C788" s="39" t="s">
        <v>687</v>
      </c>
      <c r="D788" s="10" t="s">
        <v>322</v>
      </c>
      <c r="E788" s="1">
        <v>875</v>
      </c>
    </row>
    <row r="789" spans="2:5" x14ac:dyDescent="0.4">
      <c r="B789" s="10" t="s">
        <v>510</v>
      </c>
      <c r="C789" s="10" t="s">
        <v>316</v>
      </c>
      <c r="E789" s="1">
        <v>39.979999999999997</v>
      </c>
    </row>
    <row r="790" spans="2:5" x14ac:dyDescent="0.4">
      <c r="C790" s="11" t="s">
        <v>3</v>
      </c>
      <c r="E790" s="1">
        <v>39.979999999999997</v>
      </c>
    </row>
    <row r="791" spans="2:5" x14ac:dyDescent="0.4">
      <c r="C791" s="39" t="s">
        <v>641</v>
      </c>
      <c r="D791" s="10" t="s">
        <v>322</v>
      </c>
      <c r="E791" s="1">
        <v>39.979999999999997</v>
      </c>
    </row>
    <row r="792" spans="2:5" x14ac:dyDescent="0.4">
      <c r="B792" s="10" t="s">
        <v>688</v>
      </c>
      <c r="C792" s="10" t="s">
        <v>316</v>
      </c>
      <c r="E792" s="1">
        <v>725</v>
      </c>
    </row>
    <row r="793" spans="2:5" x14ac:dyDescent="0.4">
      <c r="C793" s="11" t="s">
        <v>3</v>
      </c>
      <c r="E793" s="1">
        <v>725</v>
      </c>
    </row>
    <row r="794" spans="2:5" x14ac:dyDescent="0.4">
      <c r="C794" s="39" t="s">
        <v>616</v>
      </c>
      <c r="D794" s="10" t="s">
        <v>322</v>
      </c>
      <c r="E794" s="1">
        <v>725</v>
      </c>
    </row>
    <row r="795" spans="2:5" x14ac:dyDescent="0.4">
      <c r="B795" s="10" t="s">
        <v>689</v>
      </c>
      <c r="C795" s="10" t="s">
        <v>316</v>
      </c>
      <c r="E795" s="1">
        <v>1275</v>
      </c>
    </row>
    <row r="796" spans="2:5" x14ac:dyDescent="0.4">
      <c r="C796" s="11" t="s">
        <v>4</v>
      </c>
      <c r="E796" s="1">
        <v>1275</v>
      </c>
    </row>
    <row r="797" spans="2:5" x14ac:dyDescent="0.4">
      <c r="C797" s="39" t="s">
        <v>386</v>
      </c>
      <c r="D797" s="10" t="s">
        <v>329</v>
      </c>
      <c r="E797" s="1">
        <v>1275</v>
      </c>
    </row>
    <row r="798" spans="2:5" x14ac:dyDescent="0.4">
      <c r="B798" s="10" t="s">
        <v>690</v>
      </c>
      <c r="C798" s="10" t="s">
        <v>316</v>
      </c>
      <c r="E798" s="1">
        <v>15.45</v>
      </c>
    </row>
    <row r="799" spans="2:5" x14ac:dyDescent="0.4">
      <c r="C799" s="11" t="s">
        <v>4</v>
      </c>
      <c r="E799" s="1">
        <v>15.45</v>
      </c>
    </row>
    <row r="800" spans="2:5" x14ac:dyDescent="0.4">
      <c r="C800" s="39" t="s">
        <v>389</v>
      </c>
      <c r="D800" s="10" t="s">
        <v>322</v>
      </c>
      <c r="E800" s="1">
        <v>15.45</v>
      </c>
    </row>
    <row r="801" spans="1:5" x14ac:dyDescent="0.4">
      <c r="A801" s="10" t="s">
        <v>691</v>
      </c>
      <c r="B801" s="10" t="s">
        <v>692</v>
      </c>
      <c r="C801" s="10" t="s">
        <v>316</v>
      </c>
      <c r="E801" s="1">
        <v>10000</v>
      </c>
    </row>
    <row r="802" spans="1:5" x14ac:dyDescent="0.4">
      <c r="C802" s="11" t="s">
        <v>12</v>
      </c>
      <c r="E802" s="1">
        <v>10000</v>
      </c>
    </row>
    <row r="803" spans="1:5" x14ac:dyDescent="0.4">
      <c r="C803" s="39" t="s">
        <v>398</v>
      </c>
      <c r="D803" s="10" t="s">
        <v>414</v>
      </c>
      <c r="E803" s="1">
        <v>10000</v>
      </c>
    </row>
    <row r="804" spans="1:5" x14ac:dyDescent="0.4">
      <c r="B804" s="10" t="s">
        <v>693</v>
      </c>
      <c r="C804" s="10" t="s">
        <v>316</v>
      </c>
      <c r="E804" s="1">
        <v>375</v>
      </c>
    </row>
    <row r="805" spans="1:5" x14ac:dyDescent="0.4">
      <c r="C805" s="11" t="s">
        <v>1</v>
      </c>
      <c r="E805" s="1">
        <v>375</v>
      </c>
    </row>
    <row r="806" spans="1:5" x14ac:dyDescent="0.4">
      <c r="C806" s="39" t="s">
        <v>373</v>
      </c>
      <c r="D806" s="10" t="s">
        <v>322</v>
      </c>
      <c r="E806" s="1">
        <v>375</v>
      </c>
    </row>
    <row r="807" spans="1:5" x14ac:dyDescent="0.4">
      <c r="A807" s="10" t="s">
        <v>694</v>
      </c>
      <c r="B807" s="10" t="s">
        <v>368</v>
      </c>
      <c r="C807" s="10" t="s">
        <v>316</v>
      </c>
      <c r="E807" s="1">
        <v>3220</v>
      </c>
    </row>
    <row r="808" spans="1:5" x14ac:dyDescent="0.4">
      <c r="C808" s="11" t="s">
        <v>5</v>
      </c>
      <c r="E808" s="1">
        <v>3220</v>
      </c>
    </row>
    <row r="809" spans="1:5" x14ac:dyDescent="0.4">
      <c r="C809" s="39" t="s">
        <v>695</v>
      </c>
      <c r="D809" s="10" t="s">
        <v>318</v>
      </c>
      <c r="E809" s="1">
        <v>3220</v>
      </c>
    </row>
    <row r="810" spans="1:5" x14ac:dyDescent="0.4">
      <c r="B810" s="10" t="s">
        <v>434</v>
      </c>
      <c r="C810" s="10" t="s">
        <v>316</v>
      </c>
      <c r="E810" s="1">
        <v>62.5</v>
      </c>
    </row>
    <row r="811" spans="1:5" x14ac:dyDescent="0.4">
      <c r="C811" s="11" t="s">
        <v>5</v>
      </c>
      <c r="E811" s="1">
        <v>62.5</v>
      </c>
    </row>
    <row r="812" spans="1:5" x14ac:dyDescent="0.4">
      <c r="C812" s="39" t="s">
        <v>359</v>
      </c>
      <c r="D812" s="10" t="s">
        <v>401</v>
      </c>
      <c r="E812" s="1">
        <v>62.5</v>
      </c>
    </row>
    <row r="813" spans="1:5" x14ac:dyDescent="0.4">
      <c r="B813" s="10" t="s">
        <v>696</v>
      </c>
      <c r="C813" s="10" t="s">
        <v>316</v>
      </c>
      <c r="E813" s="1">
        <v>0</v>
      </c>
    </row>
    <row r="814" spans="1:5" x14ac:dyDescent="0.4">
      <c r="C814" s="11" t="s">
        <v>2</v>
      </c>
      <c r="E814" s="1">
        <v>0</v>
      </c>
    </row>
    <row r="815" spans="1:5" x14ac:dyDescent="0.4">
      <c r="C815" s="39" t="s">
        <v>328</v>
      </c>
      <c r="D815" s="10" t="s">
        <v>329</v>
      </c>
      <c r="E815" s="1">
        <v>0</v>
      </c>
    </row>
    <row r="816" spans="1:5" x14ac:dyDescent="0.4">
      <c r="B816" s="10" t="s">
        <v>697</v>
      </c>
      <c r="C816" s="10" t="s">
        <v>316</v>
      </c>
      <c r="E816" s="1">
        <v>14621.02</v>
      </c>
    </row>
    <row r="817" spans="1:5" x14ac:dyDescent="0.4">
      <c r="C817" s="11" t="s">
        <v>4</v>
      </c>
      <c r="E817" s="1">
        <v>14621.02</v>
      </c>
    </row>
    <row r="818" spans="1:5" x14ac:dyDescent="0.4">
      <c r="C818" s="39" t="s">
        <v>386</v>
      </c>
      <c r="D818" s="10" t="s">
        <v>322</v>
      </c>
      <c r="E818" s="1">
        <v>14621.02</v>
      </c>
    </row>
    <row r="819" spans="1:5" x14ac:dyDescent="0.4">
      <c r="A819" s="10" t="s">
        <v>698</v>
      </c>
      <c r="B819" s="10" t="s">
        <v>434</v>
      </c>
      <c r="C819" s="10" t="s">
        <v>316</v>
      </c>
      <c r="E819" s="1">
        <v>189</v>
      </c>
    </row>
    <row r="820" spans="1:5" x14ac:dyDescent="0.4">
      <c r="C820" s="11" t="s">
        <v>2</v>
      </c>
      <c r="E820" s="1">
        <v>189</v>
      </c>
    </row>
    <row r="821" spans="1:5" x14ac:dyDescent="0.4">
      <c r="C821" s="39" t="s">
        <v>328</v>
      </c>
      <c r="D821" s="10" t="s">
        <v>361</v>
      </c>
      <c r="E821" s="1">
        <v>189</v>
      </c>
    </row>
    <row r="822" spans="1:5" x14ac:dyDescent="0.4">
      <c r="B822" s="10" t="s">
        <v>699</v>
      </c>
      <c r="C822" s="10" t="s">
        <v>316</v>
      </c>
      <c r="E822" s="1">
        <v>167.76</v>
      </c>
    </row>
    <row r="823" spans="1:5" x14ac:dyDescent="0.4">
      <c r="C823" s="11" t="s">
        <v>3</v>
      </c>
      <c r="E823" s="1">
        <v>167.76</v>
      </c>
    </row>
    <row r="824" spans="1:5" x14ac:dyDescent="0.4">
      <c r="C824" s="39" t="s">
        <v>700</v>
      </c>
      <c r="D824" s="10" t="s">
        <v>322</v>
      </c>
      <c r="E824" s="1">
        <v>167.76</v>
      </c>
    </row>
    <row r="825" spans="1:5" x14ac:dyDescent="0.4">
      <c r="A825" s="10" t="s">
        <v>701</v>
      </c>
      <c r="B825" s="10" t="s">
        <v>602</v>
      </c>
      <c r="C825" s="10" t="s">
        <v>316</v>
      </c>
      <c r="E825" s="1">
        <v>1399.25</v>
      </c>
    </row>
    <row r="826" spans="1:5" x14ac:dyDescent="0.4">
      <c r="C826" s="11" t="s">
        <v>1</v>
      </c>
      <c r="E826" s="1">
        <v>1399.25</v>
      </c>
    </row>
    <row r="827" spans="1:5" x14ac:dyDescent="0.4">
      <c r="C827" s="39" t="s">
        <v>454</v>
      </c>
      <c r="D827" s="10" t="s">
        <v>322</v>
      </c>
      <c r="E827" s="1">
        <v>1399.25</v>
      </c>
    </row>
    <row r="828" spans="1:5" x14ac:dyDescent="0.4">
      <c r="A828" s="10" t="s">
        <v>702</v>
      </c>
      <c r="B828" s="10" t="s">
        <v>703</v>
      </c>
      <c r="C828" s="10" t="s">
        <v>316</v>
      </c>
      <c r="E828" s="1">
        <v>4680</v>
      </c>
    </row>
    <row r="829" spans="1:5" x14ac:dyDescent="0.4">
      <c r="C829" s="11" t="s">
        <v>3</v>
      </c>
      <c r="E829" s="1">
        <v>4680</v>
      </c>
    </row>
    <row r="830" spans="1:5" x14ac:dyDescent="0.4">
      <c r="C830" s="39" t="s">
        <v>343</v>
      </c>
      <c r="D830" s="10" t="s">
        <v>322</v>
      </c>
      <c r="E830" s="1">
        <v>4680</v>
      </c>
    </row>
    <row r="831" spans="1:5" x14ac:dyDescent="0.4">
      <c r="B831" s="10" t="s">
        <v>704</v>
      </c>
      <c r="C831" s="10" t="s">
        <v>316</v>
      </c>
      <c r="E831" s="1">
        <v>460</v>
      </c>
    </row>
    <row r="832" spans="1:5" x14ac:dyDescent="0.4">
      <c r="C832" s="11" t="s">
        <v>3</v>
      </c>
      <c r="E832" s="1">
        <v>460</v>
      </c>
    </row>
    <row r="833" spans="1:5" x14ac:dyDescent="0.4">
      <c r="C833" s="39" t="s">
        <v>656</v>
      </c>
      <c r="D833" s="10" t="s">
        <v>322</v>
      </c>
      <c r="E833" s="1">
        <v>460</v>
      </c>
    </row>
    <row r="834" spans="1:5" x14ac:dyDescent="0.4">
      <c r="B834" s="10" t="s">
        <v>705</v>
      </c>
      <c r="C834" s="10" t="s">
        <v>316</v>
      </c>
      <c r="E834" s="1">
        <v>1362.98</v>
      </c>
    </row>
    <row r="835" spans="1:5" x14ac:dyDescent="0.4">
      <c r="C835" s="11" t="s">
        <v>3</v>
      </c>
      <c r="E835" s="1">
        <v>1362.98</v>
      </c>
    </row>
    <row r="836" spans="1:5" x14ac:dyDescent="0.4">
      <c r="C836" s="39" t="s">
        <v>641</v>
      </c>
      <c r="D836" s="10" t="s">
        <v>322</v>
      </c>
      <c r="E836" s="1">
        <v>1362.98</v>
      </c>
    </row>
    <row r="837" spans="1:5" x14ac:dyDescent="0.4">
      <c r="A837" s="10" t="s">
        <v>706</v>
      </c>
      <c r="B837" s="10" t="s">
        <v>707</v>
      </c>
      <c r="C837" s="10" t="s">
        <v>316</v>
      </c>
      <c r="E837" s="1">
        <v>1000</v>
      </c>
    </row>
    <row r="838" spans="1:5" x14ac:dyDescent="0.4">
      <c r="C838" s="11" t="s">
        <v>4</v>
      </c>
      <c r="E838" s="1">
        <v>1000</v>
      </c>
    </row>
    <row r="839" spans="1:5" x14ac:dyDescent="0.4">
      <c r="C839" s="39" t="s">
        <v>386</v>
      </c>
      <c r="D839" s="10" t="s">
        <v>414</v>
      </c>
      <c r="E839" s="1">
        <v>1000</v>
      </c>
    </row>
    <row r="840" spans="1:5" x14ac:dyDescent="0.4">
      <c r="A840" s="10" t="s">
        <v>708</v>
      </c>
      <c r="B840" s="10" t="s">
        <v>623</v>
      </c>
      <c r="C840" s="10" t="s">
        <v>316</v>
      </c>
      <c r="E840" s="1">
        <v>1550</v>
      </c>
    </row>
    <row r="841" spans="1:5" x14ac:dyDescent="0.4">
      <c r="C841" s="11" t="s">
        <v>5</v>
      </c>
      <c r="E841" s="1">
        <v>1550</v>
      </c>
    </row>
    <row r="842" spans="1:5" x14ac:dyDescent="0.4">
      <c r="C842" s="39" t="s">
        <v>359</v>
      </c>
      <c r="D842" s="10" t="s">
        <v>395</v>
      </c>
      <c r="E842" s="1">
        <v>1550</v>
      </c>
    </row>
    <row r="843" spans="1:5" x14ac:dyDescent="0.4">
      <c r="B843" s="10" t="s">
        <v>709</v>
      </c>
      <c r="C843" s="10" t="s">
        <v>316</v>
      </c>
      <c r="E843" s="1">
        <v>3530</v>
      </c>
    </row>
    <row r="844" spans="1:5" x14ac:dyDescent="0.4">
      <c r="C844" s="11" t="s">
        <v>5</v>
      </c>
      <c r="E844" s="1">
        <v>3530</v>
      </c>
    </row>
    <row r="845" spans="1:5" x14ac:dyDescent="0.4">
      <c r="C845" s="39" t="s">
        <v>359</v>
      </c>
      <c r="D845" s="10" t="s">
        <v>395</v>
      </c>
      <c r="E845" s="1">
        <v>3530</v>
      </c>
    </row>
    <row r="846" spans="1:5" x14ac:dyDescent="0.4">
      <c r="B846" s="10" t="s">
        <v>710</v>
      </c>
      <c r="C846" s="10" t="s">
        <v>316</v>
      </c>
      <c r="E846" s="1">
        <v>0</v>
      </c>
    </row>
    <row r="847" spans="1:5" x14ac:dyDescent="0.4">
      <c r="C847" s="11" t="s">
        <v>5</v>
      </c>
      <c r="E847" s="1">
        <v>0</v>
      </c>
    </row>
    <row r="848" spans="1:5" x14ac:dyDescent="0.4">
      <c r="C848" s="39" t="s">
        <v>359</v>
      </c>
      <c r="D848" s="10" t="s">
        <v>395</v>
      </c>
      <c r="E848" s="1">
        <v>0</v>
      </c>
    </row>
    <row r="849" spans="1:5" x14ac:dyDescent="0.4">
      <c r="B849" s="10" t="s">
        <v>711</v>
      </c>
      <c r="C849" s="10" t="s">
        <v>316</v>
      </c>
      <c r="E849" s="1">
        <v>0</v>
      </c>
    </row>
    <row r="850" spans="1:5" x14ac:dyDescent="0.4">
      <c r="C850" s="11" t="s">
        <v>1</v>
      </c>
      <c r="E850" s="1">
        <v>0</v>
      </c>
    </row>
    <row r="851" spans="1:5" x14ac:dyDescent="0.4">
      <c r="C851" s="39" t="s">
        <v>373</v>
      </c>
      <c r="D851" s="10" t="s">
        <v>329</v>
      </c>
      <c r="E851" s="1">
        <v>0</v>
      </c>
    </row>
    <row r="852" spans="1:5" x14ac:dyDescent="0.4">
      <c r="B852" s="10" t="s">
        <v>712</v>
      </c>
      <c r="C852" s="10" t="s">
        <v>316</v>
      </c>
      <c r="E852" s="1">
        <v>0</v>
      </c>
    </row>
    <row r="853" spans="1:5" x14ac:dyDescent="0.4">
      <c r="C853" s="11" t="s">
        <v>5</v>
      </c>
      <c r="E853" s="1">
        <v>0</v>
      </c>
    </row>
    <row r="854" spans="1:5" x14ac:dyDescent="0.4">
      <c r="C854" s="39" t="s">
        <v>364</v>
      </c>
      <c r="D854" s="10" t="s">
        <v>361</v>
      </c>
      <c r="E854" s="1">
        <v>0</v>
      </c>
    </row>
    <row r="855" spans="1:5" x14ac:dyDescent="0.4">
      <c r="A855" s="10" t="s">
        <v>713</v>
      </c>
      <c r="B855" s="10" t="s">
        <v>714</v>
      </c>
      <c r="C855" s="10" t="s">
        <v>316</v>
      </c>
      <c r="E855" s="1">
        <v>1030</v>
      </c>
    </row>
    <row r="856" spans="1:5" x14ac:dyDescent="0.4">
      <c r="C856" s="11" t="s">
        <v>5</v>
      </c>
      <c r="E856" s="1">
        <v>1030</v>
      </c>
    </row>
    <row r="857" spans="1:5" x14ac:dyDescent="0.4">
      <c r="C857" s="39" t="s">
        <v>364</v>
      </c>
      <c r="D857" s="10" t="s">
        <v>361</v>
      </c>
      <c r="E857" s="1">
        <v>1030</v>
      </c>
    </row>
    <row r="858" spans="1:5" x14ac:dyDescent="0.4">
      <c r="B858" s="10" t="s">
        <v>368</v>
      </c>
      <c r="C858" s="10" t="s">
        <v>316</v>
      </c>
      <c r="E858" s="1">
        <v>0</v>
      </c>
    </row>
    <row r="859" spans="1:5" x14ac:dyDescent="0.4">
      <c r="C859" s="11" t="s">
        <v>6</v>
      </c>
      <c r="E859" s="1">
        <v>0</v>
      </c>
    </row>
    <row r="860" spans="1:5" x14ac:dyDescent="0.4">
      <c r="C860" s="39" t="s">
        <v>415</v>
      </c>
      <c r="D860" s="10" t="s">
        <v>361</v>
      </c>
      <c r="E860" s="1">
        <v>0</v>
      </c>
    </row>
    <row r="861" spans="1:5" x14ac:dyDescent="0.4">
      <c r="B861" s="10" t="s">
        <v>715</v>
      </c>
      <c r="C861" s="10" t="s">
        <v>316</v>
      </c>
      <c r="E861" s="1">
        <v>7470</v>
      </c>
    </row>
    <row r="862" spans="1:5" x14ac:dyDescent="0.4">
      <c r="C862" s="11" t="s">
        <v>4</v>
      </c>
      <c r="E862" s="1">
        <v>7470</v>
      </c>
    </row>
    <row r="863" spans="1:5" x14ac:dyDescent="0.4">
      <c r="C863" s="39" t="s">
        <v>386</v>
      </c>
      <c r="D863" s="10" t="s">
        <v>322</v>
      </c>
      <c r="E863" s="1">
        <v>7470</v>
      </c>
    </row>
    <row r="864" spans="1:5" x14ac:dyDescent="0.4">
      <c r="B864" s="10" t="s">
        <v>716</v>
      </c>
      <c r="C864" s="10" t="s">
        <v>316</v>
      </c>
      <c r="E864" s="1">
        <v>6569</v>
      </c>
    </row>
    <row r="865" spans="1:5" x14ac:dyDescent="0.4">
      <c r="C865" s="11" t="s">
        <v>4</v>
      </c>
      <c r="E865" s="1">
        <v>6569</v>
      </c>
    </row>
    <row r="866" spans="1:5" x14ac:dyDescent="0.4">
      <c r="C866" s="39" t="s">
        <v>386</v>
      </c>
      <c r="D866" s="10" t="s">
        <v>322</v>
      </c>
      <c r="E866" s="1">
        <v>6569</v>
      </c>
    </row>
    <row r="867" spans="1:5" x14ac:dyDescent="0.4">
      <c r="A867" s="10" t="s">
        <v>717</v>
      </c>
      <c r="B867" s="10" t="s">
        <v>368</v>
      </c>
      <c r="C867" s="10" t="s">
        <v>316</v>
      </c>
      <c r="E867" s="1">
        <v>2077.8000000000002</v>
      </c>
    </row>
    <row r="868" spans="1:5" x14ac:dyDescent="0.4">
      <c r="C868" s="11" t="s">
        <v>3</v>
      </c>
      <c r="E868" s="1">
        <v>2077.8000000000002</v>
      </c>
    </row>
    <row r="869" spans="1:5" x14ac:dyDescent="0.4">
      <c r="C869" s="39" t="s">
        <v>343</v>
      </c>
      <c r="D869" s="10" t="s">
        <v>322</v>
      </c>
      <c r="E869" s="1">
        <v>2077.8000000000002</v>
      </c>
    </row>
    <row r="870" spans="1:5" x14ac:dyDescent="0.4">
      <c r="B870" s="10" t="s">
        <v>718</v>
      </c>
      <c r="C870" s="10" t="s">
        <v>316</v>
      </c>
      <c r="E870" s="1">
        <v>3000</v>
      </c>
    </row>
    <row r="871" spans="1:5" x14ac:dyDescent="0.4">
      <c r="C871" s="11" t="s">
        <v>6</v>
      </c>
      <c r="E871" s="1">
        <v>3000</v>
      </c>
    </row>
    <row r="872" spans="1:5" x14ac:dyDescent="0.4">
      <c r="C872" s="39" t="s">
        <v>719</v>
      </c>
      <c r="D872" s="10" t="s">
        <v>573</v>
      </c>
      <c r="E872" s="1">
        <v>3000</v>
      </c>
    </row>
    <row r="873" spans="1:5" x14ac:dyDescent="0.4">
      <c r="B873" s="10" t="s">
        <v>579</v>
      </c>
      <c r="C873" s="10" t="s">
        <v>316</v>
      </c>
      <c r="E873" s="1">
        <v>194.98</v>
      </c>
    </row>
    <row r="874" spans="1:5" x14ac:dyDescent="0.4">
      <c r="C874" s="11" t="s">
        <v>4</v>
      </c>
      <c r="E874" s="1">
        <v>194.98</v>
      </c>
    </row>
    <row r="875" spans="1:5" x14ac:dyDescent="0.4">
      <c r="C875" s="39" t="s">
        <v>386</v>
      </c>
      <c r="D875" s="10" t="s">
        <v>322</v>
      </c>
      <c r="E875" s="1">
        <v>194.98</v>
      </c>
    </row>
    <row r="876" spans="1:5" x14ac:dyDescent="0.4">
      <c r="B876" s="10" t="s">
        <v>720</v>
      </c>
      <c r="C876" s="10" t="s">
        <v>316</v>
      </c>
      <c r="E876" s="1">
        <v>231</v>
      </c>
    </row>
    <row r="877" spans="1:5" x14ac:dyDescent="0.4">
      <c r="C877" s="11" t="s">
        <v>2</v>
      </c>
      <c r="E877" s="1">
        <v>231</v>
      </c>
    </row>
    <row r="878" spans="1:5" x14ac:dyDescent="0.4">
      <c r="C878" s="39" t="s">
        <v>328</v>
      </c>
      <c r="D878" s="10" t="s">
        <v>395</v>
      </c>
      <c r="E878" s="1">
        <v>231</v>
      </c>
    </row>
    <row r="879" spans="1:5" x14ac:dyDescent="0.4">
      <c r="B879" s="10" t="s">
        <v>721</v>
      </c>
      <c r="C879" s="10" t="s">
        <v>316</v>
      </c>
      <c r="E879" s="1">
        <v>465</v>
      </c>
    </row>
    <row r="880" spans="1:5" x14ac:dyDescent="0.4">
      <c r="C880" s="11" t="s">
        <v>3</v>
      </c>
      <c r="E880" s="1">
        <v>465</v>
      </c>
    </row>
    <row r="881" spans="1:5" x14ac:dyDescent="0.4">
      <c r="C881" s="39" t="s">
        <v>343</v>
      </c>
      <c r="D881" s="10" t="s">
        <v>322</v>
      </c>
      <c r="E881" s="1">
        <v>465</v>
      </c>
    </row>
    <row r="882" spans="1:5" x14ac:dyDescent="0.4">
      <c r="B882" s="10" t="s">
        <v>722</v>
      </c>
      <c r="C882" s="10" t="s">
        <v>316</v>
      </c>
      <c r="E882" s="1">
        <v>232.69</v>
      </c>
    </row>
    <row r="883" spans="1:5" x14ac:dyDescent="0.4">
      <c r="C883" s="11" t="s">
        <v>4</v>
      </c>
      <c r="E883" s="1">
        <v>232.69</v>
      </c>
    </row>
    <row r="884" spans="1:5" x14ac:dyDescent="0.4">
      <c r="C884" s="39" t="s">
        <v>542</v>
      </c>
      <c r="D884" s="10" t="s">
        <v>322</v>
      </c>
      <c r="E884" s="1">
        <v>232.69</v>
      </c>
    </row>
    <row r="885" spans="1:5" x14ac:dyDescent="0.4">
      <c r="B885" s="10" t="s">
        <v>723</v>
      </c>
      <c r="C885" s="10" t="s">
        <v>316</v>
      </c>
      <c r="E885" s="1">
        <v>388.99</v>
      </c>
    </row>
    <row r="886" spans="1:5" x14ac:dyDescent="0.4">
      <c r="C886" s="11" t="s">
        <v>4</v>
      </c>
      <c r="E886" s="1">
        <v>388.99</v>
      </c>
    </row>
    <row r="887" spans="1:5" x14ac:dyDescent="0.4">
      <c r="C887" s="39" t="s">
        <v>724</v>
      </c>
      <c r="D887" s="10" t="s">
        <v>322</v>
      </c>
      <c r="E887" s="1">
        <v>388.99</v>
      </c>
    </row>
    <row r="888" spans="1:5" x14ac:dyDescent="0.4">
      <c r="B888" s="10" t="s">
        <v>725</v>
      </c>
      <c r="C888" s="10" t="s">
        <v>316</v>
      </c>
      <c r="E888" s="1">
        <v>3133.16</v>
      </c>
    </row>
    <row r="889" spans="1:5" x14ac:dyDescent="0.4">
      <c r="C889" s="11" t="s">
        <v>5</v>
      </c>
      <c r="E889" s="1">
        <v>3133.16</v>
      </c>
    </row>
    <row r="890" spans="1:5" x14ac:dyDescent="0.4">
      <c r="C890" s="39" t="s">
        <v>359</v>
      </c>
      <c r="D890" s="10" t="s">
        <v>395</v>
      </c>
      <c r="E890" s="1">
        <v>3133.16</v>
      </c>
    </row>
    <row r="891" spans="1:5" x14ac:dyDescent="0.4">
      <c r="A891" s="10" t="s">
        <v>726</v>
      </c>
      <c r="B891" s="10" t="s">
        <v>727</v>
      </c>
      <c r="C891" s="10" t="s">
        <v>316</v>
      </c>
      <c r="E891" s="1">
        <v>500</v>
      </c>
    </row>
    <row r="892" spans="1:5" x14ac:dyDescent="0.4">
      <c r="C892" s="11" t="s">
        <v>1</v>
      </c>
      <c r="E892" s="1">
        <v>500</v>
      </c>
    </row>
    <row r="893" spans="1:5" x14ac:dyDescent="0.4">
      <c r="C893" s="39" t="s">
        <v>728</v>
      </c>
      <c r="D893" s="10" t="s">
        <v>322</v>
      </c>
      <c r="E893" s="1">
        <v>500</v>
      </c>
    </row>
    <row r="894" spans="1:5" x14ac:dyDescent="0.4">
      <c r="A894" s="10" t="s">
        <v>729</v>
      </c>
      <c r="B894" s="10" t="s">
        <v>368</v>
      </c>
      <c r="C894" s="10" t="s">
        <v>316</v>
      </c>
      <c r="E894" s="1">
        <v>0</v>
      </c>
    </row>
    <row r="895" spans="1:5" x14ac:dyDescent="0.4">
      <c r="C895" s="11" t="s">
        <v>3</v>
      </c>
      <c r="E895" s="1">
        <v>0</v>
      </c>
    </row>
    <row r="896" spans="1:5" x14ac:dyDescent="0.4">
      <c r="C896" s="39" t="s">
        <v>343</v>
      </c>
      <c r="D896" s="10" t="s">
        <v>329</v>
      </c>
      <c r="E896" s="1">
        <v>0</v>
      </c>
    </row>
    <row r="897" spans="1:5" x14ac:dyDescent="0.4">
      <c r="A897" s="10" t="s">
        <v>730</v>
      </c>
      <c r="B897" s="10" t="s">
        <v>731</v>
      </c>
      <c r="C897" s="10" t="s">
        <v>316</v>
      </c>
      <c r="E897" s="1">
        <v>1500</v>
      </c>
    </row>
    <row r="898" spans="1:5" x14ac:dyDescent="0.4">
      <c r="C898" s="11" t="s">
        <v>5</v>
      </c>
      <c r="E898" s="1">
        <v>1500</v>
      </c>
    </row>
    <row r="899" spans="1:5" x14ac:dyDescent="0.4">
      <c r="C899" s="39" t="s">
        <v>359</v>
      </c>
      <c r="D899" s="10" t="s">
        <v>318</v>
      </c>
      <c r="E899" s="1">
        <v>1500</v>
      </c>
    </row>
    <row r="900" spans="1:5" x14ac:dyDescent="0.4">
      <c r="A900" s="10" t="s">
        <v>732</v>
      </c>
      <c r="B900" s="10" t="s">
        <v>733</v>
      </c>
      <c r="C900" s="10" t="s">
        <v>316</v>
      </c>
      <c r="E900" s="1">
        <v>0</v>
      </c>
    </row>
    <row r="901" spans="1:5" x14ac:dyDescent="0.4">
      <c r="C901" s="11" t="s">
        <v>2</v>
      </c>
      <c r="E901" s="1">
        <v>0</v>
      </c>
    </row>
    <row r="902" spans="1:5" x14ac:dyDescent="0.4">
      <c r="C902" s="39" t="s">
        <v>328</v>
      </c>
      <c r="D902" s="10" t="s">
        <v>361</v>
      </c>
      <c r="E902" s="1">
        <v>0</v>
      </c>
    </row>
    <row r="903" spans="1:5" x14ac:dyDescent="0.4">
      <c r="B903" s="10" t="s">
        <v>734</v>
      </c>
      <c r="C903" s="10" t="s">
        <v>316</v>
      </c>
      <c r="E903" s="1">
        <v>0</v>
      </c>
    </row>
    <row r="904" spans="1:5" x14ac:dyDescent="0.4">
      <c r="C904" s="11" t="s">
        <v>5</v>
      </c>
      <c r="E904" s="1">
        <v>0</v>
      </c>
    </row>
    <row r="905" spans="1:5" x14ac:dyDescent="0.4">
      <c r="C905" s="39" t="s">
        <v>359</v>
      </c>
      <c r="D905" s="10" t="s">
        <v>318</v>
      </c>
      <c r="E905" s="1">
        <v>0</v>
      </c>
    </row>
    <row r="906" spans="1:5" x14ac:dyDescent="0.4">
      <c r="A906" s="10" t="s">
        <v>735</v>
      </c>
      <c r="B906" s="10" t="s">
        <v>736</v>
      </c>
      <c r="C906" s="10" t="s">
        <v>316</v>
      </c>
      <c r="E906" s="1">
        <v>13.49</v>
      </c>
    </row>
    <row r="907" spans="1:5" x14ac:dyDescent="0.4">
      <c r="C907" s="11" t="s">
        <v>3</v>
      </c>
      <c r="E907" s="1">
        <v>13.49</v>
      </c>
    </row>
    <row r="908" spans="1:5" x14ac:dyDescent="0.4">
      <c r="C908" s="39" t="s">
        <v>700</v>
      </c>
      <c r="D908" s="10" t="s">
        <v>322</v>
      </c>
      <c r="E908" s="1">
        <v>13.49</v>
      </c>
    </row>
    <row r="909" spans="1:5" x14ac:dyDescent="0.4">
      <c r="B909" s="10" t="s">
        <v>737</v>
      </c>
      <c r="C909" s="10" t="s">
        <v>316</v>
      </c>
      <c r="E909" s="1">
        <v>0</v>
      </c>
    </row>
    <row r="910" spans="1:5" x14ac:dyDescent="0.4">
      <c r="C910" s="11" t="s">
        <v>3</v>
      </c>
      <c r="E910" s="1">
        <v>0</v>
      </c>
    </row>
    <row r="911" spans="1:5" x14ac:dyDescent="0.4">
      <c r="C911" s="39" t="s">
        <v>343</v>
      </c>
      <c r="D911" s="10" t="s">
        <v>329</v>
      </c>
      <c r="E911" s="1">
        <v>0</v>
      </c>
    </row>
    <row r="912" spans="1:5" x14ac:dyDescent="0.4">
      <c r="A912" s="10" t="s">
        <v>738</v>
      </c>
      <c r="B912" s="10" t="s">
        <v>739</v>
      </c>
      <c r="C912" s="10" t="s">
        <v>316</v>
      </c>
      <c r="E912" s="1">
        <v>2520</v>
      </c>
    </row>
    <row r="913" spans="1:5" x14ac:dyDescent="0.4">
      <c r="C913" s="11" t="s">
        <v>3</v>
      </c>
      <c r="E913" s="1">
        <v>2520</v>
      </c>
    </row>
    <row r="914" spans="1:5" x14ac:dyDescent="0.4">
      <c r="C914" s="39" t="s">
        <v>343</v>
      </c>
      <c r="D914" s="10" t="s">
        <v>395</v>
      </c>
      <c r="E914" s="1">
        <v>2520</v>
      </c>
    </row>
    <row r="915" spans="1:5" x14ac:dyDescent="0.4">
      <c r="C915" s="11" t="s">
        <v>5</v>
      </c>
      <c r="E915" s="1">
        <v>0</v>
      </c>
    </row>
    <row r="916" spans="1:5" x14ac:dyDescent="0.4">
      <c r="C916" s="39" t="s">
        <v>483</v>
      </c>
      <c r="D916" s="10" t="s">
        <v>395</v>
      </c>
      <c r="E916" s="1">
        <v>0</v>
      </c>
    </row>
    <row r="917" spans="1:5" x14ac:dyDescent="0.4">
      <c r="A917" s="10" t="s">
        <v>740</v>
      </c>
      <c r="B917" s="10" t="s">
        <v>741</v>
      </c>
      <c r="C917" s="10" t="s">
        <v>316</v>
      </c>
      <c r="E917" s="1">
        <v>3000</v>
      </c>
    </row>
    <row r="918" spans="1:5" x14ac:dyDescent="0.4">
      <c r="C918" s="11" t="s">
        <v>4</v>
      </c>
      <c r="E918" s="1">
        <v>3000</v>
      </c>
    </row>
    <row r="919" spans="1:5" x14ac:dyDescent="0.4">
      <c r="C919" s="39" t="s">
        <v>742</v>
      </c>
      <c r="D919" s="10" t="s">
        <v>361</v>
      </c>
      <c r="E919" s="1">
        <v>3000</v>
      </c>
    </row>
    <row r="920" spans="1:5" x14ac:dyDescent="0.4">
      <c r="B920" s="10" t="s">
        <v>743</v>
      </c>
      <c r="C920" s="10" t="s">
        <v>316</v>
      </c>
      <c r="E920" s="1">
        <v>650</v>
      </c>
    </row>
    <row r="921" spans="1:5" x14ac:dyDescent="0.4">
      <c r="C921" s="11" t="s">
        <v>6</v>
      </c>
      <c r="E921" s="1">
        <v>650</v>
      </c>
    </row>
    <row r="922" spans="1:5" x14ac:dyDescent="0.4">
      <c r="C922" s="39" t="s">
        <v>415</v>
      </c>
      <c r="D922" s="10" t="s">
        <v>361</v>
      </c>
      <c r="E922" s="1">
        <v>650</v>
      </c>
    </row>
    <row r="923" spans="1:5" x14ac:dyDescent="0.4">
      <c r="B923" s="10" t="s">
        <v>744</v>
      </c>
      <c r="C923" s="10" t="s">
        <v>316</v>
      </c>
      <c r="E923" s="1">
        <v>310</v>
      </c>
    </row>
    <row r="924" spans="1:5" x14ac:dyDescent="0.4">
      <c r="C924" s="11" t="s">
        <v>5</v>
      </c>
      <c r="E924" s="1">
        <v>310</v>
      </c>
    </row>
    <row r="925" spans="1:5" x14ac:dyDescent="0.4">
      <c r="C925" s="39" t="s">
        <v>359</v>
      </c>
      <c r="D925" s="10" t="s">
        <v>361</v>
      </c>
      <c r="E925" s="1">
        <v>310</v>
      </c>
    </row>
    <row r="926" spans="1:5" x14ac:dyDescent="0.4">
      <c r="B926" s="10" t="s">
        <v>745</v>
      </c>
      <c r="C926" s="10" t="s">
        <v>316</v>
      </c>
      <c r="E926" s="1">
        <v>3495.38</v>
      </c>
    </row>
    <row r="927" spans="1:5" x14ac:dyDescent="0.4">
      <c r="C927" s="11" t="s">
        <v>6</v>
      </c>
      <c r="E927" s="1">
        <v>3495.38</v>
      </c>
    </row>
    <row r="928" spans="1:5" x14ac:dyDescent="0.4">
      <c r="C928" s="39" t="s">
        <v>415</v>
      </c>
      <c r="D928" s="10" t="s">
        <v>361</v>
      </c>
      <c r="E928" s="1">
        <v>3495.38</v>
      </c>
    </row>
    <row r="929" spans="1:5" x14ac:dyDescent="0.4">
      <c r="B929" s="10" t="s">
        <v>746</v>
      </c>
      <c r="C929" s="10" t="s">
        <v>316</v>
      </c>
      <c r="E929" s="1">
        <v>310</v>
      </c>
    </row>
    <row r="930" spans="1:5" x14ac:dyDescent="0.4">
      <c r="C930" s="11" t="s">
        <v>4</v>
      </c>
      <c r="E930" s="1">
        <v>310</v>
      </c>
    </row>
    <row r="931" spans="1:5" x14ac:dyDescent="0.4">
      <c r="C931" s="39" t="s">
        <v>533</v>
      </c>
      <c r="D931" s="10" t="s">
        <v>322</v>
      </c>
      <c r="E931" s="1">
        <v>310</v>
      </c>
    </row>
    <row r="932" spans="1:5" x14ac:dyDescent="0.4">
      <c r="A932" s="10" t="s">
        <v>747</v>
      </c>
      <c r="B932" s="10" t="s">
        <v>748</v>
      </c>
      <c r="C932" s="10" t="s">
        <v>316</v>
      </c>
      <c r="E932" s="1">
        <v>3310</v>
      </c>
    </row>
    <row r="933" spans="1:5" x14ac:dyDescent="0.4">
      <c r="C933" s="11" t="s">
        <v>5</v>
      </c>
      <c r="E933" s="1">
        <v>3310</v>
      </c>
    </row>
    <row r="934" spans="1:5" x14ac:dyDescent="0.4">
      <c r="C934" s="39" t="s">
        <v>359</v>
      </c>
      <c r="D934" s="10" t="s">
        <v>749</v>
      </c>
      <c r="E934" s="1">
        <v>3310</v>
      </c>
    </row>
    <row r="935" spans="1:5" x14ac:dyDescent="0.4">
      <c r="A935" s="10" t="s">
        <v>750</v>
      </c>
      <c r="B935" s="10" t="s">
        <v>751</v>
      </c>
      <c r="C935" s="10" t="s">
        <v>316</v>
      </c>
      <c r="E935" s="1">
        <v>4500</v>
      </c>
    </row>
    <row r="936" spans="1:5" x14ac:dyDescent="0.4">
      <c r="C936" s="11" t="s">
        <v>5</v>
      </c>
      <c r="E936" s="1">
        <v>4500</v>
      </c>
    </row>
    <row r="937" spans="1:5" x14ac:dyDescent="0.4">
      <c r="C937" s="39" t="s">
        <v>359</v>
      </c>
      <c r="D937" s="10" t="s">
        <v>361</v>
      </c>
      <c r="E937" s="1">
        <v>4500</v>
      </c>
    </row>
    <row r="938" spans="1:5" x14ac:dyDescent="0.4">
      <c r="A938" s="10" t="s">
        <v>752</v>
      </c>
      <c r="B938" s="10" t="s">
        <v>753</v>
      </c>
      <c r="C938" s="10" t="s">
        <v>316</v>
      </c>
      <c r="E938" s="1">
        <v>0</v>
      </c>
    </row>
    <row r="939" spans="1:5" x14ac:dyDescent="0.4">
      <c r="C939" s="11" t="s">
        <v>4</v>
      </c>
      <c r="E939" s="1">
        <v>0</v>
      </c>
    </row>
    <row r="940" spans="1:5" x14ac:dyDescent="0.4">
      <c r="C940" s="39" t="s">
        <v>386</v>
      </c>
      <c r="D940" s="10" t="s">
        <v>361</v>
      </c>
      <c r="E940" s="1">
        <v>0</v>
      </c>
    </row>
    <row r="941" spans="1:5" x14ac:dyDescent="0.4">
      <c r="A941" s="10" t="s">
        <v>754</v>
      </c>
      <c r="B941" s="10" t="s">
        <v>631</v>
      </c>
      <c r="C941" s="10" t="s">
        <v>316</v>
      </c>
      <c r="E941" s="1">
        <v>15000</v>
      </c>
    </row>
    <row r="942" spans="1:5" x14ac:dyDescent="0.4">
      <c r="C942" s="11" t="s">
        <v>12</v>
      </c>
      <c r="E942" s="1">
        <v>15000</v>
      </c>
    </row>
    <row r="943" spans="1:5" x14ac:dyDescent="0.4">
      <c r="C943" s="39" t="s">
        <v>398</v>
      </c>
      <c r="D943" s="10" t="s">
        <v>361</v>
      </c>
      <c r="E943" s="1">
        <v>15000</v>
      </c>
    </row>
    <row r="944" spans="1:5" x14ac:dyDescent="0.4">
      <c r="A944" s="10" t="s">
        <v>755</v>
      </c>
      <c r="B944" s="10" t="s">
        <v>756</v>
      </c>
      <c r="C944" s="10" t="s">
        <v>316</v>
      </c>
      <c r="E944" s="1">
        <v>65.97</v>
      </c>
    </row>
    <row r="945" spans="1:5" x14ac:dyDescent="0.4">
      <c r="C945" s="11" t="s">
        <v>4</v>
      </c>
      <c r="E945" s="1">
        <v>65.97</v>
      </c>
    </row>
    <row r="946" spans="1:5" x14ac:dyDescent="0.4">
      <c r="C946" s="39" t="s">
        <v>371</v>
      </c>
      <c r="D946" s="10" t="s">
        <v>322</v>
      </c>
      <c r="E946" s="1">
        <v>65.97</v>
      </c>
    </row>
    <row r="947" spans="1:5" x14ac:dyDescent="0.4">
      <c r="B947" s="10" t="s">
        <v>757</v>
      </c>
      <c r="C947" s="10" t="s">
        <v>316</v>
      </c>
      <c r="E947" s="1">
        <v>882</v>
      </c>
    </row>
    <row r="948" spans="1:5" x14ac:dyDescent="0.4">
      <c r="C948" s="11" t="s">
        <v>4</v>
      </c>
      <c r="E948" s="1">
        <v>882</v>
      </c>
    </row>
    <row r="949" spans="1:5" x14ac:dyDescent="0.4">
      <c r="C949" s="39" t="s">
        <v>552</v>
      </c>
      <c r="D949" s="10" t="s">
        <v>322</v>
      </c>
      <c r="E949" s="1">
        <v>882</v>
      </c>
    </row>
    <row r="950" spans="1:5" x14ac:dyDescent="0.4">
      <c r="B950" s="10" t="s">
        <v>758</v>
      </c>
      <c r="C950" s="10" t="s">
        <v>316</v>
      </c>
      <c r="E950" s="1">
        <v>770</v>
      </c>
    </row>
    <row r="951" spans="1:5" x14ac:dyDescent="0.4">
      <c r="C951" s="11" t="s">
        <v>4</v>
      </c>
      <c r="E951" s="1">
        <v>770</v>
      </c>
    </row>
    <row r="952" spans="1:5" x14ac:dyDescent="0.4">
      <c r="C952" s="39" t="s">
        <v>386</v>
      </c>
      <c r="D952" s="10" t="s">
        <v>322</v>
      </c>
      <c r="E952" s="1">
        <v>770</v>
      </c>
    </row>
    <row r="953" spans="1:5" x14ac:dyDescent="0.4">
      <c r="A953" s="10" t="s">
        <v>759</v>
      </c>
      <c r="B953" s="10" t="s">
        <v>760</v>
      </c>
      <c r="C953" s="10" t="s">
        <v>316</v>
      </c>
      <c r="E953" s="1">
        <v>100</v>
      </c>
    </row>
    <row r="954" spans="1:5" x14ac:dyDescent="0.4">
      <c r="C954" s="11" t="s">
        <v>4</v>
      </c>
      <c r="E954" s="1">
        <v>100</v>
      </c>
    </row>
    <row r="955" spans="1:5" x14ac:dyDescent="0.4">
      <c r="C955" s="39" t="s">
        <v>761</v>
      </c>
      <c r="D955" s="10" t="s">
        <v>322</v>
      </c>
      <c r="E955" s="1">
        <v>100</v>
      </c>
    </row>
    <row r="956" spans="1:5" x14ac:dyDescent="0.4">
      <c r="A956" s="10" t="s">
        <v>762</v>
      </c>
      <c r="B956" s="10" t="s">
        <v>763</v>
      </c>
      <c r="C956" s="10" t="s">
        <v>316</v>
      </c>
      <c r="E956" s="1">
        <v>1670</v>
      </c>
    </row>
    <row r="957" spans="1:5" x14ac:dyDescent="0.4">
      <c r="C957" s="11" t="s">
        <v>4</v>
      </c>
      <c r="E957" s="1">
        <v>1670</v>
      </c>
    </row>
    <row r="958" spans="1:5" x14ac:dyDescent="0.4">
      <c r="C958" s="39" t="s">
        <v>555</v>
      </c>
      <c r="D958" s="10" t="s">
        <v>361</v>
      </c>
      <c r="E958" s="1">
        <v>1670</v>
      </c>
    </row>
    <row r="959" spans="1:5" x14ac:dyDescent="0.4">
      <c r="B959" s="10" t="s">
        <v>764</v>
      </c>
      <c r="C959" s="10" t="s">
        <v>316</v>
      </c>
      <c r="E959" s="1">
        <v>20.8</v>
      </c>
    </row>
    <row r="960" spans="1:5" x14ac:dyDescent="0.4">
      <c r="C960" s="11" t="s">
        <v>5</v>
      </c>
      <c r="E960" s="1">
        <v>20.8</v>
      </c>
    </row>
    <row r="961" spans="1:5" x14ac:dyDescent="0.4">
      <c r="C961" s="39" t="s">
        <v>364</v>
      </c>
      <c r="D961" s="10" t="s">
        <v>322</v>
      </c>
      <c r="E961" s="1">
        <v>20.8</v>
      </c>
    </row>
    <row r="962" spans="1:5" x14ac:dyDescent="0.4">
      <c r="B962" s="10" t="s">
        <v>765</v>
      </c>
      <c r="C962" s="10" t="s">
        <v>316</v>
      </c>
      <c r="E962" s="1">
        <v>0</v>
      </c>
    </row>
    <row r="963" spans="1:5" x14ac:dyDescent="0.4">
      <c r="C963" s="11" t="s">
        <v>5</v>
      </c>
      <c r="E963" s="1">
        <v>0</v>
      </c>
    </row>
    <row r="964" spans="1:5" x14ac:dyDescent="0.4">
      <c r="C964" s="39" t="s">
        <v>359</v>
      </c>
      <c r="D964" s="10" t="s">
        <v>318</v>
      </c>
      <c r="E964" s="1">
        <v>0</v>
      </c>
    </row>
    <row r="965" spans="1:5" x14ac:dyDescent="0.4">
      <c r="A965" s="10" t="s">
        <v>766</v>
      </c>
      <c r="E965" s="1">
        <v>691625.62999999989</v>
      </c>
    </row>
    <row r="966" spans="1:5" x14ac:dyDescent="0.4">
      <c r="E966"/>
    </row>
    <row r="967" spans="1:5" x14ac:dyDescent="0.4">
      <c r="E967"/>
    </row>
    <row r="968" spans="1:5" x14ac:dyDescent="0.4">
      <c r="E968"/>
    </row>
    <row r="969" spans="1:5" x14ac:dyDescent="0.4">
      <c r="E969"/>
    </row>
    <row r="970" spans="1:5" x14ac:dyDescent="0.4">
      <c r="E970"/>
    </row>
    <row r="971" spans="1:5" x14ac:dyDescent="0.4">
      <c r="E971"/>
    </row>
    <row r="972" spans="1:5" x14ac:dyDescent="0.4">
      <c r="E972"/>
    </row>
    <row r="973" spans="1:5" x14ac:dyDescent="0.4">
      <c r="E973"/>
    </row>
    <row r="974" spans="1:5" x14ac:dyDescent="0.4">
      <c r="E974"/>
    </row>
    <row r="975" spans="1:5" x14ac:dyDescent="0.4">
      <c r="E975"/>
    </row>
    <row r="976" spans="1:5" x14ac:dyDescent="0.4">
      <c r="E976"/>
    </row>
    <row r="977" spans="5:5" x14ac:dyDescent="0.4">
      <c r="E977"/>
    </row>
    <row r="978" spans="5:5" x14ac:dyDescent="0.4">
      <c r="E978"/>
    </row>
    <row r="979" spans="5:5" x14ac:dyDescent="0.4">
      <c r="E979"/>
    </row>
    <row r="980" spans="5:5" x14ac:dyDescent="0.4">
      <c r="E980"/>
    </row>
    <row r="981" spans="5:5" x14ac:dyDescent="0.4">
      <c r="E981"/>
    </row>
    <row r="982" spans="5:5" x14ac:dyDescent="0.4">
      <c r="E982"/>
    </row>
    <row r="983" spans="5:5" x14ac:dyDescent="0.4">
      <c r="E983"/>
    </row>
    <row r="984" spans="5:5" x14ac:dyDescent="0.4">
      <c r="E984"/>
    </row>
    <row r="985" spans="5:5" x14ac:dyDescent="0.4">
      <c r="E985"/>
    </row>
    <row r="986" spans="5:5" x14ac:dyDescent="0.4">
      <c r="E986"/>
    </row>
    <row r="987" spans="5:5" x14ac:dyDescent="0.4">
      <c r="E987"/>
    </row>
    <row r="988" spans="5:5" x14ac:dyDescent="0.4">
      <c r="E988"/>
    </row>
    <row r="989" spans="5:5" x14ac:dyDescent="0.4">
      <c r="E989"/>
    </row>
    <row r="990" spans="5:5" x14ac:dyDescent="0.4">
      <c r="E990"/>
    </row>
    <row r="991" spans="5:5" x14ac:dyDescent="0.4">
      <c r="E991"/>
    </row>
    <row r="992" spans="5:5" x14ac:dyDescent="0.4">
      <c r="E992"/>
    </row>
    <row r="993" spans="5:5" x14ac:dyDescent="0.4">
      <c r="E993"/>
    </row>
    <row r="994" spans="5:5" x14ac:dyDescent="0.4">
      <c r="E994"/>
    </row>
    <row r="995" spans="5:5" x14ac:dyDescent="0.4">
      <c r="E995"/>
    </row>
    <row r="996" spans="5:5" x14ac:dyDescent="0.4">
      <c r="E996"/>
    </row>
    <row r="997" spans="5:5" x14ac:dyDescent="0.4">
      <c r="E997"/>
    </row>
    <row r="998" spans="5:5" x14ac:dyDescent="0.4">
      <c r="E998"/>
    </row>
    <row r="999" spans="5:5" x14ac:dyDescent="0.4">
      <c r="E999"/>
    </row>
    <row r="1000" spans="5:5" x14ac:dyDescent="0.4">
      <c r="E1000"/>
    </row>
    <row r="1001" spans="5:5" x14ac:dyDescent="0.4">
      <c r="E1001"/>
    </row>
    <row r="1002" spans="5:5" x14ac:dyDescent="0.4">
      <c r="E1002"/>
    </row>
    <row r="1003" spans="5:5" x14ac:dyDescent="0.4">
      <c r="E1003"/>
    </row>
    <row r="1004" spans="5:5" x14ac:dyDescent="0.4">
      <c r="E1004"/>
    </row>
    <row r="1005" spans="5:5" x14ac:dyDescent="0.4">
      <c r="E1005"/>
    </row>
    <row r="1006" spans="5:5" x14ac:dyDescent="0.4">
      <c r="E1006"/>
    </row>
    <row r="1007" spans="5:5" x14ac:dyDescent="0.4">
      <c r="E1007"/>
    </row>
    <row r="1008" spans="5:5" x14ac:dyDescent="0.4">
      <c r="E1008"/>
    </row>
    <row r="1009" spans="5:5" x14ac:dyDescent="0.4">
      <c r="E1009"/>
    </row>
    <row r="1010" spans="5:5" x14ac:dyDescent="0.4">
      <c r="E1010"/>
    </row>
    <row r="1011" spans="5:5" x14ac:dyDescent="0.4">
      <c r="E1011"/>
    </row>
    <row r="1012" spans="5:5" x14ac:dyDescent="0.4">
      <c r="E1012"/>
    </row>
    <row r="1013" spans="5:5" x14ac:dyDescent="0.4">
      <c r="E1013"/>
    </row>
    <row r="1014" spans="5:5" x14ac:dyDescent="0.4">
      <c r="E1014"/>
    </row>
    <row r="1015" spans="5:5" x14ac:dyDescent="0.4">
      <c r="E1015"/>
    </row>
    <row r="1016" spans="5:5" x14ac:dyDescent="0.4">
      <c r="E1016"/>
    </row>
    <row r="1017" spans="5:5" x14ac:dyDescent="0.4">
      <c r="E1017"/>
    </row>
    <row r="1018" spans="5:5" x14ac:dyDescent="0.4">
      <c r="E1018"/>
    </row>
    <row r="1019" spans="5:5" x14ac:dyDescent="0.4">
      <c r="E1019"/>
    </row>
    <row r="1020" spans="5:5" x14ac:dyDescent="0.4">
      <c r="E1020"/>
    </row>
    <row r="1021" spans="5:5" x14ac:dyDescent="0.4">
      <c r="E1021"/>
    </row>
    <row r="1022" spans="5:5" x14ac:dyDescent="0.4">
      <c r="E1022"/>
    </row>
    <row r="1023" spans="5:5" x14ac:dyDescent="0.4">
      <c r="E1023"/>
    </row>
    <row r="1024" spans="5:5" x14ac:dyDescent="0.4">
      <c r="E1024"/>
    </row>
    <row r="1025" spans="5:5" x14ac:dyDescent="0.4">
      <c r="E1025"/>
    </row>
    <row r="1026" spans="5:5" x14ac:dyDescent="0.4">
      <c r="E1026"/>
    </row>
    <row r="1027" spans="5:5" x14ac:dyDescent="0.4">
      <c r="E1027"/>
    </row>
    <row r="1028" spans="5:5" x14ac:dyDescent="0.4">
      <c r="E1028"/>
    </row>
    <row r="1029" spans="5:5" x14ac:dyDescent="0.4">
      <c r="E1029"/>
    </row>
    <row r="1030" spans="5:5" x14ac:dyDescent="0.4">
      <c r="E1030"/>
    </row>
    <row r="1031" spans="5:5" x14ac:dyDescent="0.4">
      <c r="E1031"/>
    </row>
    <row r="1032" spans="5:5" x14ac:dyDescent="0.4">
      <c r="E1032"/>
    </row>
    <row r="1033" spans="5:5" x14ac:dyDescent="0.4">
      <c r="E1033"/>
    </row>
    <row r="1034" spans="5:5" x14ac:dyDescent="0.4">
      <c r="E1034"/>
    </row>
    <row r="1035" spans="5:5" x14ac:dyDescent="0.4">
      <c r="E1035"/>
    </row>
    <row r="1036" spans="5:5" x14ac:dyDescent="0.4">
      <c r="E1036"/>
    </row>
    <row r="1037" spans="5:5" x14ac:dyDescent="0.4">
      <c r="E1037"/>
    </row>
    <row r="1038" spans="5:5" x14ac:dyDescent="0.4">
      <c r="E1038"/>
    </row>
    <row r="1039" spans="5:5" x14ac:dyDescent="0.4">
      <c r="E1039"/>
    </row>
    <row r="1040" spans="5:5" x14ac:dyDescent="0.4">
      <c r="E1040"/>
    </row>
    <row r="1041" spans="5:5" x14ac:dyDescent="0.4">
      <c r="E1041"/>
    </row>
    <row r="1042" spans="5:5" x14ac:dyDescent="0.4">
      <c r="E1042"/>
    </row>
    <row r="1043" spans="5:5" x14ac:dyDescent="0.4">
      <c r="E1043"/>
    </row>
    <row r="1044" spans="5:5" x14ac:dyDescent="0.4">
      <c r="E1044"/>
    </row>
    <row r="1045" spans="5:5" x14ac:dyDescent="0.4">
      <c r="E1045"/>
    </row>
    <row r="1046" spans="5:5" x14ac:dyDescent="0.4">
      <c r="E1046"/>
    </row>
    <row r="1047" spans="5:5" x14ac:dyDescent="0.4">
      <c r="E1047"/>
    </row>
    <row r="1048" spans="5:5" x14ac:dyDescent="0.4">
      <c r="E1048"/>
    </row>
    <row r="1049" spans="5:5" x14ac:dyDescent="0.4">
      <c r="E1049"/>
    </row>
    <row r="1050" spans="5:5" x14ac:dyDescent="0.4">
      <c r="E1050"/>
    </row>
    <row r="1051" spans="5:5" x14ac:dyDescent="0.4">
      <c r="E1051"/>
    </row>
    <row r="1052" spans="5:5" x14ac:dyDescent="0.4">
      <c r="E1052"/>
    </row>
    <row r="1053" spans="5:5" x14ac:dyDescent="0.4">
      <c r="E1053"/>
    </row>
    <row r="1054" spans="5:5" x14ac:dyDescent="0.4">
      <c r="E1054"/>
    </row>
    <row r="1055" spans="5:5" x14ac:dyDescent="0.4">
      <c r="E1055"/>
    </row>
    <row r="1056" spans="5:5" x14ac:dyDescent="0.4">
      <c r="E1056"/>
    </row>
    <row r="1057" spans="5:5" x14ac:dyDescent="0.4">
      <c r="E1057"/>
    </row>
    <row r="1058" spans="5:5" x14ac:dyDescent="0.4">
      <c r="E1058"/>
    </row>
    <row r="1059" spans="5:5" x14ac:dyDescent="0.4">
      <c r="E1059"/>
    </row>
    <row r="1060" spans="5:5" x14ac:dyDescent="0.4">
      <c r="E1060"/>
    </row>
    <row r="1061" spans="5:5" x14ac:dyDescent="0.4">
      <c r="E1061"/>
    </row>
    <row r="1062" spans="5:5" x14ac:dyDescent="0.4">
      <c r="E1062"/>
    </row>
    <row r="1063" spans="5:5" x14ac:dyDescent="0.4">
      <c r="E1063"/>
    </row>
    <row r="1064" spans="5:5" x14ac:dyDescent="0.4">
      <c r="E1064"/>
    </row>
    <row r="1065" spans="5:5" x14ac:dyDescent="0.4">
      <c r="E1065"/>
    </row>
    <row r="1066" spans="5:5" x14ac:dyDescent="0.4">
      <c r="E1066"/>
    </row>
    <row r="1067" spans="5:5" x14ac:dyDescent="0.4">
      <c r="E1067"/>
    </row>
    <row r="1068" spans="5:5" x14ac:dyDescent="0.4">
      <c r="E1068"/>
    </row>
    <row r="1069" spans="5:5" x14ac:dyDescent="0.4">
      <c r="E1069"/>
    </row>
    <row r="1070" spans="5:5" x14ac:dyDescent="0.4">
      <c r="E1070"/>
    </row>
    <row r="1071" spans="5:5" x14ac:dyDescent="0.4">
      <c r="E1071"/>
    </row>
    <row r="1072" spans="5:5" x14ac:dyDescent="0.4">
      <c r="E1072"/>
    </row>
    <row r="1073" spans="5:5" x14ac:dyDescent="0.4">
      <c r="E1073"/>
    </row>
    <row r="1074" spans="5:5" x14ac:dyDescent="0.4">
      <c r="E1074"/>
    </row>
    <row r="1075" spans="5:5" x14ac:dyDescent="0.4">
      <c r="E1075"/>
    </row>
    <row r="1076" spans="5:5" x14ac:dyDescent="0.4">
      <c r="E1076"/>
    </row>
    <row r="1077" spans="5:5" x14ac:dyDescent="0.4">
      <c r="E1077"/>
    </row>
    <row r="1078" spans="5:5" x14ac:dyDescent="0.4">
      <c r="E1078"/>
    </row>
    <row r="1079" spans="5:5" x14ac:dyDescent="0.4">
      <c r="E1079"/>
    </row>
    <row r="1080" spans="5:5" x14ac:dyDescent="0.4">
      <c r="E1080"/>
    </row>
    <row r="1081" spans="5:5" x14ac:dyDescent="0.4">
      <c r="E1081"/>
    </row>
    <row r="1082" spans="5:5" x14ac:dyDescent="0.4">
      <c r="E1082"/>
    </row>
    <row r="1083" spans="5:5" x14ac:dyDescent="0.4">
      <c r="E1083"/>
    </row>
    <row r="1084" spans="5:5" x14ac:dyDescent="0.4">
      <c r="E1084"/>
    </row>
    <row r="1085" spans="5:5" x14ac:dyDescent="0.4">
      <c r="E1085"/>
    </row>
    <row r="1086" spans="5:5" x14ac:dyDescent="0.4">
      <c r="E1086"/>
    </row>
    <row r="1087" spans="5:5" x14ac:dyDescent="0.4">
      <c r="E1087"/>
    </row>
    <row r="1088" spans="5:5" x14ac:dyDescent="0.4">
      <c r="E1088"/>
    </row>
    <row r="1089" spans="5:5" x14ac:dyDescent="0.4">
      <c r="E1089"/>
    </row>
    <row r="1090" spans="5:5" x14ac:dyDescent="0.4">
      <c r="E1090"/>
    </row>
    <row r="1091" spans="5:5" x14ac:dyDescent="0.4">
      <c r="E1091"/>
    </row>
    <row r="1092" spans="5:5" x14ac:dyDescent="0.4">
      <c r="E1092"/>
    </row>
    <row r="1093" spans="5:5" x14ac:dyDescent="0.4">
      <c r="E1093"/>
    </row>
    <row r="1094" spans="5:5" x14ac:dyDescent="0.4">
      <c r="E1094"/>
    </row>
    <row r="1095" spans="5:5" x14ac:dyDescent="0.4">
      <c r="E1095"/>
    </row>
    <row r="1096" spans="5:5" x14ac:dyDescent="0.4">
      <c r="E1096"/>
    </row>
    <row r="1097" spans="5:5" x14ac:dyDescent="0.4">
      <c r="E1097"/>
    </row>
    <row r="1098" spans="5:5" x14ac:dyDescent="0.4">
      <c r="E1098"/>
    </row>
    <row r="1099" spans="5:5" x14ac:dyDescent="0.4">
      <c r="E1099"/>
    </row>
    <row r="1100" spans="5:5" x14ac:dyDescent="0.4">
      <c r="E1100"/>
    </row>
    <row r="1101" spans="5:5" x14ac:dyDescent="0.4">
      <c r="E1101"/>
    </row>
    <row r="1102" spans="5:5" x14ac:dyDescent="0.4">
      <c r="E1102"/>
    </row>
    <row r="1103" spans="5:5" x14ac:dyDescent="0.4">
      <c r="E1103"/>
    </row>
    <row r="1104" spans="5:5" x14ac:dyDescent="0.4">
      <c r="E1104"/>
    </row>
    <row r="1105" spans="5:5" x14ac:dyDescent="0.4">
      <c r="E1105"/>
    </row>
    <row r="1106" spans="5:5" x14ac:dyDescent="0.4">
      <c r="E1106"/>
    </row>
    <row r="1107" spans="5:5" x14ac:dyDescent="0.4">
      <c r="E1107"/>
    </row>
    <row r="1108" spans="5:5" x14ac:dyDescent="0.4">
      <c r="E1108"/>
    </row>
    <row r="1109" spans="5:5" x14ac:dyDescent="0.4">
      <c r="E1109"/>
    </row>
    <row r="1110" spans="5:5" x14ac:dyDescent="0.4">
      <c r="E1110"/>
    </row>
    <row r="1111" spans="5:5" x14ac:dyDescent="0.4">
      <c r="E1111"/>
    </row>
    <row r="1112" spans="5:5" x14ac:dyDescent="0.4">
      <c r="E1112"/>
    </row>
    <row r="1113" spans="5:5" x14ac:dyDescent="0.4">
      <c r="E1113"/>
    </row>
    <row r="1114" spans="5:5" x14ac:dyDescent="0.4">
      <c r="E1114"/>
    </row>
    <row r="1115" spans="5:5" x14ac:dyDescent="0.4">
      <c r="E1115"/>
    </row>
    <row r="1116" spans="5:5" x14ac:dyDescent="0.4">
      <c r="E1116"/>
    </row>
    <row r="1117" spans="5:5" x14ac:dyDescent="0.4">
      <c r="E1117"/>
    </row>
    <row r="1118" spans="5:5" x14ac:dyDescent="0.4">
      <c r="E1118"/>
    </row>
    <row r="1119" spans="5:5" x14ac:dyDescent="0.4">
      <c r="E1119"/>
    </row>
    <row r="1120" spans="5:5" x14ac:dyDescent="0.4">
      <c r="E1120"/>
    </row>
    <row r="1121" spans="5:5" x14ac:dyDescent="0.4">
      <c r="E1121"/>
    </row>
    <row r="1122" spans="5:5" x14ac:dyDescent="0.4">
      <c r="E1122"/>
    </row>
    <row r="1123" spans="5:5" x14ac:dyDescent="0.4">
      <c r="E1123"/>
    </row>
    <row r="1124" spans="5:5" x14ac:dyDescent="0.4">
      <c r="E1124"/>
    </row>
    <row r="1125" spans="5:5" x14ac:dyDescent="0.4">
      <c r="E1125"/>
    </row>
    <row r="1126" spans="5:5" x14ac:dyDescent="0.4">
      <c r="E1126"/>
    </row>
    <row r="1127" spans="5:5" x14ac:dyDescent="0.4">
      <c r="E1127"/>
    </row>
    <row r="1128" spans="5:5" x14ac:dyDescent="0.4">
      <c r="E1128"/>
    </row>
    <row r="1129" spans="5:5" x14ac:dyDescent="0.4">
      <c r="E1129"/>
    </row>
    <row r="1130" spans="5:5" x14ac:dyDescent="0.4">
      <c r="E1130"/>
    </row>
    <row r="1131" spans="5:5" x14ac:dyDescent="0.4">
      <c r="E1131"/>
    </row>
    <row r="1132" spans="5:5" x14ac:dyDescent="0.4">
      <c r="E1132"/>
    </row>
    <row r="1133" spans="5:5" x14ac:dyDescent="0.4">
      <c r="E1133"/>
    </row>
    <row r="1134" spans="5:5" x14ac:dyDescent="0.4">
      <c r="E1134"/>
    </row>
    <row r="1135" spans="5:5" x14ac:dyDescent="0.4">
      <c r="E1135"/>
    </row>
    <row r="1136" spans="5:5" x14ac:dyDescent="0.4">
      <c r="E1136"/>
    </row>
    <row r="1137" spans="5:5" x14ac:dyDescent="0.4">
      <c r="E1137"/>
    </row>
    <row r="1138" spans="5:5" x14ac:dyDescent="0.4">
      <c r="E1138"/>
    </row>
    <row r="1139" spans="5:5" x14ac:dyDescent="0.4">
      <c r="E1139"/>
    </row>
    <row r="1140" spans="5:5" x14ac:dyDescent="0.4">
      <c r="E1140"/>
    </row>
    <row r="1141" spans="5:5" x14ac:dyDescent="0.4">
      <c r="E1141"/>
    </row>
    <row r="1142" spans="5:5" x14ac:dyDescent="0.4">
      <c r="E1142"/>
    </row>
    <row r="1143" spans="5:5" x14ac:dyDescent="0.4">
      <c r="E1143"/>
    </row>
    <row r="1144" spans="5:5" x14ac:dyDescent="0.4">
      <c r="E1144"/>
    </row>
    <row r="1145" spans="5:5" x14ac:dyDescent="0.4">
      <c r="E1145"/>
    </row>
    <row r="1146" spans="5:5" x14ac:dyDescent="0.4">
      <c r="E1146"/>
    </row>
    <row r="1147" spans="5:5" x14ac:dyDescent="0.4">
      <c r="E1147"/>
    </row>
    <row r="1148" spans="5:5" x14ac:dyDescent="0.4">
      <c r="E1148"/>
    </row>
    <row r="1149" spans="5:5" x14ac:dyDescent="0.4">
      <c r="E1149"/>
    </row>
    <row r="1150" spans="5:5" x14ac:dyDescent="0.4">
      <c r="E1150"/>
    </row>
    <row r="1151" spans="5:5" x14ac:dyDescent="0.4">
      <c r="E1151"/>
    </row>
    <row r="1152" spans="5:5" x14ac:dyDescent="0.4">
      <c r="E1152"/>
    </row>
    <row r="1153" spans="5:5" x14ac:dyDescent="0.4">
      <c r="E1153"/>
    </row>
    <row r="1154" spans="5:5" x14ac:dyDescent="0.4">
      <c r="E1154"/>
    </row>
    <row r="1155" spans="5:5" x14ac:dyDescent="0.4">
      <c r="E1155"/>
    </row>
    <row r="1156" spans="5:5" x14ac:dyDescent="0.4">
      <c r="E1156"/>
    </row>
    <row r="1157" spans="5:5" x14ac:dyDescent="0.4">
      <c r="E1157"/>
    </row>
    <row r="1158" spans="5:5" x14ac:dyDescent="0.4">
      <c r="E1158"/>
    </row>
    <row r="1159" spans="5:5" x14ac:dyDescent="0.4">
      <c r="E1159"/>
    </row>
    <row r="1160" spans="5:5" x14ac:dyDescent="0.4">
      <c r="E1160"/>
    </row>
    <row r="1161" spans="5:5" x14ac:dyDescent="0.4">
      <c r="E1161"/>
    </row>
    <row r="1162" spans="5:5" x14ac:dyDescent="0.4">
      <c r="E1162"/>
    </row>
    <row r="1163" spans="5:5" x14ac:dyDescent="0.4">
      <c r="E1163"/>
    </row>
    <row r="1164" spans="5:5" x14ac:dyDescent="0.4">
      <c r="E1164"/>
    </row>
    <row r="1165" spans="5:5" x14ac:dyDescent="0.4">
      <c r="E1165"/>
    </row>
    <row r="1166" spans="5:5" x14ac:dyDescent="0.4">
      <c r="E1166"/>
    </row>
    <row r="1167" spans="5:5" x14ac:dyDescent="0.4">
      <c r="E1167"/>
    </row>
    <row r="1168" spans="5:5" x14ac:dyDescent="0.4">
      <c r="E1168"/>
    </row>
    <row r="1169" spans="5:5" x14ac:dyDescent="0.4">
      <c r="E1169"/>
    </row>
    <row r="1170" spans="5:5" x14ac:dyDescent="0.4">
      <c r="E1170"/>
    </row>
    <row r="1171" spans="5:5" x14ac:dyDescent="0.4">
      <c r="E1171"/>
    </row>
    <row r="1172" spans="5:5" x14ac:dyDescent="0.4">
      <c r="E1172"/>
    </row>
    <row r="1173" spans="5:5" x14ac:dyDescent="0.4">
      <c r="E1173"/>
    </row>
    <row r="1174" spans="5:5" x14ac:dyDescent="0.4">
      <c r="E1174"/>
    </row>
    <row r="1175" spans="5:5" x14ac:dyDescent="0.4">
      <c r="E1175"/>
    </row>
    <row r="1176" spans="5:5" x14ac:dyDescent="0.4">
      <c r="E1176"/>
    </row>
    <row r="1177" spans="5:5" x14ac:dyDescent="0.4">
      <c r="E1177"/>
    </row>
    <row r="1178" spans="5:5" x14ac:dyDescent="0.4">
      <c r="E1178"/>
    </row>
    <row r="1179" spans="5:5" x14ac:dyDescent="0.4">
      <c r="E1179"/>
    </row>
    <row r="1180" spans="5:5" x14ac:dyDescent="0.4">
      <c r="E1180"/>
    </row>
    <row r="1181" spans="5:5" x14ac:dyDescent="0.4">
      <c r="E1181"/>
    </row>
    <row r="1182" spans="5:5" x14ac:dyDescent="0.4">
      <c r="E1182"/>
    </row>
    <row r="1183" spans="5:5" x14ac:dyDescent="0.4">
      <c r="E1183"/>
    </row>
    <row r="1184" spans="5:5" x14ac:dyDescent="0.4">
      <c r="E1184"/>
    </row>
    <row r="1185" spans="5:5" x14ac:dyDescent="0.4">
      <c r="E1185"/>
    </row>
    <row r="1186" spans="5:5" x14ac:dyDescent="0.4">
      <c r="E1186"/>
    </row>
    <row r="1187" spans="5:5" x14ac:dyDescent="0.4">
      <c r="E1187"/>
    </row>
    <row r="1188" spans="5:5" x14ac:dyDescent="0.4">
      <c r="E1188"/>
    </row>
    <row r="1189" spans="5:5" x14ac:dyDescent="0.4">
      <c r="E1189"/>
    </row>
    <row r="1190" spans="5:5" x14ac:dyDescent="0.4">
      <c r="E1190"/>
    </row>
    <row r="1191" spans="5:5" x14ac:dyDescent="0.4">
      <c r="E1191"/>
    </row>
    <row r="1192" spans="5:5" x14ac:dyDescent="0.4">
      <c r="E1192"/>
    </row>
    <row r="1193" spans="5:5" x14ac:dyDescent="0.4">
      <c r="E1193"/>
    </row>
    <row r="1194" spans="5:5" x14ac:dyDescent="0.4">
      <c r="E1194"/>
    </row>
    <row r="1195" spans="5:5" x14ac:dyDescent="0.4">
      <c r="E1195"/>
    </row>
    <row r="1196" spans="5:5" x14ac:dyDescent="0.4">
      <c r="E1196"/>
    </row>
    <row r="1197" spans="5:5" x14ac:dyDescent="0.4">
      <c r="E1197"/>
    </row>
    <row r="1198" spans="5:5" x14ac:dyDescent="0.4">
      <c r="E1198"/>
    </row>
    <row r="1199" spans="5:5" x14ac:dyDescent="0.4">
      <c r="E1199"/>
    </row>
    <row r="1200" spans="5:5" x14ac:dyDescent="0.4">
      <c r="E1200"/>
    </row>
    <row r="1201" spans="5:5" x14ac:dyDescent="0.4">
      <c r="E1201"/>
    </row>
    <row r="1202" spans="5:5" x14ac:dyDescent="0.4">
      <c r="E1202"/>
    </row>
    <row r="1203" spans="5:5" x14ac:dyDescent="0.4">
      <c r="E1203"/>
    </row>
    <row r="1204" spans="5:5" x14ac:dyDescent="0.4">
      <c r="E1204"/>
    </row>
    <row r="1205" spans="5:5" x14ac:dyDescent="0.4">
      <c r="E1205"/>
    </row>
    <row r="1206" spans="5:5" x14ac:dyDescent="0.4">
      <c r="E1206"/>
    </row>
    <row r="1207" spans="5:5" x14ac:dyDescent="0.4">
      <c r="E1207"/>
    </row>
    <row r="1208" spans="5:5" x14ac:dyDescent="0.4">
      <c r="E1208"/>
    </row>
    <row r="1209" spans="5:5" x14ac:dyDescent="0.4">
      <c r="E1209"/>
    </row>
    <row r="1210" spans="5:5" x14ac:dyDescent="0.4">
      <c r="E1210"/>
    </row>
    <row r="1211" spans="5:5" x14ac:dyDescent="0.4">
      <c r="E1211"/>
    </row>
    <row r="1212" spans="5:5" x14ac:dyDescent="0.4">
      <c r="E1212"/>
    </row>
    <row r="1213" spans="5:5" x14ac:dyDescent="0.4">
      <c r="E1213"/>
    </row>
    <row r="1214" spans="5:5" x14ac:dyDescent="0.4">
      <c r="E1214"/>
    </row>
    <row r="1215" spans="5:5" x14ac:dyDescent="0.4">
      <c r="E1215"/>
    </row>
    <row r="1216" spans="5:5" x14ac:dyDescent="0.4">
      <c r="E1216"/>
    </row>
    <row r="1217" spans="5:5" x14ac:dyDescent="0.4">
      <c r="E1217"/>
    </row>
    <row r="1218" spans="5:5" x14ac:dyDescent="0.4">
      <c r="E1218"/>
    </row>
    <row r="1219" spans="5:5" x14ac:dyDescent="0.4">
      <c r="E1219"/>
    </row>
    <row r="1220" spans="5:5" x14ac:dyDescent="0.4">
      <c r="E1220"/>
    </row>
    <row r="1221" spans="5:5" x14ac:dyDescent="0.4">
      <c r="E1221"/>
    </row>
    <row r="1222" spans="5:5" x14ac:dyDescent="0.4">
      <c r="E1222"/>
    </row>
    <row r="1223" spans="5:5" x14ac:dyDescent="0.4">
      <c r="E1223"/>
    </row>
    <row r="1224" spans="5:5" x14ac:dyDescent="0.4">
      <c r="E1224"/>
    </row>
    <row r="1225" spans="5:5" x14ac:dyDescent="0.4">
      <c r="E1225"/>
    </row>
    <row r="1226" spans="5:5" x14ac:dyDescent="0.4">
      <c r="E1226"/>
    </row>
    <row r="1227" spans="5:5" x14ac:dyDescent="0.4">
      <c r="E1227"/>
    </row>
    <row r="1228" spans="5:5" x14ac:dyDescent="0.4">
      <c r="E1228"/>
    </row>
    <row r="1229" spans="5:5" x14ac:dyDescent="0.4">
      <c r="E1229"/>
    </row>
    <row r="1230" spans="5:5" x14ac:dyDescent="0.4">
      <c r="E1230"/>
    </row>
    <row r="1231" spans="5:5" x14ac:dyDescent="0.4">
      <c r="E1231"/>
    </row>
    <row r="1232" spans="5:5" x14ac:dyDescent="0.4">
      <c r="E1232"/>
    </row>
    <row r="1233" spans="5:5" x14ac:dyDescent="0.4">
      <c r="E1233"/>
    </row>
    <row r="1234" spans="5:5" x14ac:dyDescent="0.4">
      <c r="E1234"/>
    </row>
    <row r="1235" spans="5:5" x14ac:dyDescent="0.4">
      <c r="E1235"/>
    </row>
    <row r="1236" spans="5:5" x14ac:dyDescent="0.4">
      <c r="E1236"/>
    </row>
    <row r="1237" spans="5:5" x14ac:dyDescent="0.4">
      <c r="E1237"/>
    </row>
    <row r="1238" spans="5:5" x14ac:dyDescent="0.4">
      <c r="E1238"/>
    </row>
    <row r="1239" spans="5:5" x14ac:dyDescent="0.4">
      <c r="E1239"/>
    </row>
    <row r="1240" spans="5:5" x14ac:dyDescent="0.4">
      <c r="E1240"/>
    </row>
    <row r="1241" spans="5:5" x14ac:dyDescent="0.4">
      <c r="E1241"/>
    </row>
    <row r="1242" spans="5:5" x14ac:dyDescent="0.4">
      <c r="E1242"/>
    </row>
    <row r="1243" spans="5:5" x14ac:dyDescent="0.4">
      <c r="E1243"/>
    </row>
    <row r="1244" spans="5:5" x14ac:dyDescent="0.4">
      <c r="E1244"/>
    </row>
    <row r="1245" spans="5:5" x14ac:dyDescent="0.4">
      <c r="E1245"/>
    </row>
    <row r="1246" spans="5:5" x14ac:dyDescent="0.4">
      <c r="E1246"/>
    </row>
    <row r="1247" spans="5:5" x14ac:dyDescent="0.4">
      <c r="E1247"/>
    </row>
    <row r="1248" spans="5:5" x14ac:dyDescent="0.4">
      <c r="E1248"/>
    </row>
    <row r="1249" spans="5:5" x14ac:dyDescent="0.4">
      <c r="E1249"/>
    </row>
    <row r="1250" spans="5:5" x14ac:dyDescent="0.4">
      <c r="E1250"/>
    </row>
    <row r="1251" spans="5:5" x14ac:dyDescent="0.4">
      <c r="E1251"/>
    </row>
    <row r="1252" spans="5:5" x14ac:dyDescent="0.4">
      <c r="E1252"/>
    </row>
    <row r="1253" spans="5:5" x14ac:dyDescent="0.4">
      <c r="E1253"/>
    </row>
    <row r="1254" spans="5:5" x14ac:dyDescent="0.4">
      <c r="E1254"/>
    </row>
    <row r="1255" spans="5:5" x14ac:dyDescent="0.4">
      <c r="E1255"/>
    </row>
    <row r="1256" spans="5:5" x14ac:dyDescent="0.4">
      <c r="E1256"/>
    </row>
    <row r="1257" spans="5:5" x14ac:dyDescent="0.4">
      <c r="E1257"/>
    </row>
    <row r="1258" spans="5:5" x14ac:dyDescent="0.4">
      <c r="E1258"/>
    </row>
    <row r="1259" spans="5:5" x14ac:dyDescent="0.4">
      <c r="E1259"/>
    </row>
    <row r="1260" spans="5:5" x14ac:dyDescent="0.4">
      <c r="E1260"/>
    </row>
    <row r="1261" spans="5:5" x14ac:dyDescent="0.4">
      <c r="E1261"/>
    </row>
    <row r="1262" spans="5:5" x14ac:dyDescent="0.4">
      <c r="E1262"/>
    </row>
    <row r="1263" spans="5:5" x14ac:dyDescent="0.4">
      <c r="E1263"/>
    </row>
    <row r="1264" spans="5:5" x14ac:dyDescent="0.4">
      <c r="E1264"/>
    </row>
    <row r="1265" spans="5:5" x14ac:dyDescent="0.4">
      <c r="E1265"/>
    </row>
    <row r="1266" spans="5:5" x14ac:dyDescent="0.4">
      <c r="E1266"/>
    </row>
    <row r="1267" spans="5:5" x14ac:dyDescent="0.4">
      <c r="E1267"/>
    </row>
    <row r="1268" spans="5:5" x14ac:dyDescent="0.4">
      <c r="E1268"/>
    </row>
    <row r="1269" spans="5:5" x14ac:dyDescent="0.4">
      <c r="E1269"/>
    </row>
    <row r="1270" spans="5:5" x14ac:dyDescent="0.4">
      <c r="E1270"/>
    </row>
    <row r="1271" spans="5:5" x14ac:dyDescent="0.4">
      <c r="E1271"/>
    </row>
    <row r="1272" spans="5:5" x14ac:dyDescent="0.4">
      <c r="E1272"/>
    </row>
    <row r="1273" spans="5:5" x14ac:dyDescent="0.4">
      <c r="E1273"/>
    </row>
    <row r="1274" spans="5:5" x14ac:dyDescent="0.4">
      <c r="E1274"/>
    </row>
    <row r="1275" spans="5:5" x14ac:dyDescent="0.4">
      <c r="E1275"/>
    </row>
    <row r="1276" spans="5:5" x14ac:dyDescent="0.4">
      <c r="E1276"/>
    </row>
    <row r="1277" spans="5:5" x14ac:dyDescent="0.4">
      <c r="E1277"/>
    </row>
    <row r="1278" spans="5:5" x14ac:dyDescent="0.4">
      <c r="E1278"/>
    </row>
    <row r="1279" spans="5:5" x14ac:dyDescent="0.4">
      <c r="E1279"/>
    </row>
    <row r="1280" spans="5:5" x14ac:dyDescent="0.4">
      <c r="E1280"/>
    </row>
    <row r="1281" spans="5:5" x14ac:dyDescent="0.4">
      <c r="E1281"/>
    </row>
    <row r="1282" spans="5:5" x14ac:dyDescent="0.4">
      <c r="E1282"/>
    </row>
    <row r="1283" spans="5:5" x14ac:dyDescent="0.4">
      <c r="E1283"/>
    </row>
    <row r="1284" spans="5:5" x14ac:dyDescent="0.4">
      <c r="E1284"/>
    </row>
    <row r="1285" spans="5:5" x14ac:dyDescent="0.4">
      <c r="E1285"/>
    </row>
    <row r="1286" spans="5:5" x14ac:dyDescent="0.4">
      <c r="E1286"/>
    </row>
    <row r="1287" spans="5:5" x14ac:dyDescent="0.4">
      <c r="E1287"/>
    </row>
    <row r="1288" spans="5:5" x14ac:dyDescent="0.4">
      <c r="E1288"/>
    </row>
    <row r="1289" spans="5:5" x14ac:dyDescent="0.4">
      <c r="E1289"/>
    </row>
    <row r="1290" spans="5:5" x14ac:dyDescent="0.4">
      <c r="E1290"/>
    </row>
    <row r="1291" spans="5:5" x14ac:dyDescent="0.4">
      <c r="E1291"/>
    </row>
    <row r="1292" spans="5:5" x14ac:dyDescent="0.4">
      <c r="E1292"/>
    </row>
    <row r="1293" spans="5:5" x14ac:dyDescent="0.4">
      <c r="E1293"/>
    </row>
    <row r="1294" spans="5:5" x14ac:dyDescent="0.4">
      <c r="E1294"/>
    </row>
    <row r="1295" spans="5:5" x14ac:dyDescent="0.4">
      <c r="E1295"/>
    </row>
    <row r="1296" spans="5:5" x14ac:dyDescent="0.4">
      <c r="E1296"/>
    </row>
    <row r="1297" spans="5:5" x14ac:dyDescent="0.4">
      <c r="E1297"/>
    </row>
    <row r="1298" spans="5:5" x14ac:dyDescent="0.4">
      <c r="E1298"/>
    </row>
    <row r="1299" spans="5:5" x14ac:dyDescent="0.4">
      <c r="E1299"/>
    </row>
    <row r="1300" spans="5:5" x14ac:dyDescent="0.4">
      <c r="E1300"/>
    </row>
    <row r="1301" spans="5:5" x14ac:dyDescent="0.4">
      <c r="E1301"/>
    </row>
    <row r="1302" spans="5:5" x14ac:dyDescent="0.4">
      <c r="E1302"/>
    </row>
    <row r="1303" spans="5:5" x14ac:dyDescent="0.4">
      <c r="E1303"/>
    </row>
    <row r="1304" spans="5:5" x14ac:dyDescent="0.4">
      <c r="E1304"/>
    </row>
    <row r="1305" spans="5:5" x14ac:dyDescent="0.4">
      <c r="E1305"/>
    </row>
    <row r="1306" spans="5:5" x14ac:dyDescent="0.4">
      <c r="E1306"/>
    </row>
    <row r="1307" spans="5:5" x14ac:dyDescent="0.4">
      <c r="E1307"/>
    </row>
    <row r="1308" spans="5:5" x14ac:dyDescent="0.4">
      <c r="E1308"/>
    </row>
    <row r="1309" spans="5:5" x14ac:dyDescent="0.4">
      <c r="E1309"/>
    </row>
    <row r="1310" spans="5:5" x14ac:dyDescent="0.4">
      <c r="E1310"/>
    </row>
    <row r="1311" spans="5:5" x14ac:dyDescent="0.4">
      <c r="E1311"/>
    </row>
    <row r="1312" spans="5:5" x14ac:dyDescent="0.4">
      <c r="E1312"/>
    </row>
    <row r="1313" spans="5:5" x14ac:dyDescent="0.4">
      <c r="E1313"/>
    </row>
    <row r="1314" spans="5:5" x14ac:dyDescent="0.4">
      <c r="E1314"/>
    </row>
    <row r="1315" spans="5:5" x14ac:dyDescent="0.4">
      <c r="E1315"/>
    </row>
    <row r="1316" spans="5:5" x14ac:dyDescent="0.4">
      <c r="E1316"/>
    </row>
    <row r="1317" spans="5:5" x14ac:dyDescent="0.4">
      <c r="E1317"/>
    </row>
    <row r="1318" spans="5:5" x14ac:dyDescent="0.4">
      <c r="E1318"/>
    </row>
    <row r="1319" spans="5:5" x14ac:dyDescent="0.4">
      <c r="E1319"/>
    </row>
    <row r="1320" spans="5:5" x14ac:dyDescent="0.4">
      <c r="E1320"/>
    </row>
    <row r="1321" spans="5:5" x14ac:dyDescent="0.4">
      <c r="E1321"/>
    </row>
    <row r="1322" spans="5:5" x14ac:dyDescent="0.4">
      <c r="E1322"/>
    </row>
    <row r="1323" spans="5:5" x14ac:dyDescent="0.4">
      <c r="E1323"/>
    </row>
    <row r="1324" spans="5:5" x14ac:dyDescent="0.4">
      <c r="E1324"/>
    </row>
    <row r="1325" spans="5:5" x14ac:dyDescent="0.4">
      <c r="E1325"/>
    </row>
    <row r="1326" spans="5:5" x14ac:dyDescent="0.4">
      <c r="E1326"/>
    </row>
    <row r="1327" spans="5:5" x14ac:dyDescent="0.4">
      <c r="E1327"/>
    </row>
    <row r="1328" spans="5:5" x14ac:dyDescent="0.4">
      <c r="E1328"/>
    </row>
    <row r="1329" spans="5:5" x14ac:dyDescent="0.4">
      <c r="E1329"/>
    </row>
    <row r="1330" spans="5:5" x14ac:dyDescent="0.4">
      <c r="E1330"/>
    </row>
    <row r="1331" spans="5:5" x14ac:dyDescent="0.4">
      <c r="E1331"/>
    </row>
    <row r="1332" spans="5:5" x14ac:dyDescent="0.4">
      <c r="E1332"/>
    </row>
    <row r="1333" spans="5:5" x14ac:dyDescent="0.4">
      <c r="E1333"/>
    </row>
    <row r="1334" spans="5:5" x14ac:dyDescent="0.4">
      <c r="E1334"/>
    </row>
    <row r="1335" spans="5:5" x14ac:dyDescent="0.4">
      <c r="E1335"/>
    </row>
    <row r="1336" spans="5:5" x14ac:dyDescent="0.4">
      <c r="E1336"/>
    </row>
    <row r="1337" spans="5:5" x14ac:dyDescent="0.4">
      <c r="E1337"/>
    </row>
    <row r="1338" spans="5:5" x14ac:dyDescent="0.4">
      <c r="E1338"/>
    </row>
    <row r="1339" spans="5:5" x14ac:dyDescent="0.4">
      <c r="E1339"/>
    </row>
    <row r="1340" spans="5:5" x14ac:dyDescent="0.4">
      <c r="E1340"/>
    </row>
    <row r="1341" spans="5:5" x14ac:dyDescent="0.4">
      <c r="E1341"/>
    </row>
    <row r="1342" spans="5:5" x14ac:dyDescent="0.4">
      <c r="E1342"/>
    </row>
    <row r="1343" spans="5:5" x14ac:dyDescent="0.4">
      <c r="E1343"/>
    </row>
    <row r="1344" spans="5:5" x14ac:dyDescent="0.4">
      <c r="E1344"/>
    </row>
    <row r="1345" spans="5:5" x14ac:dyDescent="0.4">
      <c r="E1345"/>
    </row>
    <row r="1346" spans="5:5" x14ac:dyDescent="0.4">
      <c r="E1346"/>
    </row>
    <row r="1347" spans="5:5" x14ac:dyDescent="0.4">
      <c r="E1347"/>
    </row>
    <row r="1348" spans="5:5" x14ac:dyDescent="0.4">
      <c r="E1348"/>
    </row>
    <row r="1349" spans="5:5" x14ac:dyDescent="0.4">
      <c r="E1349"/>
    </row>
    <row r="1350" spans="5:5" x14ac:dyDescent="0.4">
      <c r="E1350"/>
    </row>
    <row r="1351" spans="5:5" x14ac:dyDescent="0.4">
      <c r="E1351"/>
    </row>
    <row r="1352" spans="5:5" x14ac:dyDescent="0.4">
      <c r="E1352"/>
    </row>
    <row r="1353" spans="5:5" x14ac:dyDescent="0.4">
      <c r="E1353"/>
    </row>
    <row r="1354" spans="5:5" x14ac:dyDescent="0.4">
      <c r="E1354"/>
    </row>
    <row r="1355" spans="5:5" x14ac:dyDescent="0.4">
      <c r="E1355"/>
    </row>
    <row r="1356" spans="5:5" x14ac:dyDescent="0.4">
      <c r="E1356"/>
    </row>
    <row r="1357" spans="5:5" x14ac:dyDescent="0.4">
      <c r="E1357"/>
    </row>
    <row r="1358" spans="5:5" x14ac:dyDescent="0.4">
      <c r="E1358"/>
    </row>
    <row r="1359" spans="5:5" x14ac:dyDescent="0.4">
      <c r="E1359"/>
    </row>
    <row r="1360" spans="5:5" x14ac:dyDescent="0.4">
      <c r="E1360"/>
    </row>
    <row r="1361" spans="5:5" x14ac:dyDescent="0.4">
      <c r="E1361"/>
    </row>
    <row r="1362" spans="5:5" x14ac:dyDescent="0.4">
      <c r="E1362"/>
    </row>
    <row r="1363" spans="5:5" x14ac:dyDescent="0.4">
      <c r="E1363"/>
    </row>
    <row r="1364" spans="5:5" x14ac:dyDescent="0.4">
      <c r="E1364"/>
    </row>
    <row r="1365" spans="5:5" x14ac:dyDescent="0.4">
      <c r="E1365"/>
    </row>
    <row r="1366" spans="5:5" x14ac:dyDescent="0.4">
      <c r="E1366"/>
    </row>
    <row r="1367" spans="5:5" x14ac:dyDescent="0.4">
      <c r="E1367"/>
    </row>
    <row r="1368" spans="5:5" x14ac:dyDescent="0.4">
      <c r="E1368"/>
    </row>
    <row r="1369" spans="5:5" x14ac:dyDescent="0.4">
      <c r="E1369"/>
    </row>
    <row r="1370" spans="5:5" x14ac:dyDescent="0.4">
      <c r="E1370"/>
    </row>
    <row r="1371" spans="5:5" x14ac:dyDescent="0.4">
      <c r="E1371"/>
    </row>
    <row r="1372" spans="5:5" x14ac:dyDescent="0.4">
      <c r="E1372"/>
    </row>
    <row r="1373" spans="5:5" x14ac:dyDescent="0.4">
      <c r="E1373"/>
    </row>
    <row r="1374" spans="5:5" x14ac:dyDescent="0.4">
      <c r="E1374"/>
    </row>
    <row r="1375" spans="5:5" x14ac:dyDescent="0.4">
      <c r="E1375"/>
    </row>
    <row r="1376" spans="5:5" x14ac:dyDescent="0.4">
      <c r="E1376"/>
    </row>
    <row r="1377" spans="5:5" x14ac:dyDescent="0.4">
      <c r="E1377"/>
    </row>
    <row r="1378" spans="5:5" x14ac:dyDescent="0.4">
      <c r="E1378"/>
    </row>
    <row r="1379" spans="5:5" x14ac:dyDescent="0.4">
      <c r="E1379"/>
    </row>
    <row r="1380" spans="5:5" x14ac:dyDescent="0.4">
      <c r="E1380"/>
    </row>
    <row r="1381" spans="5:5" x14ac:dyDescent="0.4">
      <c r="E1381"/>
    </row>
    <row r="1382" spans="5:5" x14ac:dyDescent="0.4">
      <c r="E1382"/>
    </row>
    <row r="1383" spans="5:5" x14ac:dyDescent="0.4">
      <c r="E1383"/>
    </row>
    <row r="1384" spans="5:5" x14ac:dyDescent="0.4">
      <c r="E1384"/>
    </row>
    <row r="1385" spans="5:5" x14ac:dyDescent="0.4">
      <c r="E1385"/>
    </row>
    <row r="1386" spans="5:5" x14ac:dyDescent="0.4">
      <c r="E1386"/>
    </row>
    <row r="1387" spans="5:5" x14ac:dyDescent="0.4">
      <c r="E1387"/>
    </row>
    <row r="1388" spans="5:5" x14ac:dyDescent="0.4">
      <c r="E1388"/>
    </row>
    <row r="1389" spans="5:5" x14ac:dyDescent="0.4">
      <c r="E1389"/>
    </row>
    <row r="1390" spans="5:5" x14ac:dyDescent="0.4">
      <c r="E1390"/>
    </row>
    <row r="1391" spans="5:5" x14ac:dyDescent="0.4">
      <c r="E1391"/>
    </row>
    <row r="1392" spans="5:5" x14ac:dyDescent="0.4">
      <c r="E1392"/>
    </row>
    <row r="1393" spans="5:5" x14ac:dyDescent="0.4">
      <c r="E1393"/>
    </row>
    <row r="1394" spans="5:5" x14ac:dyDescent="0.4">
      <c r="E1394"/>
    </row>
    <row r="1395" spans="5:5" x14ac:dyDescent="0.4">
      <c r="E1395"/>
    </row>
    <row r="1396" spans="5:5" x14ac:dyDescent="0.4">
      <c r="E1396"/>
    </row>
    <row r="1397" spans="5:5" x14ac:dyDescent="0.4">
      <c r="E1397"/>
    </row>
    <row r="1398" spans="5:5" x14ac:dyDescent="0.4">
      <c r="E1398"/>
    </row>
    <row r="1399" spans="5:5" x14ac:dyDescent="0.4">
      <c r="E1399"/>
    </row>
    <row r="1400" spans="5:5" x14ac:dyDescent="0.4">
      <c r="E1400"/>
    </row>
    <row r="1401" spans="5:5" x14ac:dyDescent="0.4">
      <c r="E1401"/>
    </row>
    <row r="1402" spans="5:5" x14ac:dyDescent="0.4">
      <c r="E1402"/>
    </row>
    <row r="1403" spans="5:5" x14ac:dyDescent="0.4">
      <c r="E1403"/>
    </row>
    <row r="1404" spans="5:5" x14ac:dyDescent="0.4">
      <c r="E1404"/>
    </row>
    <row r="1405" spans="5:5" x14ac:dyDescent="0.4">
      <c r="E1405"/>
    </row>
    <row r="1406" spans="5:5" x14ac:dyDescent="0.4">
      <c r="E1406"/>
    </row>
    <row r="1407" spans="5:5" x14ac:dyDescent="0.4">
      <c r="E1407"/>
    </row>
    <row r="1408" spans="5:5" x14ac:dyDescent="0.4">
      <c r="E1408"/>
    </row>
    <row r="1409" spans="5:5" x14ac:dyDescent="0.4">
      <c r="E1409"/>
    </row>
    <row r="1410" spans="5:5" x14ac:dyDescent="0.4">
      <c r="E1410"/>
    </row>
    <row r="1411" spans="5:5" x14ac:dyDescent="0.4">
      <c r="E1411"/>
    </row>
    <row r="1412" spans="5:5" x14ac:dyDescent="0.4">
      <c r="E1412"/>
    </row>
    <row r="1413" spans="5:5" x14ac:dyDescent="0.4">
      <c r="E1413"/>
    </row>
    <row r="1414" spans="5:5" x14ac:dyDescent="0.4">
      <c r="E1414"/>
    </row>
    <row r="1415" spans="5:5" x14ac:dyDescent="0.4">
      <c r="E1415"/>
    </row>
    <row r="1416" spans="5:5" x14ac:dyDescent="0.4">
      <c r="E1416"/>
    </row>
    <row r="1417" spans="5:5" x14ac:dyDescent="0.4">
      <c r="E1417"/>
    </row>
    <row r="1418" spans="5:5" x14ac:dyDescent="0.4">
      <c r="E1418"/>
    </row>
    <row r="1419" spans="5:5" x14ac:dyDescent="0.4">
      <c r="E1419"/>
    </row>
    <row r="1420" spans="5:5" x14ac:dyDescent="0.4">
      <c r="E1420"/>
    </row>
    <row r="1421" spans="5:5" x14ac:dyDescent="0.4">
      <c r="E1421"/>
    </row>
    <row r="1422" spans="5:5" x14ac:dyDescent="0.4">
      <c r="E1422"/>
    </row>
    <row r="1423" spans="5:5" x14ac:dyDescent="0.4">
      <c r="E1423"/>
    </row>
    <row r="1424" spans="5:5" x14ac:dyDescent="0.4">
      <c r="E1424"/>
    </row>
    <row r="1425" spans="5:5" x14ac:dyDescent="0.4">
      <c r="E1425"/>
    </row>
    <row r="1426" spans="5:5" x14ac:dyDescent="0.4">
      <c r="E1426"/>
    </row>
    <row r="1427" spans="5:5" x14ac:dyDescent="0.4">
      <c r="E1427"/>
    </row>
    <row r="1428" spans="5:5" x14ac:dyDescent="0.4">
      <c r="E1428"/>
    </row>
    <row r="1429" spans="5:5" x14ac:dyDescent="0.4">
      <c r="E1429"/>
    </row>
    <row r="1430" spans="5:5" x14ac:dyDescent="0.4">
      <c r="E1430"/>
    </row>
    <row r="1431" spans="5:5" x14ac:dyDescent="0.4">
      <c r="E1431"/>
    </row>
    <row r="1432" spans="5:5" x14ac:dyDescent="0.4">
      <c r="E1432"/>
    </row>
    <row r="1433" spans="5:5" x14ac:dyDescent="0.4">
      <c r="E1433"/>
    </row>
    <row r="1434" spans="5:5" x14ac:dyDescent="0.4">
      <c r="E1434"/>
    </row>
    <row r="1435" spans="5:5" x14ac:dyDescent="0.4">
      <c r="E1435"/>
    </row>
    <row r="1436" spans="5:5" x14ac:dyDescent="0.4">
      <c r="E1436"/>
    </row>
    <row r="1437" spans="5:5" x14ac:dyDescent="0.4">
      <c r="E1437"/>
    </row>
    <row r="1438" spans="5:5" x14ac:dyDescent="0.4">
      <c r="E1438"/>
    </row>
    <row r="1439" spans="5:5" x14ac:dyDescent="0.4">
      <c r="E1439"/>
    </row>
    <row r="1440" spans="5:5" x14ac:dyDescent="0.4">
      <c r="E1440"/>
    </row>
    <row r="1441" spans="5:5" x14ac:dyDescent="0.4">
      <c r="E1441"/>
    </row>
    <row r="1442" spans="5:5" x14ac:dyDescent="0.4">
      <c r="E1442"/>
    </row>
    <row r="1443" spans="5:5" x14ac:dyDescent="0.4">
      <c r="E1443"/>
    </row>
    <row r="1444" spans="5:5" x14ac:dyDescent="0.4">
      <c r="E1444"/>
    </row>
    <row r="1445" spans="5:5" x14ac:dyDescent="0.4">
      <c r="E1445"/>
    </row>
    <row r="1446" spans="5:5" x14ac:dyDescent="0.4">
      <c r="E1446"/>
    </row>
    <row r="1447" spans="5:5" x14ac:dyDescent="0.4">
      <c r="E1447"/>
    </row>
    <row r="1448" spans="5:5" x14ac:dyDescent="0.4">
      <c r="E1448"/>
    </row>
    <row r="1449" spans="5:5" x14ac:dyDescent="0.4">
      <c r="E1449"/>
    </row>
    <row r="1450" spans="5:5" x14ac:dyDescent="0.4">
      <c r="E1450"/>
    </row>
    <row r="1451" spans="5:5" x14ac:dyDescent="0.4">
      <c r="E1451"/>
    </row>
    <row r="1452" spans="5:5" x14ac:dyDescent="0.4">
      <c r="E1452"/>
    </row>
    <row r="1453" spans="5:5" x14ac:dyDescent="0.4">
      <c r="E1453"/>
    </row>
    <row r="1454" spans="5:5" x14ac:dyDescent="0.4">
      <c r="E1454"/>
    </row>
    <row r="1455" spans="5:5" x14ac:dyDescent="0.4">
      <c r="E1455"/>
    </row>
    <row r="1456" spans="5:5" x14ac:dyDescent="0.4">
      <c r="E1456"/>
    </row>
    <row r="1457" spans="5:5" x14ac:dyDescent="0.4">
      <c r="E1457"/>
    </row>
    <row r="1458" spans="5:5" x14ac:dyDescent="0.4">
      <c r="E1458"/>
    </row>
    <row r="1459" spans="5:5" x14ac:dyDescent="0.4">
      <c r="E1459"/>
    </row>
    <row r="1460" spans="5:5" x14ac:dyDescent="0.4">
      <c r="E1460"/>
    </row>
    <row r="1461" spans="5:5" x14ac:dyDescent="0.4">
      <c r="E1461"/>
    </row>
    <row r="1462" spans="5:5" x14ac:dyDescent="0.4">
      <c r="E1462"/>
    </row>
    <row r="1463" spans="5:5" x14ac:dyDescent="0.4">
      <c r="E1463"/>
    </row>
    <row r="1464" spans="5:5" x14ac:dyDescent="0.4">
      <c r="E1464"/>
    </row>
    <row r="1465" spans="5:5" x14ac:dyDescent="0.4">
      <c r="E1465"/>
    </row>
    <row r="1466" spans="5:5" x14ac:dyDescent="0.4">
      <c r="E1466"/>
    </row>
    <row r="1467" spans="5:5" x14ac:dyDescent="0.4">
      <c r="E1467"/>
    </row>
    <row r="1468" spans="5:5" x14ac:dyDescent="0.4">
      <c r="E1468"/>
    </row>
    <row r="1469" spans="5:5" x14ac:dyDescent="0.4">
      <c r="E1469"/>
    </row>
    <row r="1470" spans="5:5" x14ac:dyDescent="0.4">
      <c r="E1470"/>
    </row>
    <row r="1471" spans="5:5" x14ac:dyDescent="0.4">
      <c r="E1471"/>
    </row>
    <row r="1472" spans="5:5" x14ac:dyDescent="0.4">
      <c r="E1472"/>
    </row>
    <row r="1473" spans="5:5" x14ac:dyDescent="0.4">
      <c r="E1473"/>
    </row>
    <row r="1474" spans="5:5" x14ac:dyDescent="0.4">
      <c r="E1474"/>
    </row>
    <row r="1475" spans="5:5" x14ac:dyDescent="0.4">
      <c r="E1475"/>
    </row>
    <row r="1476" spans="5:5" x14ac:dyDescent="0.4">
      <c r="E1476"/>
    </row>
    <row r="1477" spans="5:5" x14ac:dyDescent="0.4">
      <c r="E1477"/>
    </row>
    <row r="1478" spans="5:5" x14ac:dyDescent="0.4">
      <c r="E1478"/>
    </row>
    <row r="1479" spans="5:5" x14ac:dyDescent="0.4">
      <c r="E1479"/>
    </row>
    <row r="1480" spans="5:5" x14ac:dyDescent="0.4">
      <c r="E1480"/>
    </row>
    <row r="1481" spans="5:5" x14ac:dyDescent="0.4">
      <c r="E1481"/>
    </row>
    <row r="1482" spans="5:5" x14ac:dyDescent="0.4">
      <c r="E1482"/>
    </row>
    <row r="1483" spans="5:5" x14ac:dyDescent="0.4">
      <c r="E1483"/>
    </row>
    <row r="1484" spans="5:5" x14ac:dyDescent="0.4">
      <c r="E1484"/>
    </row>
    <row r="1485" spans="5:5" x14ac:dyDescent="0.4">
      <c r="E1485"/>
    </row>
    <row r="1486" spans="5:5" x14ac:dyDescent="0.4">
      <c r="E1486"/>
    </row>
    <row r="1487" spans="5:5" x14ac:dyDescent="0.4">
      <c r="E1487"/>
    </row>
    <row r="1488" spans="5:5" x14ac:dyDescent="0.4">
      <c r="E1488"/>
    </row>
    <row r="1489" spans="5:5" x14ac:dyDescent="0.4">
      <c r="E1489"/>
    </row>
    <row r="1490" spans="5:5" x14ac:dyDescent="0.4">
      <c r="E1490"/>
    </row>
    <row r="1491" spans="5:5" x14ac:dyDescent="0.4">
      <c r="E1491"/>
    </row>
    <row r="1492" spans="5:5" x14ac:dyDescent="0.4">
      <c r="E1492"/>
    </row>
    <row r="1493" spans="5:5" x14ac:dyDescent="0.4">
      <c r="E1493"/>
    </row>
    <row r="1494" spans="5:5" x14ac:dyDescent="0.4">
      <c r="E1494"/>
    </row>
    <row r="1495" spans="5:5" x14ac:dyDescent="0.4">
      <c r="E1495"/>
    </row>
    <row r="1496" spans="5:5" x14ac:dyDescent="0.4">
      <c r="E1496"/>
    </row>
    <row r="1497" spans="5:5" x14ac:dyDescent="0.4">
      <c r="E1497"/>
    </row>
    <row r="1498" spans="5:5" x14ac:dyDescent="0.4">
      <c r="E1498"/>
    </row>
    <row r="1499" spans="5:5" x14ac:dyDescent="0.4">
      <c r="E1499"/>
    </row>
    <row r="1500" spans="5:5" x14ac:dyDescent="0.4">
      <c r="E1500"/>
    </row>
    <row r="1501" spans="5:5" x14ac:dyDescent="0.4">
      <c r="E1501"/>
    </row>
    <row r="1502" spans="5:5" x14ac:dyDescent="0.4">
      <c r="E1502"/>
    </row>
    <row r="1503" spans="5:5" x14ac:dyDescent="0.4">
      <c r="E1503"/>
    </row>
    <row r="1504" spans="5:5" x14ac:dyDescent="0.4">
      <c r="E1504"/>
    </row>
    <row r="1505" spans="5:5" x14ac:dyDescent="0.4">
      <c r="E1505"/>
    </row>
    <row r="1506" spans="5:5" x14ac:dyDescent="0.4">
      <c r="E1506"/>
    </row>
    <row r="1507" spans="5:5" x14ac:dyDescent="0.4">
      <c r="E1507"/>
    </row>
    <row r="1508" spans="5:5" x14ac:dyDescent="0.4">
      <c r="E1508"/>
    </row>
    <row r="1509" spans="5:5" x14ac:dyDescent="0.4">
      <c r="E1509"/>
    </row>
    <row r="1510" spans="5:5" x14ac:dyDescent="0.4">
      <c r="E1510"/>
    </row>
    <row r="1511" spans="5:5" x14ac:dyDescent="0.4">
      <c r="E1511"/>
    </row>
    <row r="1512" spans="5:5" x14ac:dyDescent="0.4">
      <c r="E1512"/>
    </row>
    <row r="1513" spans="5:5" x14ac:dyDescent="0.4">
      <c r="E1513"/>
    </row>
    <row r="1514" spans="5:5" x14ac:dyDescent="0.4">
      <c r="E1514"/>
    </row>
    <row r="1515" spans="5:5" x14ac:dyDescent="0.4">
      <c r="E1515"/>
    </row>
    <row r="1516" spans="5:5" x14ac:dyDescent="0.4">
      <c r="E1516"/>
    </row>
    <row r="1517" spans="5:5" x14ac:dyDescent="0.4">
      <c r="E1517"/>
    </row>
    <row r="1518" spans="5:5" x14ac:dyDescent="0.4">
      <c r="E1518"/>
    </row>
    <row r="1519" spans="5:5" x14ac:dyDescent="0.4">
      <c r="E1519"/>
    </row>
    <row r="1520" spans="5:5" x14ac:dyDescent="0.4">
      <c r="E1520"/>
    </row>
    <row r="1521" spans="5:5" x14ac:dyDescent="0.4">
      <c r="E1521"/>
    </row>
    <row r="1522" spans="5:5" x14ac:dyDescent="0.4">
      <c r="E1522"/>
    </row>
    <row r="1523" spans="5:5" x14ac:dyDescent="0.4">
      <c r="E1523"/>
    </row>
    <row r="1524" spans="5:5" x14ac:dyDescent="0.4">
      <c r="E1524"/>
    </row>
    <row r="1525" spans="5:5" x14ac:dyDescent="0.4">
      <c r="E1525"/>
    </row>
    <row r="1526" spans="5:5" x14ac:dyDescent="0.4">
      <c r="E1526"/>
    </row>
    <row r="1527" spans="5:5" x14ac:dyDescent="0.4">
      <c r="E1527"/>
    </row>
    <row r="1528" spans="5:5" x14ac:dyDescent="0.4">
      <c r="E1528"/>
    </row>
    <row r="1529" spans="5:5" x14ac:dyDescent="0.4">
      <c r="E1529"/>
    </row>
    <row r="1530" spans="5:5" x14ac:dyDescent="0.4">
      <c r="E1530"/>
    </row>
    <row r="1531" spans="5:5" x14ac:dyDescent="0.4">
      <c r="E1531"/>
    </row>
    <row r="1532" spans="5:5" x14ac:dyDescent="0.4">
      <c r="E1532"/>
    </row>
    <row r="1533" spans="5:5" x14ac:dyDescent="0.4">
      <c r="E1533"/>
    </row>
    <row r="1534" spans="5:5" x14ac:dyDescent="0.4">
      <c r="E1534"/>
    </row>
    <row r="1535" spans="5:5" x14ac:dyDescent="0.4">
      <c r="E1535"/>
    </row>
    <row r="1536" spans="5:5" x14ac:dyDescent="0.4">
      <c r="E1536"/>
    </row>
    <row r="1537" spans="5:5" x14ac:dyDescent="0.4">
      <c r="E1537"/>
    </row>
    <row r="1538" spans="5:5" x14ac:dyDescent="0.4">
      <c r="E1538"/>
    </row>
    <row r="1539" spans="5:5" x14ac:dyDescent="0.4">
      <c r="E1539"/>
    </row>
    <row r="1540" spans="5:5" x14ac:dyDescent="0.4">
      <c r="E1540"/>
    </row>
    <row r="1541" spans="5:5" x14ac:dyDescent="0.4">
      <c r="E1541"/>
    </row>
    <row r="1542" spans="5:5" x14ac:dyDescent="0.4">
      <c r="E1542"/>
    </row>
    <row r="1543" spans="5:5" x14ac:dyDescent="0.4">
      <c r="E1543"/>
    </row>
    <row r="1544" spans="5:5" x14ac:dyDescent="0.4">
      <c r="E1544"/>
    </row>
    <row r="1545" spans="5:5" x14ac:dyDescent="0.4">
      <c r="E1545"/>
    </row>
    <row r="1546" spans="5:5" x14ac:dyDescent="0.4">
      <c r="E1546"/>
    </row>
    <row r="1547" spans="5:5" x14ac:dyDescent="0.4">
      <c r="E1547"/>
    </row>
    <row r="1548" spans="5:5" x14ac:dyDescent="0.4">
      <c r="E1548"/>
    </row>
    <row r="1549" spans="5:5" x14ac:dyDescent="0.4">
      <c r="E1549"/>
    </row>
    <row r="1550" spans="5:5" x14ac:dyDescent="0.4">
      <c r="E1550"/>
    </row>
    <row r="1551" spans="5:5" x14ac:dyDescent="0.4">
      <c r="E1551"/>
    </row>
    <row r="1552" spans="5:5" x14ac:dyDescent="0.4">
      <c r="E1552"/>
    </row>
    <row r="1553" spans="5:5" x14ac:dyDescent="0.4">
      <c r="E1553"/>
    </row>
    <row r="1554" spans="5:5" x14ac:dyDescent="0.4">
      <c r="E1554"/>
    </row>
    <row r="1555" spans="5:5" x14ac:dyDescent="0.4">
      <c r="E1555"/>
    </row>
    <row r="1556" spans="5:5" x14ac:dyDescent="0.4">
      <c r="E1556"/>
    </row>
    <row r="1557" spans="5:5" x14ac:dyDescent="0.4">
      <c r="E1557"/>
    </row>
    <row r="1558" spans="5:5" x14ac:dyDescent="0.4">
      <c r="E1558"/>
    </row>
    <row r="1559" spans="5:5" x14ac:dyDescent="0.4">
      <c r="E1559"/>
    </row>
    <row r="1560" spans="5:5" x14ac:dyDescent="0.4">
      <c r="E1560"/>
    </row>
    <row r="1561" spans="5:5" x14ac:dyDescent="0.4">
      <c r="E1561"/>
    </row>
    <row r="1562" spans="5:5" x14ac:dyDescent="0.4">
      <c r="E1562"/>
    </row>
    <row r="1563" spans="5:5" x14ac:dyDescent="0.4">
      <c r="E1563"/>
    </row>
    <row r="1564" spans="5:5" x14ac:dyDescent="0.4">
      <c r="E1564"/>
    </row>
    <row r="1565" spans="5:5" x14ac:dyDescent="0.4">
      <c r="E1565"/>
    </row>
    <row r="1566" spans="5:5" x14ac:dyDescent="0.4">
      <c r="E1566"/>
    </row>
    <row r="1567" spans="5:5" x14ac:dyDescent="0.4">
      <c r="E1567"/>
    </row>
    <row r="1568" spans="5:5" x14ac:dyDescent="0.4">
      <c r="E1568"/>
    </row>
    <row r="1569" spans="5:5" x14ac:dyDescent="0.4">
      <c r="E1569"/>
    </row>
    <row r="1570" spans="5:5" x14ac:dyDescent="0.4">
      <c r="E1570"/>
    </row>
    <row r="1571" spans="5:5" x14ac:dyDescent="0.4">
      <c r="E1571"/>
    </row>
    <row r="1572" spans="5:5" x14ac:dyDescent="0.4">
      <c r="E1572"/>
    </row>
    <row r="1573" spans="5:5" x14ac:dyDescent="0.4">
      <c r="E1573"/>
    </row>
    <row r="1574" spans="5:5" x14ac:dyDescent="0.4">
      <c r="E1574"/>
    </row>
    <row r="1575" spans="5:5" x14ac:dyDescent="0.4">
      <c r="E1575"/>
    </row>
    <row r="1576" spans="5:5" x14ac:dyDescent="0.4">
      <c r="E1576"/>
    </row>
    <row r="1577" spans="5:5" x14ac:dyDescent="0.4">
      <c r="E1577"/>
    </row>
    <row r="1578" spans="5:5" x14ac:dyDescent="0.4">
      <c r="E1578"/>
    </row>
    <row r="1579" spans="5:5" x14ac:dyDescent="0.4">
      <c r="E1579"/>
    </row>
    <row r="1580" spans="5:5" x14ac:dyDescent="0.4">
      <c r="E1580"/>
    </row>
    <row r="1581" spans="5:5" x14ac:dyDescent="0.4">
      <c r="E1581"/>
    </row>
    <row r="1582" spans="5:5" x14ac:dyDescent="0.4">
      <c r="E1582"/>
    </row>
    <row r="1583" spans="5:5" x14ac:dyDescent="0.4">
      <c r="E1583"/>
    </row>
    <row r="1584" spans="5:5" x14ac:dyDescent="0.4">
      <c r="E1584"/>
    </row>
    <row r="1585" spans="5:5" x14ac:dyDescent="0.4">
      <c r="E1585"/>
    </row>
    <row r="1586" spans="5:5" x14ac:dyDescent="0.4">
      <c r="E1586"/>
    </row>
    <row r="1587" spans="5:5" x14ac:dyDescent="0.4">
      <c r="E1587"/>
    </row>
    <row r="1588" spans="5:5" x14ac:dyDescent="0.4">
      <c r="E1588"/>
    </row>
    <row r="1589" spans="5:5" x14ac:dyDescent="0.4">
      <c r="E1589"/>
    </row>
    <row r="1590" spans="5:5" x14ac:dyDescent="0.4">
      <c r="E1590"/>
    </row>
    <row r="1591" spans="5:5" x14ac:dyDescent="0.4">
      <c r="E1591"/>
    </row>
    <row r="1592" spans="5:5" x14ac:dyDescent="0.4">
      <c r="E1592"/>
    </row>
    <row r="1593" spans="5:5" x14ac:dyDescent="0.4">
      <c r="E1593"/>
    </row>
    <row r="1594" spans="5:5" x14ac:dyDescent="0.4">
      <c r="E1594"/>
    </row>
    <row r="1595" spans="5:5" x14ac:dyDescent="0.4">
      <c r="E1595"/>
    </row>
    <row r="1596" spans="5:5" x14ac:dyDescent="0.4">
      <c r="E1596"/>
    </row>
    <row r="1597" spans="5:5" x14ac:dyDescent="0.4">
      <c r="E1597"/>
    </row>
    <row r="1598" spans="5:5" x14ac:dyDescent="0.4">
      <c r="E1598"/>
    </row>
    <row r="1599" spans="5:5" x14ac:dyDescent="0.4">
      <c r="E1599"/>
    </row>
    <row r="1600" spans="5:5" x14ac:dyDescent="0.4">
      <c r="E1600"/>
    </row>
    <row r="1601" spans="5:5" x14ac:dyDescent="0.4">
      <c r="E1601"/>
    </row>
    <row r="1602" spans="5:5" x14ac:dyDescent="0.4">
      <c r="E1602"/>
    </row>
    <row r="1603" spans="5:5" x14ac:dyDescent="0.4">
      <c r="E1603"/>
    </row>
    <row r="1604" spans="5:5" x14ac:dyDescent="0.4">
      <c r="E1604"/>
    </row>
    <row r="1605" spans="5:5" x14ac:dyDescent="0.4">
      <c r="E1605"/>
    </row>
    <row r="1606" spans="5:5" x14ac:dyDescent="0.4">
      <c r="E1606"/>
    </row>
    <row r="1607" spans="5:5" x14ac:dyDescent="0.4">
      <c r="E1607"/>
    </row>
    <row r="1608" spans="5:5" x14ac:dyDescent="0.4">
      <c r="E1608"/>
    </row>
    <row r="1609" spans="5:5" x14ac:dyDescent="0.4">
      <c r="E1609"/>
    </row>
    <row r="1610" spans="5:5" x14ac:dyDescent="0.4">
      <c r="E1610"/>
    </row>
    <row r="1611" spans="5:5" x14ac:dyDescent="0.4">
      <c r="E1611"/>
    </row>
    <row r="1612" spans="5:5" x14ac:dyDescent="0.4">
      <c r="E1612"/>
    </row>
    <row r="1613" spans="5:5" x14ac:dyDescent="0.4">
      <c r="E1613"/>
    </row>
    <row r="1614" spans="5:5" x14ac:dyDescent="0.4">
      <c r="E1614"/>
    </row>
    <row r="1615" spans="5:5" x14ac:dyDescent="0.4">
      <c r="E1615"/>
    </row>
    <row r="1616" spans="5:5" x14ac:dyDescent="0.4">
      <c r="E1616"/>
    </row>
    <row r="1617" spans="5:5" x14ac:dyDescent="0.4">
      <c r="E1617"/>
    </row>
    <row r="1618" spans="5:5" x14ac:dyDescent="0.4">
      <c r="E1618"/>
    </row>
    <row r="1619" spans="5:5" x14ac:dyDescent="0.4">
      <c r="E1619"/>
    </row>
    <row r="1620" spans="5:5" x14ac:dyDescent="0.4">
      <c r="E1620"/>
    </row>
    <row r="1621" spans="5:5" x14ac:dyDescent="0.4">
      <c r="E1621"/>
    </row>
    <row r="1622" spans="5:5" x14ac:dyDescent="0.4">
      <c r="E1622"/>
    </row>
    <row r="1623" spans="5:5" x14ac:dyDescent="0.4">
      <c r="E1623"/>
    </row>
    <row r="1624" spans="5:5" x14ac:dyDescent="0.4">
      <c r="E1624"/>
    </row>
    <row r="1625" spans="5:5" x14ac:dyDescent="0.4">
      <c r="E1625"/>
    </row>
    <row r="1626" spans="5:5" x14ac:dyDescent="0.4">
      <c r="E1626"/>
    </row>
    <row r="1627" spans="5:5" x14ac:dyDescent="0.4">
      <c r="E1627"/>
    </row>
    <row r="1628" spans="5:5" x14ac:dyDescent="0.4">
      <c r="E1628"/>
    </row>
    <row r="1629" spans="5:5" x14ac:dyDescent="0.4">
      <c r="E1629"/>
    </row>
    <row r="1630" spans="5:5" x14ac:dyDescent="0.4">
      <c r="E1630"/>
    </row>
    <row r="1631" spans="5:5" x14ac:dyDescent="0.4">
      <c r="E1631"/>
    </row>
    <row r="1632" spans="5:5" x14ac:dyDescent="0.4">
      <c r="E1632"/>
    </row>
    <row r="1633" spans="5:5" x14ac:dyDescent="0.4">
      <c r="E1633"/>
    </row>
    <row r="1634" spans="5:5" x14ac:dyDescent="0.4">
      <c r="E1634"/>
    </row>
    <row r="1635" spans="5:5" x14ac:dyDescent="0.4">
      <c r="E1635"/>
    </row>
    <row r="1636" spans="5:5" x14ac:dyDescent="0.4">
      <c r="E1636"/>
    </row>
    <row r="1637" spans="5:5" x14ac:dyDescent="0.4">
      <c r="E1637"/>
    </row>
    <row r="1638" spans="5:5" x14ac:dyDescent="0.4">
      <c r="E1638"/>
    </row>
    <row r="1639" spans="5:5" x14ac:dyDescent="0.4">
      <c r="E1639"/>
    </row>
    <row r="1640" spans="5:5" x14ac:dyDescent="0.4">
      <c r="E1640"/>
    </row>
    <row r="1641" spans="5:5" x14ac:dyDescent="0.4">
      <c r="E1641"/>
    </row>
    <row r="1642" spans="5:5" x14ac:dyDescent="0.4">
      <c r="E1642"/>
    </row>
    <row r="1643" spans="5:5" x14ac:dyDescent="0.4">
      <c r="E1643"/>
    </row>
    <row r="1644" spans="5:5" x14ac:dyDescent="0.4">
      <c r="E1644"/>
    </row>
    <row r="1645" spans="5:5" x14ac:dyDescent="0.4">
      <c r="E1645"/>
    </row>
    <row r="1646" spans="5:5" x14ac:dyDescent="0.4">
      <c r="E1646"/>
    </row>
    <row r="1647" spans="5:5" x14ac:dyDescent="0.4">
      <c r="E1647"/>
    </row>
    <row r="1648" spans="5:5" x14ac:dyDescent="0.4">
      <c r="E1648"/>
    </row>
    <row r="1649" spans="5:5" x14ac:dyDescent="0.4">
      <c r="E1649"/>
    </row>
    <row r="1650" spans="5:5" x14ac:dyDescent="0.4">
      <c r="E1650"/>
    </row>
    <row r="1651" spans="5:5" x14ac:dyDescent="0.4">
      <c r="E1651"/>
    </row>
    <row r="1652" spans="5:5" x14ac:dyDescent="0.4">
      <c r="E1652"/>
    </row>
    <row r="1653" spans="5:5" x14ac:dyDescent="0.4">
      <c r="E1653"/>
    </row>
    <row r="1654" spans="5:5" x14ac:dyDescent="0.4">
      <c r="E1654"/>
    </row>
    <row r="1655" spans="5:5" x14ac:dyDescent="0.4">
      <c r="E1655"/>
    </row>
    <row r="1656" spans="5:5" x14ac:dyDescent="0.4">
      <c r="E1656"/>
    </row>
    <row r="1657" spans="5:5" x14ac:dyDescent="0.4">
      <c r="E1657"/>
    </row>
    <row r="1658" spans="5:5" x14ac:dyDescent="0.4">
      <c r="E1658"/>
    </row>
    <row r="1659" spans="5:5" x14ac:dyDescent="0.4">
      <c r="E1659"/>
    </row>
    <row r="1660" spans="5:5" x14ac:dyDescent="0.4">
      <c r="E1660"/>
    </row>
    <row r="1661" spans="5:5" x14ac:dyDescent="0.4">
      <c r="E1661"/>
    </row>
    <row r="1662" spans="5:5" x14ac:dyDescent="0.4">
      <c r="E1662"/>
    </row>
    <row r="1663" spans="5:5" x14ac:dyDescent="0.4">
      <c r="E1663"/>
    </row>
    <row r="1664" spans="5:5" x14ac:dyDescent="0.4">
      <c r="E1664"/>
    </row>
    <row r="1665" spans="5:5" x14ac:dyDescent="0.4">
      <c r="E1665"/>
    </row>
    <row r="1666" spans="5:5" x14ac:dyDescent="0.4">
      <c r="E1666"/>
    </row>
    <row r="1667" spans="5:5" x14ac:dyDescent="0.4">
      <c r="E1667"/>
    </row>
    <row r="1668" spans="5:5" x14ac:dyDescent="0.4">
      <c r="E1668"/>
    </row>
    <row r="1669" spans="5:5" x14ac:dyDescent="0.4">
      <c r="E1669"/>
    </row>
    <row r="1670" spans="5:5" x14ac:dyDescent="0.4">
      <c r="E1670"/>
    </row>
    <row r="1671" spans="5:5" x14ac:dyDescent="0.4">
      <c r="E1671"/>
    </row>
    <row r="1672" spans="5:5" x14ac:dyDescent="0.4">
      <c r="E1672"/>
    </row>
    <row r="1673" spans="5:5" x14ac:dyDescent="0.4">
      <c r="E1673"/>
    </row>
    <row r="1674" spans="5:5" x14ac:dyDescent="0.4">
      <c r="E1674"/>
    </row>
    <row r="1675" spans="5:5" x14ac:dyDescent="0.4">
      <c r="E1675"/>
    </row>
    <row r="1676" spans="5:5" x14ac:dyDescent="0.4">
      <c r="E1676"/>
    </row>
    <row r="1677" spans="5:5" x14ac:dyDescent="0.4">
      <c r="E1677"/>
    </row>
    <row r="1678" spans="5:5" x14ac:dyDescent="0.4">
      <c r="E1678"/>
    </row>
    <row r="1679" spans="5:5" x14ac:dyDescent="0.4">
      <c r="E1679"/>
    </row>
    <row r="1680" spans="5:5" x14ac:dyDescent="0.4">
      <c r="E1680"/>
    </row>
    <row r="1681" spans="5:5" x14ac:dyDescent="0.4">
      <c r="E1681"/>
    </row>
    <row r="1682" spans="5:5" x14ac:dyDescent="0.4">
      <c r="E1682"/>
    </row>
    <row r="1683" spans="5:5" x14ac:dyDescent="0.4">
      <c r="E1683"/>
    </row>
    <row r="1684" spans="5:5" x14ac:dyDescent="0.4">
      <c r="E1684"/>
    </row>
    <row r="1685" spans="5:5" x14ac:dyDescent="0.4">
      <c r="E1685"/>
    </row>
    <row r="1686" spans="5:5" x14ac:dyDescent="0.4">
      <c r="E1686"/>
    </row>
    <row r="1687" spans="5:5" x14ac:dyDescent="0.4">
      <c r="E1687"/>
    </row>
    <row r="1688" spans="5:5" x14ac:dyDescent="0.4">
      <c r="E1688"/>
    </row>
    <row r="1689" spans="5:5" x14ac:dyDescent="0.4">
      <c r="E1689"/>
    </row>
    <row r="1690" spans="5:5" x14ac:dyDescent="0.4">
      <c r="E1690"/>
    </row>
    <row r="1691" spans="5:5" x14ac:dyDescent="0.4">
      <c r="E1691"/>
    </row>
    <row r="1692" spans="5:5" x14ac:dyDescent="0.4">
      <c r="E1692"/>
    </row>
    <row r="1693" spans="5:5" x14ac:dyDescent="0.4">
      <c r="E1693"/>
    </row>
    <row r="1694" spans="5:5" x14ac:dyDescent="0.4">
      <c r="E1694"/>
    </row>
    <row r="1695" spans="5:5" x14ac:dyDescent="0.4">
      <c r="E1695"/>
    </row>
    <row r="1696" spans="5:5" x14ac:dyDescent="0.4">
      <c r="E1696"/>
    </row>
    <row r="1697" spans="5:5" x14ac:dyDescent="0.4">
      <c r="E1697"/>
    </row>
    <row r="1698" spans="5:5" x14ac:dyDescent="0.4">
      <c r="E1698"/>
    </row>
    <row r="1699" spans="5:5" x14ac:dyDescent="0.4">
      <c r="E1699"/>
    </row>
    <row r="1700" spans="5:5" x14ac:dyDescent="0.4">
      <c r="E1700"/>
    </row>
    <row r="1701" spans="5:5" x14ac:dyDescent="0.4">
      <c r="E1701"/>
    </row>
    <row r="1702" spans="5:5" x14ac:dyDescent="0.4">
      <c r="E1702"/>
    </row>
    <row r="1703" spans="5:5" x14ac:dyDescent="0.4">
      <c r="E1703"/>
    </row>
    <row r="1704" spans="5:5" x14ac:dyDescent="0.4">
      <c r="E1704"/>
    </row>
    <row r="1705" spans="5:5" x14ac:dyDescent="0.4">
      <c r="E1705"/>
    </row>
    <row r="1706" spans="5:5" x14ac:dyDescent="0.4">
      <c r="E1706"/>
    </row>
    <row r="1707" spans="5:5" x14ac:dyDescent="0.4">
      <c r="E1707"/>
    </row>
    <row r="1708" spans="5:5" x14ac:dyDescent="0.4">
      <c r="E1708"/>
    </row>
    <row r="1709" spans="5:5" x14ac:dyDescent="0.4">
      <c r="E1709"/>
    </row>
    <row r="1710" spans="5:5" x14ac:dyDescent="0.4">
      <c r="E1710"/>
    </row>
    <row r="1711" spans="5:5" x14ac:dyDescent="0.4">
      <c r="E1711"/>
    </row>
    <row r="1712" spans="5:5" x14ac:dyDescent="0.4">
      <c r="E1712"/>
    </row>
    <row r="1713" spans="5:5" x14ac:dyDescent="0.4">
      <c r="E1713"/>
    </row>
    <row r="1714" spans="5:5" x14ac:dyDescent="0.4">
      <c r="E1714"/>
    </row>
    <row r="1715" spans="5:5" x14ac:dyDescent="0.4">
      <c r="E1715"/>
    </row>
    <row r="1716" spans="5:5" x14ac:dyDescent="0.4">
      <c r="E1716"/>
    </row>
    <row r="1717" spans="5:5" x14ac:dyDescent="0.4">
      <c r="E1717"/>
    </row>
    <row r="1718" spans="5:5" x14ac:dyDescent="0.4">
      <c r="E1718"/>
    </row>
    <row r="1719" spans="5:5" x14ac:dyDescent="0.4">
      <c r="E1719"/>
    </row>
    <row r="1720" spans="5:5" x14ac:dyDescent="0.4">
      <c r="E1720"/>
    </row>
    <row r="1721" spans="5:5" x14ac:dyDescent="0.4">
      <c r="E1721"/>
    </row>
    <row r="1722" spans="5:5" x14ac:dyDescent="0.4">
      <c r="E1722"/>
    </row>
    <row r="1723" spans="5:5" x14ac:dyDescent="0.4">
      <c r="E1723"/>
    </row>
    <row r="1724" spans="5:5" x14ac:dyDescent="0.4">
      <c r="E1724"/>
    </row>
    <row r="1725" spans="5:5" x14ac:dyDescent="0.4">
      <c r="E1725"/>
    </row>
    <row r="1726" spans="5:5" x14ac:dyDescent="0.4">
      <c r="E1726"/>
    </row>
    <row r="1727" spans="5:5" x14ac:dyDescent="0.4">
      <c r="E1727"/>
    </row>
    <row r="1728" spans="5:5" x14ac:dyDescent="0.4">
      <c r="E1728"/>
    </row>
    <row r="1729" spans="5:5" x14ac:dyDescent="0.4">
      <c r="E1729"/>
    </row>
    <row r="1730" spans="5:5" x14ac:dyDescent="0.4">
      <c r="E1730"/>
    </row>
    <row r="1731" spans="5:5" x14ac:dyDescent="0.4">
      <c r="E1731"/>
    </row>
    <row r="1732" spans="5:5" x14ac:dyDescent="0.4">
      <c r="E1732"/>
    </row>
    <row r="1733" spans="5:5" x14ac:dyDescent="0.4">
      <c r="E1733"/>
    </row>
    <row r="1734" spans="5:5" x14ac:dyDescent="0.4">
      <c r="E1734"/>
    </row>
    <row r="1735" spans="5:5" x14ac:dyDescent="0.4">
      <c r="E1735"/>
    </row>
    <row r="1736" spans="5:5" x14ac:dyDescent="0.4">
      <c r="E1736"/>
    </row>
    <row r="1737" spans="5:5" x14ac:dyDescent="0.4">
      <c r="E1737"/>
    </row>
    <row r="1738" spans="5:5" x14ac:dyDescent="0.4">
      <c r="E1738"/>
    </row>
    <row r="1739" spans="5:5" x14ac:dyDescent="0.4">
      <c r="E1739"/>
    </row>
    <row r="1740" spans="5:5" x14ac:dyDescent="0.4">
      <c r="E1740"/>
    </row>
    <row r="1741" spans="5:5" x14ac:dyDescent="0.4">
      <c r="E1741"/>
    </row>
    <row r="1742" spans="5:5" x14ac:dyDescent="0.4">
      <c r="E1742"/>
    </row>
    <row r="1743" spans="5:5" x14ac:dyDescent="0.4">
      <c r="E1743"/>
    </row>
    <row r="1744" spans="5:5" x14ac:dyDescent="0.4">
      <c r="E1744"/>
    </row>
    <row r="1745" spans="5:5" x14ac:dyDescent="0.4">
      <c r="E1745"/>
    </row>
    <row r="1746" spans="5:5" x14ac:dyDescent="0.4">
      <c r="E1746"/>
    </row>
    <row r="1747" spans="5:5" x14ac:dyDescent="0.4">
      <c r="E1747"/>
    </row>
    <row r="1748" spans="5:5" x14ac:dyDescent="0.4">
      <c r="E1748"/>
    </row>
    <row r="1749" spans="5:5" x14ac:dyDescent="0.4">
      <c r="E1749"/>
    </row>
    <row r="1750" spans="5:5" x14ac:dyDescent="0.4">
      <c r="E1750"/>
    </row>
    <row r="1751" spans="5:5" x14ac:dyDescent="0.4">
      <c r="E1751"/>
    </row>
    <row r="1752" spans="5:5" x14ac:dyDescent="0.4">
      <c r="E1752"/>
    </row>
    <row r="1753" spans="5:5" x14ac:dyDescent="0.4">
      <c r="E1753"/>
    </row>
    <row r="1754" spans="5:5" x14ac:dyDescent="0.4">
      <c r="E1754"/>
    </row>
    <row r="1755" spans="5:5" x14ac:dyDescent="0.4">
      <c r="E1755"/>
    </row>
    <row r="1756" spans="5:5" x14ac:dyDescent="0.4">
      <c r="E1756"/>
    </row>
    <row r="1757" spans="5:5" x14ac:dyDescent="0.4">
      <c r="E1757"/>
    </row>
    <row r="1758" spans="5:5" x14ac:dyDescent="0.4">
      <c r="E1758"/>
    </row>
    <row r="1759" spans="5:5" x14ac:dyDescent="0.4">
      <c r="E1759"/>
    </row>
    <row r="1760" spans="5:5" x14ac:dyDescent="0.4">
      <c r="E1760"/>
    </row>
    <row r="1761" spans="5:5" x14ac:dyDescent="0.4">
      <c r="E1761"/>
    </row>
    <row r="1762" spans="5:5" x14ac:dyDescent="0.4">
      <c r="E1762"/>
    </row>
    <row r="1763" spans="5:5" x14ac:dyDescent="0.4">
      <c r="E1763"/>
    </row>
    <row r="1764" spans="5:5" x14ac:dyDescent="0.4">
      <c r="E1764"/>
    </row>
    <row r="1765" spans="5:5" x14ac:dyDescent="0.4">
      <c r="E1765"/>
    </row>
    <row r="1766" spans="5:5" x14ac:dyDescent="0.4">
      <c r="E1766"/>
    </row>
    <row r="1767" spans="5:5" x14ac:dyDescent="0.4">
      <c r="E1767"/>
    </row>
    <row r="1768" spans="5:5" x14ac:dyDescent="0.4">
      <c r="E1768"/>
    </row>
    <row r="1769" spans="5:5" x14ac:dyDescent="0.4">
      <c r="E1769"/>
    </row>
    <row r="1770" spans="5:5" x14ac:dyDescent="0.4">
      <c r="E1770"/>
    </row>
    <row r="1771" spans="5:5" x14ac:dyDescent="0.4">
      <c r="E1771"/>
    </row>
    <row r="1772" spans="5:5" x14ac:dyDescent="0.4">
      <c r="E1772"/>
    </row>
    <row r="1773" spans="5:5" x14ac:dyDescent="0.4">
      <c r="E1773"/>
    </row>
    <row r="1774" spans="5:5" x14ac:dyDescent="0.4">
      <c r="E1774"/>
    </row>
    <row r="1775" spans="5:5" x14ac:dyDescent="0.4">
      <c r="E1775"/>
    </row>
    <row r="1776" spans="5:5" x14ac:dyDescent="0.4">
      <c r="E1776"/>
    </row>
    <row r="1777" spans="5:5" x14ac:dyDescent="0.4">
      <c r="E1777"/>
    </row>
    <row r="1778" spans="5:5" x14ac:dyDescent="0.4">
      <c r="E1778"/>
    </row>
    <row r="1779" spans="5:5" x14ac:dyDescent="0.4">
      <c r="E1779"/>
    </row>
    <row r="1780" spans="5:5" x14ac:dyDescent="0.4">
      <c r="E1780"/>
    </row>
    <row r="1781" spans="5:5" x14ac:dyDescent="0.4">
      <c r="E1781"/>
    </row>
    <row r="1782" spans="5:5" x14ac:dyDescent="0.4">
      <c r="E1782"/>
    </row>
    <row r="1783" spans="5:5" x14ac:dyDescent="0.4">
      <c r="E1783"/>
    </row>
    <row r="1784" spans="5:5" x14ac:dyDescent="0.4">
      <c r="E1784"/>
    </row>
    <row r="1785" spans="5:5" x14ac:dyDescent="0.4">
      <c r="E1785"/>
    </row>
    <row r="1786" spans="5:5" x14ac:dyDescent="0.4">
      <c r="E1786"/>
    </row>
    <row r="1787" spans="5:5" x14ac:dyDescent="0.4">
      <c r="E1787"/>
    </row>
    <row r="1788" spans="5:5" x14ac:dyDescent="0.4">
      <c r="E1788"/>
    </row>
    <row r="1789" spans="5:5" x14ac:dyDescent="0.4">
      <c r="E1789"/>
    </row>
    <row r="1790" spans="5:5" x14ac:dyDescent="0.4">
      <c r="E1790"/>
    </row>
    <row r="1791" spans="5:5" x14ac:dyDescent="0.4">
      <c r="E1791"/>
    </row>
    <row r="1792" spans="5:5" x14ac:dyDescent="0.4">
      <c r="E1792"/>
    </row>
    <row r="1793" spans="5:5" x14ac:dyDescent="0.4">
      <c r="E1793"/>
    </row>
    <row r="1794" spans="5:5" x14ac:dyDescent="0.4">
      <c r="E1794"/>
    </row>
    <row r="1795" spans="5:5" x14ac:dyDescent="0.4">
      <c r="E1795"/>
    </row>
    <row r="1796" spans="5:5" x14ac:dyDescent="0.4">
      <c r="E1796"/>
    </row>
    <row r="1797" spans="5:5" x14ac:dyDescent="0.4">
      <c r="E1797"/>
    </row>
    <row r="1798" spans="5:5" x14ac:dyDescent="0.4">
      <c r="E1798"/>
    </row>
    <row r="1799" spans="5:5" x14ac:dyDescent="0.4">
      <c r="E1799"/>
    </row>
    <row r="1800" spans="5:5" x14ac:dyDescent="0.4">
      <c r="E1800"/>
    </row>
    <row r="1801" spans="5:5" x14ac:dyDescent="0.4">
      <c r="E1801"/>
    </row>
    <row r="1802" spans="5:5" x14ac:dyDescent="0.4">
      <c r="E1802"/>
    </row>
    <row r="1803" spans="5:5" x14ac:dyDescent="0.4">
      <c r="E1803"/>
    </row>
    <row r="1804" spans="5:5" x14ac:dyDescent="0.4">
      <c r="E1804"/>
    </row>
    <row r="1805" spans="5:5" x14ac:dyDescent="0.4">
      <c r="E1805"/>
    </row>
    <row r="1806" spans="5:5" x14ac:dyDescent="0.4">
      <c r="E1806"/>
    </row>
    <row r="1807" spans="5:5" x14ac:dyDescent="0.4">
      <c r="E1807"/>
    </row>
    <row r="1808" spans="5:5" x14ac:dyDescent="0.4">
      <c r="E1808"/>
    </row>
    <row r="1809" spans="5:5" x14ac:dyDescent="0.4">
      <c r="E1809"/>
    </row>
    <row r="1810" spans="5:5" x14ac:dyDescent="0.4">
      <c r="E1810"/>
    </row>
    <row r="1811" spans="5:5" x14ac:dyDescent="0.4">
      <c r="E1811"/>
    </row>
    <row r="1812" spans="5:5" x14ac:dyDescent="0.4">
      <c r="E1812"/>
    </row>
    <row r="1813" spans="5:5" x14ac:dyDescent="0.4">
      <c r="E1813"/>
    </row>
    <row r="1814" spans="5:5" x14ac:dyDescent="0.4">
      <c r="E1814"/>
    </row>
    <row r="1815" spans="5:5" x14ac:dyDescent="0.4">
      <c r="E1815"/>
    </row>
    <row r="1816" spans="5:5" x14ac:dyDescent="0.4">
      <c r="E1816"/>
    </row>
    <row r="1817" spans="5:5" x14ac:dyDescent="0.4">
      <c r="E1817"/>
    </row>
    <row r="1818" spans="5:5" x14ac:dyDescent="0.4">
      <c r="E1818"/>
    </row>
    <row r="1819" spans="5:5" x14ac:dyDescent="0.4">
      <c r="E1819"/>
    </row>
    <row r="1820" spans="5:5" x14ac:dyDescent="0.4">
      <c r="E1820"/>
    </row>
    <row r="1821" spans="5:5" x14ac:dyDescent="0.4">
      <c r="E1821"/>
    </row>
    <row r="1822" spans="5:5" x14ac:dyDescent="0.4">
      <c r="E1822"/>
    </row>
    <row r="1823" spans="5:5" x14ac:dyDescent="0.4">
      <c r="E1823"/>
    </row>
    <row r="1824" spans="5:5" x14ac:dyDescent="0.4">
      <c r="E1824"/>
    </row>
    <row r="1825" spans="5:5" x14ac:dyDescent="0.4">
      <c r="E1825"/>
    </row>
    <row r="1826" spans="5:5" x14ac:dyDescent="0.4">
      <c r="E1826"/>
    </row>
    <row r="1827" spans="5:5" x14ac:dyDescent="0.4">
      <c r="E1827"/>
    </row>
    <row r="1828" spans="5:5" x14ac:dyDescent="0.4">
      <c r="E1828"/>
    </row>
    <row r="1829" spans="5:5" x14ac:dyDescent="0.4">
      <c r="E1829"/>
    </row>
    <row r="1830" spans="5:5" x14ac:dyDescent="0.4">
      <c r="E1830"/>
    </row>
    <row r="1831" spans="5:5" x14ac:dyDescent="0.4">
      <c r="E1831"/>
    </row>
    <row r="1832" spans="5:5" x14ac:dyDescent="0.4">
      <c r="E1832"/>
    </row>
    <row r="1833" spans="5:5" x14ac:dyDescent="0.4">
      <c r="E1833"/>
    </row>
    <row r="1834" spans="5:5" x14ac:dyDescent="0.4">
      <c r="E1834"/>
    </row>
    <row r="1835" spans="5:5" x14ac:dyDescent="0.4">
      <c r="E1835"/>
    </row>
    <row r="1836" spans="5:5" x14ac:dyDescent="0.4">
      <c r="E1836"/>
    </row>
    <row r="1837" spans="5:5" x14ac:dyDescent="0.4">
      <c r="E1837"/>
    </row>
    <row r="1838" spans="5:5" x14ac:dyDescent="0.4">
      <c r="E1838"/>
    </row>
    <row r="1839" spans="5:5" x14ac:dyDescent="0.4">
      <c r="E1839"/>
    </row>
    <row r="1840" spans="5:5" x14ac:dyDescent="0.4">
      <c r="E1840"/>
    </row>
    <row r="1841" spans="5:5" x14ac:dyDescent="0.4">
      <c r="E1841"/>
    </row>
    <row r="1842" spans="5:5" x14ac:dyDescent="0.4">
      <c r="E1842"/>
    </row>
    <row r="1843" spans="5:5" x14ac:dyDescent="0.4">
      <c r="E1843"/>
    </row>
    <row r="1844" spans="5:5" x14ac:dyDescent="0.4">
      <c r="E1844"/>
    </row>
    <row r="1845" spans="5:5" x14ac:dyDescent="0.4">
      <c r="E1845"/>
    </row>
    <row r="1846" spans="5:5" x14ac:dyDescent="0.4">
      <c r="E1846"/>
    </row>
    <row r="1847" spans="5:5" x14ac:dyDescent="0.4">
      <c r="E1847"/>
    </row>
    <row r="1848" spans="5:5" x14ac:dyDescent="0.4">
      <c r="E1848"/>
    </row>
    <row r="1849" spans="5:5" x14ac:dyDescent="0.4">
      <c r="E1849"/>
    </row>
    <row r="1850" spans="5:5" x14ac:dyDescent="0.4">
      <c r="E1850"/>
    </row>
    <row r="1851" spans="5:5" x14ac:dyDescent="0.4">
      <c r="E1851"/>
    </row>
    <row r="1852" spans="5:5" x14ac:dyDescent="0.4">
      <c r="E1852"/>
    </row>
    <row r="1853" spans="5:5" x14ac:dyDescent="0.4">
      <c r="E1853"/>
    </row>
    <row r="1854" spans="5:5" x14ac:dyDescent="0.4">
      <c r="E1854"/>
    </row>
    <row r="1855" spans="5:5" x14ac:dyDescent="0.4">
      <c r="E1855"/>
    </row>
    <row r="1856" spans="5:5" x14ac:dyDescent="0.4">
      <c r="E1856"/>
    </row>
    <row r="1857" spans="5:5" x14ac:dyDescent="0.4">
      <c r="E1857"/>
    </row>
    <row r="1858" spans="5:5" x14ac:dyDescent="0.4">
      <c r="E1858"/>
    </row>
    <row r="1859" spans="5:5" x14ac:dyDescent="0.4">
      <c r="E1859"/>
    </row>
    <row r="1860" spans="5:5" x14ac:dyDescent="0.4">
      <c r="E1860"/>
    </row>
    <row r="1861" spans="5:5" x14ac:dyDescent="0.4">
      <c r="E1861"/>
    </row>
    <row r="1862" spans="5:5" x14ac:dyDescent="0.4">
      <c r="E1862"/>
    </row>
    <row r="1863" spans="5:5" x14ac:dyDescent="0.4">
      <c r="E1863"/>
    </row>
    <row r="1864" spans="5:5" x14ac:dyDescent="0.4">
      <c r="E1864"/>
    </row>
    <row r="1865" spans="5:5" x14ac:dyDescent="0.4">
      <c r="E1865"/>
    </row>
    <row r="1866" spans="5:5" x14ac:dyDescent="0.4">
      <c r="E1866"/>
    </row>
    <row r="1867" spans="5:5" x14ac:dyDescent="0.4">
      <c r="E1867"/>
    </row>
    <row r="1868" spans="5:5" x14ac:dyDescent="0.4">
      <c r="E1868"/>
    </row>
    <row r="1869" spans="5:5" x14ac:dyDescent="0.4">
      <c r="E1869"/>
    </row>
    <row r="1870" spans="5:5" x14ac:dyDescent="0.4">
      <c r="E1870"/>
    </row>
    <row r="1871" spans="5:5" x14ac:dyDescent="0.4">
      <c r="E1871"/>
    </row>
    <row r="1872" spans="5:5" x14ac:dyDescent="0.4">
      <c r="E1872"/>
    </row>
    <row r="1873" spans="5:5" x14ac:dyDescent="0.4">
      <c r="E1873"/>
    </row>
    <row r="1874" spans="5:5" x14ac:dyDescent="0.4">
      <c r="E1874"/>
    </row>
    <row r="1875" spans="5:5" x14ac:dyDescent="0.4">
      <c r="E1875"/>
    </row>
    <row r="1876" spans="5:5" x14ac:dyDescent="0.4">
      <c r="E1876"/>
    </row>
    <row r="1877" spans="5:5" x14ac:dyDescent="0.4">
      <c r="E1877"/>
    </row>
    <row r="1878" spans="5:5" x14ac:dyDescent="0.4">
      <c r="E1878"/>
    </row>
    <row r="1879" spans="5:5" x14ac:dyDescent="0.4">
      <c r="E1879"/>
    </row>
    <row r="1880" spans="5:5" x14ac:dyDescent="0.4">
      <c r="E1880"/>
    </row>
    <row r="1881" spans="5:5" x14ac:dyDescent="0.4">
      <c r="E1881"/>
    </row>
    <row r="1882" spans="5:5" x14ac:dyDescent="0.4">
      <c r="E1882"/>
    </row>
    <row r="1883" spans="5:5" x14ac:dyDescent="0.4">
      <c r="E1883"/>
    </row>
    <row r="1884" spans="5:5" x14ac:dyDescent="0.4">
      <c r="E1884"/>
    </row>
    <row r="1885" spans="5:5" x14ac:dyDescent="0.4">
      <c r="E1885"/>
    </row>
    <row r="1886" spans="5:5" x14ac:dyDescent="0.4">
      <c r="E1886"/>
    </row>
    <row r="1887" spans="5:5" x14ac:dyDescent="0.4">
      <c r="E1887"/>
    </row>
    <row r="1888" spans="5:5" x14ac:dyDescent="0.4">
      <c r="E1888"/>
    </row>
    <row r="1889" spans="5:5" x14ac:dyDescent="0.4">
      <c r="E1889"/>
    </row>
    <row r="1890" spans="5:5" x14ac:dyDescent="0.4">
      <c r="E1890"/>
    </row>
    <row r="1891" spans="5:5" x14ac:dyDescent="0.4">
      <c r="E1891"/>
    </row>
    <row r="1892" spans="5:5" x14ac:dyDescent="0.4">
      <c r="E1892"/>
    </row>
    <row r="1893" spans="5:5" x14ac:dyDescent="0.4">
      <c r="E1893"/>
    </row>
    <row r="1894" spans="5:5" x14ac:dyDescent="0.4">
      <c r="E1894"/>
    </row>
    <row r="1895" spans="5:5" x14ac:dyDescent="0.4">
      <c r="E1895"/>
    </row>
    <row r="1896" spans="5:5" x14ac:dyDescent="0.4">
      <c r="E1896"/>
    </row>
    <row r="1897" spans="5:5" x14ac:dyDescent="0.4">
      <c r="E1897"/>
    </row>
    <row r="1898" spans="5:5" x14ac:dyDescent="0.4">
      <c r="E1898"/>
    </row>
    <row r="1899" spans="5:5" x14ac:dyDescent="0.4">
      <c r="E1899"/>
    </row>
    <row r="1900" spans="5:5" x14ac:dyDescent="0.4">
      <c r="E1900"/>
    </row>
    <row r="1901" spans="5:5" x14ac:dyDescent="0.4">
      <c r="E1901"/>
    </row>
    <row r="1902" spans="5:5" x14ac:dyDescent="0.4">
      <c r="E1902"/>
    </row>
    <row r="1903" spans="5:5" x14ac:dyDescent="0.4">
      <c r="E1903"/>
    </row>
    <row r="1904" spans="5:5" x14ac:dyDescent="0.4">
      <c r="E1904"/>
    </row>
    <row r="1905" spans="5:5" x14ac:dyDescent="0.4">
      <c r="E1905"/>
    </row>
    <row r="1906" spans="5:5" x14ac:dyDescent="0.4">
      <c r="E1906"/>
    </row>
    <row r="1907" spans="5:5" x14ac:dyDescent="0.4">
      <c r="E1907"/>
    </row>
    <row r="1908" spans="5:5" x14ac:dyDescent="0.4">
      <c r="E1908"/>
    </row>
    <row r="1909" spans="5:5" x14ac:dyDescent="0.4">
      <c r="E1909"/>
    </row>
    <row r="1910" spans="5:5" x14ac:dyDescent="0.4">
      <c r="E1910"/>
    </row>
    <row r="1911" spans="5:5" x14ac:dyDescent="0.4">
      <c r="E1911"/>
    </row>
    <row r="1912" spans="5:5" x14ac:dyDescent="0.4">
      <c r="E1912"/>
    </row>
    <row r="1913" spans="5:5" x14ac:dyDescent="0.4">
      <c r="E1913"/>
    </row>
    <row r="1914" spans="5:5" x14ac:dyDescent="0.4">
      <c r="E1914"/>
    </row>
    <row r="1915" spans="5:5" x14ac:dyDescent="0.4">
      <c r="E1915"/>
    </row>
    <row r="1916" spans="5:5" x14ac:dyDescent="0.4">
      <c r="E1916"/>
    </row>
    <row r="1917" spans="5:5" x14ac:dyDescent="0.4">
      <c r="E1917"/>
    </row>
    <row r="1918" spans="5:5" x14ac:dyDescent="0.4">
      <c r="E1918"/>
    </row>
    <row r="1919" spans="5:5" x14ac:dyDescent="0.4">
      <c r="E1919"/>
    </row>
    <row r="1920" spans="5:5" x14ac:dyDescent="0.4">
      <c r="E1920"/>
    </row>
    <row r="1921" spans="5:5" x14ac:dyDescent="0.4">
      <c r="E1921"/>
    </row>
    <row r="1922" spans="5:5" x14ac:dyDescent="0.4">
      <c r="E1922"/>
    </row>
    <row r="1923" spans="5:5" x14ac:dyDescent="0.4">
      <c r="E1923"/>
    </row>
    <row r="1924" spans="5:5" x14ac:dyDescent="0.4">
      <c r="E1924"/>
    </row>
    <row r="1925" spans="5:5" x14ac:dyDescent="0.4">
      <c r="E1925"/>
    </row>
    <row r="1926" spans="5:5" x14ac:dyDescent="0.4">
      <c r="E1926"/>
    </row>
    <row r="1927" spans="5:5" x14ac:dyDescent="0.4">
      <c r="E1927"/>
    </row>
    <row r="1928" spans="5:5" x14ac:dyDescent="0.4">
      <c r="E1928"/>
    </row>
    <row r="1929" spans="5:5" x14ac:dyDescent="0.4">
      <c r="E1929"/>
    </row>
    <row r="1930" spans="5:5" x14ac:dyDescent="0.4">
      <c r="E1930"/>
    </row>
    <row r="1931" spans="5:5" x14ac:dyDescent="0.4">
      <c r="E1931"/>
    </row>
    <row r="1932" spans="5:5" x14ac:dyDescent="0.4">
      <c r="E1932"/>
    </row>
    <row r="1933" spans="5:5" x14ac:dyDescent="0.4">
      <c r="E1933"/>
    </row>
    <row r="1934" spans="5:5" x14ac:dyDescent="0.4">
      <c r="E1934"/>
    </row>
    <row r="1935" spans="5:5" x14ac:dyDescent="0.4">
      <c r="E1935"/>
    </row>
    <row r="1936" spans="5:5" x14ac:dyDescent="0.4">
      <c r="E1936"/>
    </row>
    <row r="1937" spans="5:5" x14ac:dyDescent="0.4">
      <c r="E1937"/>
    </row>
    <row r="1938" spans="5:5" x14ac:dyDescent="0.4">
      <c r="E1938"/>
    </row>
    <row r="1939" spans="5:5" x14ac:dyDescent="0.4">
      <c r="E1939"/>
    </row>
    <row r="1940" spans="5:5" x14ac:dyDescent="0.4">
      <c r="E1940"/>
    </row>
    <row r="1941" spans="5:5" x14ac:dyDescent="0.4">
      <c r="E1941"/>
    </row>
    <row r="1942" spans="5:5" x14ac:dyDescent="0.4">
      <c r="E1942"/>
    </row>
    <row r="1943" spans="5:5" x14ac:dyDescent="0.4">
      <c r="E1943"/>
    </row>
    <row r="1944" spans="5:5" x14ac:dyDescent="0.4">
      <c r="E1944"/>
    </row>
    <row r="1945" spans="5:5" x14ac:dyDescent="0.4">
      <c r="E1945"/>
    </row>
    <row r="1946" spans="5:5" x14ac:dyDescent="0.4">
      <c r="E1946"/>
    </row>
    <row r="1947" spans="5:5" x14ac:dyDescent="0.4">
      <c r="E1947"/>
    </row>
    <row r="1948" spans="5:5" x14ac:dyDescent="0.4">
      <c r="E1948"/>
    </row>
    <row r="1949" spans="5:5" x14ac:dyDescent="0.4">
      <c r="E1949"/>
    </row>
    <row r="1950" spans="5:5" x14ac:dyDescent="0.4">
      <c r="E1950"/>
    </row>
    <row r="1951" spans="5:5" x14ac:dyDescent="0.4">
      <c r="E1951"/>
    </row>
    <row r="1952" spans="5:5" x14ac:dyDescent="0.4">
      <c r="E1952"/>
    </row>
    <row r="1953" spans="5:5" x14ac:dyDescent="0.4">
      <c r="E1953"/>
    </row>
    <row r="1954" spans="5:5" x14ac:dyDescent="0.4">
      <c r="E1954"/>
    </row>
    <row r="1955" spans="5:5" x14ac:dyDescent="0.4">
      <c r="E1955"/>
    </row>
    <row r="1956" spans="5:5" x14ac:dyDescent="0.4">
      <c r="E1956"/>
    </row>
    <row r="1957" spans="5:5" x14ac:dyDescent="0.4">
      <c r="E1957"/>
    </row>
    <row r="1958" spans="5:5" x14ac:dyDescent="0.4">
      <c r="E1958"/>
    </row>
    <row r="1959" spans="5:5" x14ac:dyDescent="0.4">
      <c r="E1959"/>
    </row>
    <row r="1960" spans="5:5" x14ac:dyDescent="0.4">
      <c r="E1960"/>
    </row>
    <row r="1961" spans="5:5" x14ac:dyDescent="0.4">
      <c r="E1961"/>
    </row>
    <row r="1962" spans="5:5" x14ac:dyDescent="0.4">
      <c r="E1962"/>
    </row>
    <row r="1963" spans="5:5" x14ac:dyDescent="0.4">
      <c r="E1963"/>
    </row>
    <row r="1964" spans="5:5" x14ac:dyDescent="0.4">
      <c r="E1964"/>
    </row>
    <row r="1965" spans="5:5" x14ac:dyDescent="0.4">
      <c r="E1965"/>
    </row>
    <row r="1966" spans="5:5" x14ac:dyDescent="0.4">
      <c r="E1966"/>
    </row>
    <row r="1967" spans="5:5" x14ac:dyDescent="0.4">
      <c r="E1967"/>
    </row>
    <row r="1968" spans="5:5" x14ac:dyDescent="0.4">
      <c r="E1968"/>
    </row>
    <row r="1969" spans="5:5" x14ac:dyDescent="0.4">
      <c r="E1969"/>
    </row>
    <row r="1970" spans="5:5" x14ac:dyDescent="0.4">
      <c r="E1970"/>
    </row>
    <row r="1971" spans="5:5" x14ac:dyDescent="0.4">
      <c r="E1971"/>
    </row>
    <row r="1972" spans="5:5" x14ac:dyDescent="0.4">
      <c r="E1972"/>
    </row>
    <row r="1973" spans="5:5" x14ac:dyDescent="0.4">
      <c r="E1973"/>
    </row>
    <row r="1974" spans="5:5" x14ac:dyDescent="0.4">
      <c r="E1974"/>
    </row>
    <row r="1975" spans="5:5" x14ac:dyDescent="0.4">
      <c r="E1975"/>
    </row>
    <row r="1976" spans="5:5" x14ac:dyDescent="0.4">
      <c r="E1976"/>
    </row>
    <row r="1977" spans="5:5" x14ac:dyDescent="0.4">
      <c r="E1977"/>
    </row>
    <row r="1978" spans="5:5" x14ac:dyDescent="0.4">
      <c r="E1978"/>
    </row>
    <row r="1979" spans="5:5" x14ac:dyDescent="0.4">
      <c r="E1979"/>
    </row>
    <row r="1980" spans="5:5" x14ac:dyDescent="0.4">
      <c r="E1980"/>
    </row>
    <row r="1981" spans="5:5" x14ac:dyDescent="0.4">
      <c r="E1981"/>
    </row>
    <row r="1982" spans="5:5" x14ac:dyDescent="0.4">
      <c r="E1982"/>
    </row>
    <row r="1983" spans="5:5" x14ac:dyDescent="0.4">
      <c r="E1983"/>
    </row>
    <row r="1984" spans="5:5" x14ac:dyDescent="0.4">
      <c r="E1984"/>
    </row>
    <row r="1985" spans="5:5" x14ac:dyDescent="0.4">
      <c r="E1985"/>
    </row>
    <row r="1986" spans="5:5" x14ac:dyDescent="0.4">
      <c r="E1986"/>
    </row>
    <row r="1987" spans="5:5" x14ac:dyDescent="0.4">
      <c r="E1987"/>
    </row>
    <row r="1988" spans="5:5" x14ac:dyDescent="0.4">
      <c r="E1988"/>
    </row>
    <row r="1989" spans="5:5" x14ac:dyDescent="0.4">
      <c r="E1989"/>
    </row>
    <row r="1990" spans="5:5" x14ac:dyDescent="0.4">
      <c r="E1990"/>
    </row>
    <row r="1991" spans="5:5" x14ac:dyDescent="0.4">
      <c r="E1991"/>
    </row>
    <row r="1992" spans="5:5" x14ac:dyDescent="0.4">
      <c r="E1992"/>
    </row>
    <row r="1993" spans="5:5" x14ac:dyDescent="0.4">
      <c r="E1993"/>
    </row>
    <row r="1994" spans="5:5" x14ac:dyDescent="0.4">
      <c r="E1994"/>
    </row>
    <row r="1995" spans="5:5" x14ac:dyDescent="0.4">
      <c r="E1995"/>
    </row>
    <row r="1996" spans="5:5" x14ac:dyDescent="0.4">
      <c r="E1996"/>
    </row>
    <row r="1997" spans="5:5" x14ac:dyDescent="0.4">
      <c r="E1997"/>
    </row>
    <row r="1998" spans="5:5" x14ac:dyDescent="0.4">
      <c r="E1998"/>
    </row>
    <row r="1999" spans="5:5" x14ac:dyDescent="0.4">
      <c r="E1999"/>
    </row>
    <row r="2000" spans="5:5" x14ac:dyDescent="0.4">
      <c r="E2000"/>
    </row>
    <row r="2001" spans="5:5" x14ac:dyDescent="0.4">
      <c r="E2001"/>
    </row>
    <row r="2002" spans="5:5" x14ac:dyDescent="0.4">
      <c r="E2002"/>
    </row>
    <row r="2003" spans="5:5" x14ac:dyDescent="0.4">
      <c r="E2003"/>
    </row>
    <row r="2004" spans="5:5" x14ac:dyDescent="0.4">
      <c r="E2004"/>
    </row>
    <row r="2005" spans="5:5" x14ac:dyDescent="0.4">
      <c r="E2005"/>
    </row>
    <row r="2006" spans="5:5" x14ac:dyDescent="0.4">
      <c r="E2006"/>
    </row>
    <row r="2007" spans="5:5" x14ac:dyDescent="0.4">
      <c r="E2007"/>
    </row>
    <row r="2008" spans="5:5" x14ac:dyDescent="0.4">
      <c r="E2008"/>
    </row>
    <row r="2009" spans="5:5" x14ac:dyDescent="0.4">
      <c r="E2009"/>
    </row>
    <row r="2010" spans="5:5" x14ac:dyDescent="0.4">
      <c r="E2010"/>
    </row>
    <row r="2011" spans="5:5" x14ac:dyDescent="0.4">
      <c r="E2011"/>
    </row>
    <row r="2012" spans="5:5" x14ac:dyDescent="0.4">
      <c r="E2012"/>
    </row>
    <row r="2013" spans="5:5" x14ac:dyDescent="0.4">
      <c r="E2013"/>
    </row>
    <row r="2014" spans="5:5" x14ac:dyDescent="0.4">
      <c r="E2014"/>
    </row>
    <row r="2015" spans="5:5" x14ac:dyDescent="0.4">
      <c r="E2015"/>
    </row>
    <row r="2016" spans="5:5" x14ac:dyDescent="0.4">
      <c r="E2016"/>
    </row>
    <row r="2017" spans="5:5" x14ac:dyDescent="0.4">
      <c r="E2017"/>
    </row>
    <row r="2018" spans="5:5" x14ac:dyDescent="0.4">
      <c r="E2018"/>
    </row>
    <row r="2019" spans="5:5" x14ac:dyDescent="0.4">
      <c r="E2019"/>
    </row>
    <row r="2020" spans="5:5" x14ac:dyDescent="0.4">
      <c r="E2020"/>
    </row>
    <row r="2021" spans="5:5" x14ac:dyDescent="0.4">
      <c r="E2021"/>
    </row>
    <row r="2022" spans="5:5" x14ac:dyDescent="0.4">
      <c r="E2022"/>
    </row>
    <row r="2023" spans="5:5" x14ac:dyDescent="0.4">
      <c r="E2023"/>
    </row>
    <row r="2024" spans="5:5" x14ac:dyDescent="0.4">
      <c r="E2024"/>
    </row>
    <row r="2025" spans="5:5" x14ac:dyDescent="0.4">
      <c r="E2025"/>
    </row>
    <row r="2026" spans="5:5" x14ac:dyDescent="0.4">
      <c r="E2026"/>
    </row>
    <row r="2027" spans="5:5" x14ac:dyDescent="0.4">
      <c r="E2027"/>
    </row>
    <row r="2028" spans="5:5" x14ac:dyDescent="0.4">
      <c r="E2028"/>
    </row>
    <row r="2029" spans="5:5" x14ac:dyDescent="0.4">
      <c r="E2029"/>
    </row>
    <row r="2030" spans="5:5" x14ac:dyDescent="0.4">
      <c r="E2030"/>
    </row>
    <row r="2031" spans="5:5" x14ac:dyDescent="0.4">
      <c r="E2031"/>
    </row>
    <row r="2032" spans="5:5" x14ac:dyDescent="0.4">
      <c r="E2032"/>
    </row>
    <row r="2033" spans="5:5" x14ac:dyDescent="0.4">
      <c r="E2033"/>
    </row>
    <row r="2034" spans="5:5" x14ac:dyDescent="0.4">
      <c r="E2034"/>
    </row>
    <row r="2035" spans="5:5" x14ac:dyDescent="0.4">
      <c r="E2035"/>
    </row>
    <row r="2036" spans="5:5" x14ac:dyDescent="0.4">
      <c r="E2036"/>
    </row>
    <row r="2037" spans="5:5" x14ac:dyDescent="0.4">
      <c r="E2037"/>
    </row>
    <row r="2038" spans="5:5" x14ac:dyDescent="0.4">
      <c r="E2038"/>
    </row>
    <row r="2039" spans="5:5" x14ac:dyDescent="0.4">
      <c r="E2039"/>
    </row>
    <row r="2040" spans="5:5" x14ac:dyDescent="0.4">
      <c r="E2040"/>
    </row>
    <row r="2041" spans="5:5" x14ac:dyDescent="0.4">
      <c r="E2041"/>
    </row>
    <row r="2042" spans="5:5" x14ac:dyDescent="0.4">
      <c r="E2042"/>
    </row>
    <row r="2043" spans="5:5" x14ac:dyDescent="0.4">
      <c r="E2043"/>
    </row>
    <row r="2044" spans="5:5" x14ac:dyDescent="0.4">
      <c r="E2044"/>
    </row>
    <row r="2045" spans="5:5" x14ac:dyDescent="0.4">
      <c r="E2045"/>
    </row>
    <row r="2046" spans="5:5" x14ac:dyDescent="0.4">
      <c r="E2046"/>
    </row>
    <row r="2047" spans="5:5" x14ac:dyDescent="0.4">
      <c r="E2047"/>
    </row>
    <row r="2048" spans="5:5" x14ac:dyDescent="0.4">
      <c r="E2048"/>
    </row>
    <row r="2049" spans="5:5" x14ac:dyDescent="0.4">
      <c r="E2049"/>
    </row>
    <row r="2050" spans="5:5" x14ac:dyDescent="0.4">
      <c r="E2050"/>
    </row>
    <row r="2051" spans="5:5" x14ac:dyDescent="0.4">
      <c r="E2051"/>
    </row>
    <row r="2052" spans="5:5" x14ac:dyDescent="0.4">
      <c r="E2052"/>
    </row>
    <row r="2053" spans="5:5" x14ac:dyDescent="0.4">
      <c r="E2053"/>
    </row>
    <row r="2054" spans="5:5" x14ac:dyDescent="0.4">
      <c r="E2054"/>
    </row>
    <row r="2055" spans="5:5" x14ac:dyDescent="0.4">
      <c r="E2055"/>
    </row>
    <row r="2056" spans="5:5" x14ac:dyDescent="0.4">
      <c r="E2056"/>
    </row>
    <row r="2057" spans="5:5" x14ac:dyDescent="0.4">
      <c r="E2057"/>
    </row>
    <row r="2058" spans="5:5" x14ac:dyDescent="0.4">
      <c r="E2058"/>
    </row>
    <row r="2059" spans="5:5" x14ac:dyDescent="0.4">
      <c r="E2059"/>
    </row>
    <row r="2060" spans="5:5" x14ac:dyDescent="0.4">
      <c r="E2060"/>
    </row>
    <row r="2061" spans="5:5" x14ac:dyDescent="0.4">
      <c r="E2061"/>
    </row>
    <row r="2062" spans="5:5" x14ac:dyDescent="0.4">
      <c r="E2062"/>
    </row>
    <row r="2063" spans="5:5" x14ac:dyDescent="0.4">
      <c r="E2063"/>
    </row>
    <row r="2064" spans="5:5" x14ac:dyDescent="0.4">
      <c r="E2064"/>
    </row>
    <row r="2065" spans="5:5" x14ac:dyDescent="0.4">
      <c r="E2065"/>
    </row>
    <row r="2066" spans="5:5" x14ac:dyDescent="0.4">
      <c r="E2066"/>
    </row>
    <row r="2067" spans="5:5" x14ac:dyDescent="0.4">
      <c r="E2067"/>
    </row>
    <row r="2068" spans="5:5" x14ac:dyDescent="0.4">
      <c r="E2068"/>
    </row>
    <row r="2069" spans="5:5" x14ac:dyDescent="0.4">
      <c r="E2069"/>
    </row>
    <row r="2070" spans="5:5" x14ac:dyDescent="0.4">
      <c r="E2070"/>
    </row>
    <row r="2071" spans="5:5" x14ac:dyDescent="0.4">
      <c r="E2071"/>
    </row>
    <row r="2072" spans="5:5" x14ac:dyDescent="0.4">
      <c r="E2072"/>
    </row>
    <row r="2073" spans="5:5" x14ac:dyDescent="0.4">
      <c r="E2073"/>
    </row>
    <row r="2074" spans="5:5" x14ac:dyDescent="0.4">
      <c r="E2074"/>
    </row>
    <row r="2075" spans="5:5" x14ac:dyDescent="0.4">
      <c r="E2075"/>
    </row>
    <row r="2076" spans="5:5" x14ac:dyDescent="0.4">
      <c r="E2076"/>
    </row>
    <row r="2077" spans="5:5" x14ac:dyDescent="0.4">
      <c r="E2077"/>
    </row>
    <row r="2078" spans="5:5" x14ac:dyDescent="0.4">
      <c r="E2078"/>
    </row>
    <row r="2079" spans="5:5" x14ac:dyDescent="0.4">
      <c r="E2079"/>
    </row>
    <row r="2080" spans="5:5" x14ac:dyDescent="0.4">
      <c r="E2080"/>
    </row>
    <row r="2081" spans="5:5" x14ac:dyDescent="0.4">
      <c r="E2081"/>
    </row>
    <row r="2082" spans="5:5" x14ac:dyDescent="0.4">
      <c r="E2082"/>
    </row>
    <row r="2083" spans="5:5" x14ac:dyDescent="0.4">
      <c r="E2083"/>
    </row>
    <row r="2084" spans="5:5" x14ac:dyDescent="0.4">
      <c r="E2084"/>
    </row>
    <row r="2085" spans="5:5" x14ac:dyDescent="0.4">
      <c r="E2085"/>
    </row>
    <row r="2086" spans="5:5" x14ac:dyDescent="0.4">
      <c r="E2086"/>
    </row>
    <row r="2087" spans="5:5" x14ac:dyDescent="0.4">
      <c r="E2087"/>
    </row>
    <row r="2088" spans="5:5" x14ac:dyDescent="0.4">
      <c r="E2088"/>
    </row>
    <row r="2089" spans="5:5" x14ac:dyDescent="0.4">
      <c r="E2089"/>
    </row>
    <row r="2090" spans="5:5" x14ac:dyDescent="0.4">
      <c r="E2090"/>
    </row>
    <row r="2091" spans="5:5" x14ac:dyDescent="0.4">
      <c r="E2091"/>
    </row>
    <row r="2092" spans="5:5" x14ac:dyDescent="0.4">
      <c r="E2092"/>
    </row>
    <row r="2093" spans="5:5" x14ac:dyDescent="0.4">
      <c r="E2093"/>
    </row>
    <row r="2094" spans="5:5" x14ac:dyDescent="0.4">
      <c r="E2094"/>
    </row>
    <row r="2095" spans="5:5" x14ac:dyDescent="0.4">
      <c r="E2095"/>
    </row>
    <row r="2096" spans="5:5" x14ac:dyDescent="0.4">
      <c r="E2096"/>
    </row>
    <row r="2097" spans="5:5" x14ac:dyDescent="0.4">
      <c r="E2097"/>
    </row>
    <row r="2098" spans="5:5" x14ac:dyDescent="0.4">
      <c r="E2098"/>
    </row>
    <row r="2099" spans="5:5" x14ac:dyDescent="0.4">
      <c r="E2099"/>
    </row>
    <row r="2100" spans="5:5" x14ac:dyDescent="0.4">
      <c r="E2100"/>
    </row>
    <row r="2101" spans="5:5" x14ac:dyDescent="0.4">
      <c r="E2101"/>
    </row>
    <row r="2102" spans="5:5" x14ac:dyDescent="0.4">
      <c r="E2102"/>
    </row>
    <row r="2103" spans="5:5" x14ac:dyDescent="0.4">
      <c r="E2103"/>
    </row>
    <row r="2104" spans="5:5" x14ac:dyDescent="0.4">
      <c r="E2104"/>
    </row>
    <row r="2105" spans="5:5" x14ac:dyDescent="0.4">
      <c r="E2105"/>
    </row>
    <row r="2106" spans="5:5" x14ac:dyDescent="0.4">
      <c r="E2106"/>
    </row>
    <row r="2107" spans="5:5" x14ac:dyDescent="0.4">
      <c r="E2107"/>
    </row>
    <row r="2108" spans="5:5" x14ac:dyDescent="0.4">
      <c r="E2108"/>
    </row>
    <row r="2109" spans="5:5" x14ac:dyDescent="0.4">
      <c r="E2109"/>
    </row>
    <row r="2110" spans="5:5" x14ac:dyDescent="0.4">
      <c r="E2110"/>
    </row>
    <row r="2111" spans="5:5" x14ac:dyDescent="0.4">
      <c r="E2111"/>
    </row>
    <row r="2112" spans="5:5" x14ac:dyDescent="0.4">
      <c r="E2112"/>
    </row>
    <row r="2113" spans="5:5" x14ac:dyDescent="0.4">
      <c r="E2113"/>
    </row>
    <row r="2114" spans="5:5" x14ac:dyDescent="0.4">
      <c r="E2114"/>
    </row>
    <row r="2115" spans="5:5" x14ac:dyDescent="0.4">
      <c r="E2115"/>
    </row>
    <row r="2116" spans="5:5" x14ac:dyDescent="0.4">
      <c r="E2116"/>
    </row>
    <row r="2117" spans="5:5" x14ac:dyDescent="0.4">
      <c r="E2117"/>
    </row>
    <row r="2118" spans="5:5" x14ac:dyDescent="0.4">
      <c r="E2118"/>
    </row>
    <row r="2119" spans="5:5" x14ac:dyDescent="0.4">
      <c r="E2119"/>
    </row>
    <row r="2120" spans="5:5" x14ac:dyDescent="0.4">
      <c r="E2120"/>
    </row>
    <row r="2121" spans="5:5" x14ac:dyDescent="0.4">
      <c r="E2121"/>
    </row>
    <row r="2122" spans="5:5" x14ac:dyDescent="0.4">
      <c r="E2122"/>
    </row>
    <row r="2123" spans="5:5" x14ac:dyDescent="0.4">
      <c r="E2123"/>
    </row>
    <row r="2124" spans="5:5" x14ac:dyDescent="0.4">
      <c r="E2124"/>
    </row>
    <row r="2125" spans="5:5" x14ac:dyDescent="0.4">
      <c r="E2125"/>
    </row>
    <row r="2126" spans="5:5" x14ac:dyDescent="0.4">
      <c r="E2126"/>
    </row>
    <row r="2127" spans="5:5" x14ac:dyDescent="0.4">
      <c r="E2127"/>
    </row>
    <row r="2128" spans="5:5" x14ac:dyDescent="0.4">
      <c r="E2128"/>
    </row>
    <row r="2129" spans="5:5" x14ac:dyDescent="0.4">
      <c r="E2129"/>
    </row>
    <row r="2130" spans="5:5" x14ac:dyDescent="0.4">
      <c r="E2130"/>
    </row>
    <row r="2131" spans="5:5" x14ac:dyDescent="0.4">
      <c r="E2131"/>
    </row>
    <row r="2132" spans="5:5" x14ac:dyDescent="0.4">
      <c r="E2132"/>
    </row>
    <row r="2133" spans="5:5" x14ac:dyDescent="0.4">
      <c r="E2133"/>
    </row>
    <row r="2134" spans="5:5" x14ac:dyDescent="0.4">
      <c r="E2134"/>
    </row>
    <row r="2135" spans="5:5" x14ac:dyDescent="0.4">
      <c r="E2135"/>
    </row>
    <row r="2136" spans="5:5" x14ac:dyDescent="0.4">
      <c r="E2136"/>
    </row>
    <row r="2137" spans="5:5" x14ac:dyDescent="0.4">
      <c r="E2137"/>
    </row>
    <row r="2138" spans="5:5" x14ac:dyDescent="0.4">
      <c r="E2138"/>
    </row>
    <row r="2139" spans="5:5" x14ac:dyDescent="0.4">
      <c r="E2139"/>
    </row>
    <row r="2140" spans="5:5" x14ac:dyDescent="0.4">
      <c r="E2140"/>
    </row>
    <row r="2141" spans="5:5" x14ac:dyDescent="0.4">
      <c r="E2141"/>
    </row>
    <row r="2142" spans="5:5" x14ac:dyDescent="0.4">
      <c r="E2142"/>
    </row>
    <row r="2143" spans="5:5" x14ac:dyDescent="0.4">
      <c r="E2143"/>
    </row>
    <row r="2144" spans="5:5" x14ac:dyDescent="0.4">
      <c r="E2144"/>
    </row>
    <row r="2145" spans="5:5" x14ac:dyDescent="0.4">
      <c r="E2145"/>
    </row>
    <row r="2146" spans="5:5" x14ac:dyDescent="0.4">
      <c r="E2146"/>
    </row>
    <row r="2147" spans="5:5" x14ac:dyDescent="0.4">
      <c r="E2147"/>
    </row>
    <row r="2148" spans="5:5" x14ac:dyDescent="0.4">
      <c r="E2148"/>
    </row>
    <row r="2149" spans="5:5" x14ac:dyDescent="0.4">
      <c r="E2149"/>
    </row>
    <row r="2150" spans="5:5" x14ac:dyDescent="0.4">
      <c r="E2150"/>
    </row>
    <row r="2151" spans="5:5" x14ac:dyDescent="0.4">
      <c r="E2151"/>
    </row>
    <row r="2152" spans="5:5" x14ac:dyDescent="0.4">
      <c r="E2152"/>
    </row>
    <row r="2153" spans="5:5" x14ac:dyDescent="0.4">
      <c r="E2153"/>
    </row>
    <row r="2154" spans="5:5" x14ac:dyDescent="0.4">
      <c r="E2154"/>
    </row>
    <row r="2155" spans="5:5" x14ac:dyDescent="0.4">
      <c r="E2155"/>
    </row>
    <row r="2156" spans="5:5" x14ac:dyDescent="0.4">
      <c r="E2156"/>
    </row>
    <row r="2157" spans="5:5" x14ac:dyDescent="0.4">
      <c r="E2157"/>
    </row>
    <row r="2158" spans="5:5" x14ac:dyDescent="0.4">
      <c r="E2158"/>
    </row>
    <row r="2159" spans="5:5" x14ac:dyDescent="0.4">
      <c r="E2159"/>
    </row>
    <row r="2160" spans="5:5" x14ac:dyDescent="0.4">
      <c r="E2160"/>
    </row>
    <row r="2161" spans="5:5" x14ac:dyDescent="0.4">
      <c r="E2161"/>
    </row>
    <row r="2162" spans="5:5" x14ac:dyDescent="0.4">
      <c r="E2162"/>
    </row>
    <row r="2163" spans="5:5" x14ac:dyDescent="0.4">
      <c r="E2163"/>
    </row>
    <row r="2164" spans="5:5" x14ac:dyDescent="0.4">
      <c r="E2164"/>
    </row>
    <row r="2165" spans="5:5" x14ac:dyDescent="0.4">
      <c r="E2165"/>
    </row>
    <row r="2166" spans="5:5" x14ac:dyDescent="0.4">
      <c r="E2166"/>
    </row>
    <row r="2167" spans="5:5" x14ac:dyDescent="0.4">
      <c r="E2167"/>
    </row>
    <row r="2168" spans="5:5" x14ac:dyDescent="0.4">
      <c r="E2168"/>
    </row>
    <row r="2169" spans="5:5" x14ac:dyDescent="0.4">
      <c r="E2169"/>
    </row>
    <row r="2170" spans="5:5" x14ac:dyDescent="0.4">
      <c r="E2170"/>
    </row>
    <row r="2171" spans="5:5" x14ac:dyDescent="0.4">
      <c r="E2171"/>
    </row>
    <row r="2172" spans="5:5" x14ac:dyDescent="0.4">
      <c r="E2172"/>
    </row>
    <row r="2173" spans="5:5" x14ac:dyDescent="0.4">
      <c r="E2173"/>
    </row>
    <row r="2174" spans="5:5" x14ac:dyDescent="0.4">
      <c r="E2174"/>
    </row>
    <row r="2175" spans="5:5" x14ac:dyDescent="0.4">
      <c r="E2175"/>
    </row>
    <row r="2176" spans="5:5" x14ac:dyDescent="0.4">
      <c r="E2176"/>
    </row>
    <row r="2177" spans="5:5" x14ac:dyDescent="0.4">
      <c r="E2177"/>
    </row>
    <row r="2178" spans="5:5" x14ac:dyDescent="0.4">
      <c r="E2178"/>
    </row>
    <row r="2179" spans="5:5" x14ac:dyDescent="0.4">
      <c r="E2179"/>
    </row>
    <row r="2180" spans="5:5" x14ac:dyDescent="0.4">
      <c r="E2180"/>
    </row>
    <row r="2181" spans="5:5" x14ac:dyDescent="0.4">
      <c r="E2181"/>
    </row>
    <row r="2182" spans="5:5" x14ac:dyDescent="0.4">
      <c r="E2182"/>
    </row>
    <row r="2183" spans="5:5" x14ac:dyDescent="0.4">
      <c r="E2183"/>
    </row>
    <row r="2184" spans="5:5" x14ac:dyDescent="0.4">
      <c r="E2184"/>
    </row>
    <row r="2185" spans="5:5" x14ac:dyDescent="0.4">
      <c r="E2185"/>
    </row>
    <row r="2186" spans="5:5" x14ac:dyDescent="0.4">
      <c r="E2186"/>
    </row>
    <row r="2187" spans="5:5" x14ac:dyDescent="0.4">
      <c r="E2187"/>
    </row>
    <row r="2188" spans="5:5" x14ac:dyDescent="0.4">
      <c r="E2188"/>
    </row>
    <row r="2189" spans="5:5" x14ac:dyDescent="0.4">
      <c r="E2189"/>
    </row>
    <row r="2190" spans="5:5" x14ac:dyDescent="0.4">
      <c r="E2190"/>
    </row>
    <row r="2191" spans="5:5" x14ac:dyDescent="0.4">
      <c r="E2191"/>
    </row>
    <row r="2192" spans="5:5" x14ac:dyDescent="0.4">
      <c r="E2192"/>
    </row>
    <row r="2193" spans="5:5" x14ac:dyDescent="0.4">
      <c r="E2193"/>
    </row>
    <row r="2194" spans="5:5" x14ac:dyDescent="0.4">
      <c r="E2194"/>
    </row>
    <row r="2195" spans="5:5" x14ac:dyDescent="0.4">
      <c r="E2195"/>
    </row>
    <row r="2196" spans="5:5" x14ac:dyDescent="0.4">
      <c r="E2196"/>
    </row>
    <row r="2197" spans="5:5" x14ac:dyDescent="0.4">
      <c r="E2197"/>
    </row>
    <row r="2198" spans="5:5" x14ac:dyDescent="0.4">
      <c r="E2198"/>
    </row>
    <row r="2199" spans="5:5" x14ac:dyDescent="0.4">
      <c r="E2199"/>
    </row>
    <row r="2200" spans="5:5" x14ac:dyDescent="0.4">
      <c r="E2200"/>
    </row>
    <row r="2201" spans="5:5" x14ac:dyDescent="0.4">
      <c r="E2201"/>
    </row>
    <row r="2202" spans="5:5" x14ac:dyDescent="0.4">
      <c r="E2202"/>
    </row>
    <row r="2203" spans="5:5" x14ac:dyDescent="0.4">
      <c r="E2203"/>
    </row>
    <row r="2204" spans="5:5" x14ac:dyDescent="0.4">
      <c r="E2204"/>
    </row>
    <row r="2205" spans="5:5" x14ac:dyDescent="0.4">
      <c r="E2205"/>
    </row>
    <row r="2206" spans="5:5" x14ac:dyDescent="0.4">
      <c r="E2206"/>
    </row>
    <row r="2207" spans="5:5" x14ac:dyDescent="0.4">
      <c r="E2207"/>
    </row>
    <row r="2208" spans="5:5" x14ac:dyDescent="0.4">
      <c r="E2208"/>
    </row>
    <row r="2209" spans="5:5" x14ac:dyDescent="0.4">
      <c r="E2209"/>
    </row>
    <row r="2210" spans="5:5" x14ac:dyDescent="0.4">
      <c r="E2210"/>
    </row>
    <row r="2211" spans="5:5" x14ac:dyDescent="0.4">
      <c r="E2211"/>
    </row>
    <row r="2212" spans="5:5" x14ac:dyDescent="0.4">
      <c r="E2212"/>
    </row>
    <row r="2213" spans="5:5" x14ac:dyDescent="0.4">
      <c r="E2213"/>
    </row>
    <row r="2214" spans="5:5" x14ac:dyDescent="0.4">
      <c r="E2214"/>
    </row>
    <row r="2215" spans="5:5" x14ac:dyDescent="0.4">
      <c r="E2215"/>
    </row>
    <row r="2216" spans="5:5" x14ac:dyDescent="0.4">
      <c r="E2216"/>
    </row>
    <row r="2217" spans="5:5" x14ac:dyDescent="0.4">
      <c r="E2217"/>
    </row>
    <row r="2218" spans="5:5" x14ac:dyDescent="0.4">
      <c r="E2218"/>
    </row>
    <row r="2219" spans="5:5" x14ac:dyDescent="0.4">
      <c r="E2219"/>
    </row>
    <row r="2220" spans="5:5" x14ac:dyDescent="0.4">
      <c r="E2220"/>
    </row>
    <row r="2221" spans="5:5" x14ac:dyDescent="0.4">
      <c r="E2221"/>
    </row>
    <row r="2222" spans="5:5" x14ac:dyDescent="0.4">
      <c r="E2222"/>
    </row>
    <row r="2223" spans="5:5" x14ac:dyDescent="0.4">
      <c r="E2223"/>
    </row>
    <row r="2224" spans="5:5" x14ac:dyDescent="0.4">
      <c r="E2224"/>
    </row>
    <row r="2225" spans="5:5" x14ac:dyDescent="0.4">
      <c r="E2225"/>
    </row>
    <row r="2226" spans="5:5" x14ac:dyDescent="0.4">
      <c r="E2226"/>
    </row>
    <row r="2227" spans="5:5" x14ac:dyDescent="0.4">
      <c r="E2227"/>
    </row>
    <row r="2228" spans="5:5" x14ac:dyDescent="0.4">
      <c r="E2228"/>
    </row>
    <row r="2229" spans="5:5" x14ac:dyDescent="0.4">
      <c r="E2229"/>
    </row>
    <row r="2230" spans="5:5" x14ac:dyDescent="0.4">
      <c r="E2230"/>
    </row>
    <row r="2231" spans="5:5" x14ac:dyDescent="0.4">
      <c r="E2231"/>
    </row>
    <row r="2232" spans="5:5" x14ac:dyDescent="0.4">
      <c r="E2232"/>
    </row>
    <row r="2233" spans="5:5" x14ac:dyDescent="0.4">
      <c r="E2233"/>
    </row>
    <row r="2234" spans="5:5" x14ac:dyDescent="0.4">
      <c r="E2234"/>
    </row>
    <row r="2235" spans="5:5" x14ac:dyDescent="0.4">
      <c r="E2235"/>
    </row>
    <row r="2236" spans="5:5" x14ac:dyDescent="0.4">
      <c r="E2236"/>
    </row>
    <row r="2237" spans="5:5" x14ac:dyDescent="0.4">
      <c r="E2237"/>
    </row>
    <row r="2238" spans="5:5" x14ac:dyDescent="0.4">
      <c r="E2238"/>
    </row>
    <row r="2239" spans="5:5" x14ac:dyDescent="0.4">
      <c r="E2239"/>
    </row>
    <row r="2240" spans="5:5" x14ac:dyDescent="0.4">
      <c r="E2240"/>
    </row>
    <row r="2241" spans="5:5" x14ac:dyDescent="0.4">
      <c r="E2241"/>
    </row>
    <row r="2242" spans="5:5" x14ac:dyDescent="0.4">
      <c r="E2242"/>
    </row>
    <row r="2243" spans="5:5" x14ac:dyDescent="0.4">
      <c r="E2243"/>
    </row>
    <row r="2244" spans="5:5" x14ac:dyDescent="0.4">
      <c r="E2244"/>
    </row>
    <row r="2245" spans="5:5" x14ac:dyDescent="0.4">
      <c r="E2245"/>
    </row>
    <row r="2246" spans="5:5" x14ac:dyDescent="0.4">
      <c r="E2246"/>
    </row>
    <row r="2247" spans="5:5" x14ac:dyDescent="0.4">
      <c r="E2247"/>
    </row>
    <row r="2248" spans="5:5" x14ac:dyDescent="0.4">
      <c r="E2248"/>
    </row>
    <row r="2249" spans="5:5" x14ac:dyDescent="0.4">
      <c r="E2249"/>
    </row>
    <row r="2250" spans="5:5" x14ac:dyDescent="0.4">
      <c r="E2250"/>
    </row>
    <row r="2251" spans="5:5" x14ac:dyDescent="0.4">
      <c r="E2251"/>
    </row>
    <row r="2252" spans="5:5" x14ac:dyDescent="0.4">
      <c r="E2252"/>
    </row>
    <row r="2253" spans="5:5" x14ac:dyDescent="0.4">
      <c r="E2253"/>
    </row>
    <row r="2254" spans="5:5" x14ac:dyDescent="0.4">
      <c r="E2254"/>
    </row>
    <row r="2255" spans="5:5" x14ac:dyDescent="0.4">
      <c r="E2255"/>
    </row>
    <row r="2256" spans="5:5" x14ac:dyDescent="0.4">
      <c r="E2256"/>
    </row>
    <row r="2257" spans="5:5" x14ac:dyDescent="0.4">
      <c r="E2257"/>
    </row>
    <row r="2258" spans="5:5" x14ac:dyDescent="0.4">
      <c r="E2258"/>
    </row>
    <row r="2259" spans="5:5" x14ac:dyDescent="0.4">
      <c r="E2259"/>
    </row>
    <row r="2260" spans="5:5" x14ac:dyDescent="0.4">
      <c r="E2260"/>
    </row>
    <row r="2261" spans="5:5" x14ac:dyDescent="0.4">
      <c r="E2261"/>
    </row>
    <row r="2262" spans="5:5" x14ac:dyDescent="0.4">
      <c r="E2262"/>
    </row>
    <row r="2263" spans="5:5" x14ac:dyDescent="0.4">
      <c r="E2263"/>
    </row>
    <row r="2264" spans="5:5" x14ac:dyDescent="0.4">
      <c r="E2264"/>
    </row>
    <row r="2265" spans="5:5" x14ac:dyDescent="0.4">
      <c r="E2265"/>
    </row>
    <row r="2266" spans="5:5" x14ac:dyDescent="0.4">
      <c r="E2266"/>
    </row>
    <row r="2267" spans="5:5" x14ac:dyDescent="0.4">
      <c r="E2267"/>
    </row>
    <row r="2268" spans="5:5" x14ac:dyDescent="0.4">
      <c r="E2268"/>
    </row>
    <row r="2269" spans="5:5" x14ac:dyDescent="0.4">
      <c r="E2269"/>
    </row>
    <row r="2270" spans="5:5" x14ac:dyDescent="0.4">
      <c r="E2270"/>
    </row>
    <row r="2271" spans="5:5" x14ac:dyDescent="0.4">
      <c r="E2271"/>
    </row>
    <row r="2272" spans="5:5" x14ac:dyDescent="0.4">
      <c r="E2272"/>
    </row>
    <row r="2273" spans="5:5" x14ac:dyDescent="0.4">
      <c r="E2273"/>
    </row>
    <row r="2274" spans="5:5" x14ac:dyDescent="0.4">
      <c r="E2274"/>
    </row>
    <row r="2275" spans="5:5" x14ac:dyDescent="0.4">
      <c r="E2275"/>
    </row>
    <row r="2276" spans="5:5" x14ac:dyDescent="0.4">
      <c r="E2276"/>
    </row>
    <row r="2277" spans="5:5" x14ac:dyDescent="0.4">
      <c r="E2277"/>
    </row>
    <row r="2278" spans="5:5" x14ac:dyDescent="0.4">
      <c r="E2278"/>
    </row>
    <row r="2279" spans="5:5" x14ac:dyDescent="0.4">
      <c r="E2279"/>
    </row>
    <row r="2280" spans="5:5" x14ac:dyDescent="0.4">
      <c r="E2280"/>
    </row>
    <row r="2281" spans="5:5" x14ac:dyDescent="0.4">
      <c r="E2281"/>
    </row>
    <row r="2282" spans="5:5" x14ac:dyDescent="0.4">
      <c r="E2282"/>
    </row>
    <row r="2283" spans="5:5" x14ac:dyDescent="0.4">
      <c r="E2283"/>
    </row>
    <row r="2284" spans="5:5" x14ac:dyDescent="0.4">
      <c r="E2284"/>
    </row>
    <row r="2285" spans="5:5" x14ac:dyDescent="0.4">
      <c r="E2285"/>
    </row>
    <row r="2286" spans="5:5" x14ac:dyDescent="0.4">
      <c r="E2286"/>
    </row>
    <row r="2287" spans="5:5" x14ac:dyDescent="0.4">
      <c r="E2287"/>
    </row>
    <row r="2288" spans="5:5" x14ac:dyDescent="0.4">
      <c r="E2288"/>
    </row>
    <row r="2289" spans="5:5" x14ac:dyDescent="0.4">
      <c r="E2289"/>
    </row>
    <row r="2290" spans="5:5" x14ac:dyDescent="0.4">
      <c r="E2290"/>
    </row>
    <row r="2291" spans="5:5" x14ac:dyDescent="0.4">
      <c r="E2291"/>
    </row>
    <row r="2292" spans="5:5" x14ac:dyDescent="0.4">
      <c r="E2292"/>
    </row>
    <row r="2293" spans="5:5" x14ac:dyDescent="0.4">
      <c r="E2293"/>
    </row>
    <row r="2294" spans="5:5" x14ac:dyDescent="0.4">
      <c r="E2294"/>
    </row>
    <row r="2295" spans="5:5" x14ac:dyDescent="0.4">
      <c r="E2295"/>
    </row>
    <row r="2296" spans="5:5" x14ac:dyDescent="0.4">
      <c r="E2296"/>
    </row>
    <row r="2297" spans="5:5" x14ac:dyDescent="0.4">
      <c r="E2297"/>
    </row>
    <row r="2298" spans="5:5" x14ac:dyDescent="0.4">
      <c r="E2298"/>
    </row>
    <row r="2299" spans="5:5" x14ac:dyDescent="0.4">
      <c r="E2299"/>
    </row>
    <row r="2300" spans="5:5" x14ac:dyDescent="0.4">
      <c r="E2300"/>
    </row>
    <row r="2301" spans="5:5" x14ac:dyDescent="0.4">
      <c r="E2301"/>
    </row>
    <row r="2302" spans="5:5" x14ac:dyDescent="0.4">
      <c r="E2302"/>
    </row>
    <row r="2303" spans="5:5" x14ac:dyDescent="0.4">
      <c r="E2303"/>
    </row>
    <row r="2304" spans="5:5" x14ac:dyDescent="0.4">
      <c r="E2304"/>
    </row>
    <row r="2305" spans="5:5" x14ac:dyDescent="0.4">
      <c r="E2305"/>
    </row>
    <row r="2306" spans="5:5" x14ac:dyDescent="0.4">
      <c r="E2306"/>
    </row>
    <row r="2307" spans="5:5" x14ac:dyDescent="0.4">
      <c r="E2307"/>
    </row>
    <row r="2308" spans="5:5" x14ac:dyDescent="0.4">
      <c r="E2308"/>
    </row>
    <row r="2309" spans="5:5" x14ac:dyDescent="0.4">
      <c r="E2309"/>
    </row>
    <row r="2310" spans="5:5" x14ac:dyDescent="0.4">
      <c r="E2310"/>
    </row>
    <row r="2311" spans="5:5" x14ac:dyDescent="0.4">
      <c r="E2311"/>
    </row>
    <row r="2312" spans="5:5" x14ac:dyDescent="0.4">
      <c r="E2312"/>
    </row>
    <row r="2313" spans="5:5" x14ac:dyDescent="0.4">
      <c r="E2313"/>
    </row>
    <row r="2314" spans="5:5" x14ac:dyDescent="0.4">
      <c r="E2314"/>
    </row>
    <row r="2315" spans="5:5" x14ac:dyDescent="0.4">
      <c r="E2315"/>
    </row>
    <row r="2316" spans="5:5" x14ac:dyDescent="0.4">
      <c r="E2316"/>
    </row>
    <row r="2317" spans="5:5" x14ac:dyDescent="0.4">
      <c r="E2317"/>
    </row>
    <row r="2318" spans="5:5" x14ac:dyDescent="0.4">
      <c r="E2318"/>
    </row>
    <row r="2319" spans="5:5" x14ac:dyDescent="0.4">
      <c r="E2319"/>
    </row>
    <row r="2320" spans="5:5" x14ac:dyDescent="0.4">
      <c r="E2320"/>
    </row>
    <row r="2321" spans="5:5" x14ac:dyDescent="0.4">
      <c r="E2321"/>
    </row>
    <row r="2322" spans="5:5" x14ac:dyDescent="0.4">
      <c r="E2322"/>
    </row>
    <row r="2323" spans="5:5" x14ac:dyDescent="0.4">
      <c r="E2323"/>
    </row>
    <row r="2324" spans="5:5" x14ac:dyDescent="0.4">
      <c r="E2324"/>
    </row>
    <row r="2325" spans="5:5" x14ac:dyDescent="0.4">
      <c r="E2325"/>
    </row>
    <row r="2326" spans="5:5" x14ac:dyDescent="0.4">
      <c r="E2326"/>
    </row>
    <row r="2327" spans="5:5" x14ac:dyDescent="0.4">
      <c r="E2327"/>
    </row>
    <row r="2328" spans="5:5" x14ac:dyDescent="0.4">
      <c r="E2328"/>
    </row>
    <row r="2329" spans="5:5" x14ac:dyDescent="0.4">
      <c r="E2329"/>
    </row>
    <row r="2330" spans="5:5" x14ac:dyDescent="0.4">
      <c r="E2330"/>
    </row>
    <row r="2331" spans="5:5" x14ac:dyDescent="0.4">
      <c r="E2331"/>
    </row>
    <row r="2332" spans="5:5" x14ac:dyDescent="0.4">
      <c r="E2332"/>
    </row>
    <row r="2333" spans="5:5" x14ac:dyDescent="0.4">
      <c r="E2333"/>
    </row>
    <row r="2334" spans="5:5" x14ac:dyDescent="0.4">
      <c r="E2334"/>
    </row>
    <row r="2335" spans="5:5" x14ac:dyDescent="0.4">
      <c r="E2335"/>
    </row>
    <row r="2336" spans="5:5" x14ac:dyDescent="0.4">
      <c r="E2336"/>
    </row>
    <row r="2337" spans="5:5" x14ac:dyDescent="0.4">
      <c r="E2337"/>
    </row>
    <row r="2338" spans="5:5" x14ac:dyDescent="0.4">
      <c r="E2338"/>
    </row>
    <row r="2339" spans="5:5" x14ac:dyDescent="0.4">
      <c r="E2339"/>
    </row>
    <row r="2340" spans="5:5" x14ac:dyDescent="0.4">
      <c r="E2340"/>
    </row>
    <row r="2341" spans="5:5" x14ac:dyDescent="0.4">
      <c r="E2341"/>
    </row>
    <row r="2342" spans="5:5" x14ac:dyDescent="0.4">
      <c r="E2342"/>
    </row>
    <row r="2343" spans="5:5" x14ac:dyDescent="0.4">
      <c r="E2343"/>
    </row>
    <row r="2344" spans="5:5" x14ac:dyDescent="0.4">
      <c r="E2344"/>
    </row>
    <row r="2345" spans="5:5" x14ac:dyDescent="0.4">
      <c r="E2345"/>
    </row>
    <row r="2346" spans="5:5" x14ac:dyDescent="0.4">
      <c r="E2346"/>
    </row>
    <row r="2347" spans="5:5" x14ac:dyDescent="0.4">
      <c r="E2347"/>
    </row>
    <row r="2348" spans="5:5" x14ac:dyDescent="0.4">
      <c r="E2348"/>
    </row>
    <row r="2349" spans="5:5" x14ac:dyDescent="0.4">
      <c r="E2349"/>
    </row>
    <row r="2350" spans="5:5" x14ac:dyDescent="0.4">
      <c r="E2350"/>
    </row>
    <row r="2351" spans="5:5" x14ac:dyDescent="0.4">
      <c r="E2351"/>
    </row>
    <row r="2352" spans="5:5" x14ac:dyDescent="0.4">
      <c r="E2352"/>
    </row>
    <row r="2353" spans="5:5" x14ac:dyDescent="0.4">
      <c r="E2353"/>
    </row>
    <row r="2354" spans="5:5" x14ac:dyDescent="0.4">
      <c r="E2354"/>
    </row>
    <row r="2355" spans="5:5" x14ac:dyDescent="0.4">
      <c r="E2355"/>
    </row>
    <row r="2356" spans="5:5" x14ac:dyDescent="0.4">
      <c r="E2356"/>
    </row>
    <row r="2357" spans="5:5" x14ac:dyDescent="0.4">
      <c r="E2357"/>
    </row>
    <row r="2358" spans="5:5" x14ac:dyDescent="0.4">
      <c r="E2358"/>
    </row>
    <row r="2359" spans="5:5" x14ac:dyDescent="0.4">
      <c r="E2359"/>
    </row>
    <row r="2360" spans="5:5" x14ac:dyDescent="0.4">
      <c r="E2360"/>
    </row>
    <row r="2361" spans="5:5" x14ac:dyDescent="0.4">
      <c r="E2361"/>
    </row>
    <row r="2362" spans="5:5" x14ac:dyDescent="0.4">
      <c r="E2362"/>
    </row>
    <row r="2363" spans="5:5" x14ac:dyDescent="0.4">
      <c r="E2363"/>
    </row>
    <row r="2364" spans="5:5" x14ac:dyDescent="0.4">
      <c r="E2364"/>
    </row>
    <row r="2365" spans="5:5" x14ac:dyDescent="0.4">
      <c r="E2365"/>
    </row>
    <row r="2366" spans="5:5" x14ac:dyDescent="0.4">
      <c r="E2366"/>
    </row>
    <row r="2367" spans="5:5" x14ac:dyDescent="0.4">
      <c r="E2367"/>
    </row>
    <row r="2368" spans="5:5" x14ac:dyDescent="0.4">
      <c r="E2368"/>
    </row>
    <row r="2369" spans="5:5" x14ac:dyDescent="0.4">
      <c r="E2369"/>
    </row>
    <row r="2370" spans="5:5" x14ac:dyDescent="0.4">
      <c r="E2370"/>
    </row>
    <row r="2371" spans="5:5" x14ac:dyDescent="0.4">
      <c r="E2371"/>
    </row>
    <row r="2372" spans="5:5" x14ac:dyDescent="0.4">
      <c r="E2372"/>
    </row>
    <row r="2373" spans="5:5" x14ac:dyDescent="0.4">
      <c r="E2373"/>
    </row>
    <row r="2374" spans="5:5" x14ac:dyDescent="0.4">
      <c r="E2374"/>
    </row>
    <row r="2375" spans="5:5" x14ac:dyDescent="0.4">
      <c r="E2375"/>
    </row>
    <row r="2376" spans="5:5" x14ac:dyDescent="0.4">
      <c r="E2376"/>
    </row>
    <row r="2377" spans="5:5" x14ac:dyDescent="0.4">
      <c r="E2377"/>
    </row>
    <row r="2378" spans="5:5" x14ac:dyDescent="0.4">
      <c r="E2378"/>
    </row>
    <row r="2379" spans="5:5" x14ac:dyDescent="0.4">
      <c r="E2379"/>
    </row>
    <row r="2380" spans="5:5" x14ac:dyDescent="0.4">
      <c r="E2380"/>
    </row>
    <row r="2381" spans="5:5" x14ac:dyDescent="0.4">
      <c r="E2381"/>
    </row>
    <row r="2382" spans="5:5" x14ac:dyDescent="0.4">
      <c r="E2382"/>
    </row>
    <row r="2383" spans="5:5" x14ac:dyDescent="0.4">
      <c r="E2383"/>
    </row>
    <row r="2384" spans="5:5" x14ac:dyDescent="0.4">
      <c r="E2384"/>
    </row>
    <row r="2385" spans="5:5" x14ac:dyDescent="0.4">
      <c r="E2385"/>
    </row>
    <row r="2386" spans="5:5" x14ac:dyDescent="0.4">
      <c r="E2386"/>
    </row>
    <row r="2387" spans="5:5" x14ac:dyDescent="0.4">
      <c r="E2387"/>
    </row>
    <row r="2388" spans="5:5" x14ac:dyDescent="0.4">
      <c r="E2388"/>
    </row>
    <row r="2389" spans="5:5" x14ac:dyDescent="0.4">
      <c r="E2389"/>
    </row>
    <row r="2390" spans="5:5" x14ac:dyDescent="0.4">
      <c r="E2390"/>
    </row>
    <row r="2391" spans="5:5" x14ac:dyDescent="0.4">
      <c r="E2391"/>
    </row>
    <row r="2392" spans="5:5" x14ac:dyDescent="0.4">
      <c r="E2392"/>
    </row>
    <row r="2393" spans="5:5" x14ac:dyDescent="0.4">
      <c r="E2393"/>
    </row>
    <row r="2394" spans="5:5" x14ac:dyDescent="0.4">
      <c r="E2394"/>
    </row>
    <row r="2395" spans="5:5" x14ac:dyDescent="0.4">
      <c r="E2395"/>
    </row>
    <row r="2396" spans="5:5" x14ac:dyDescent="0.4">
      <c r="E2396"/>
    </row>
    <row r="2397" spans="5:5" x14ac:dyDescent="0.4">
      <c r="E2397"/>
    </row>
    <row r="2398" spans="5:5" x14ac:dyDescent="0.4">
      <c r="E2398"/>
    </row>
    <row r="2399" spans="5:5" x14ac:dyDescent="0.4">
      <c r="E2399"/>
    </row>
    <row r="2400" spans="5:5" x14ac:dyDescent="0.4">
      <c r="E2400"/>
    </row>
    <row r="2401" spans="5:5" x14ac:dyDescent="0.4">
      <c r="E2401"/>
    </row>
    <row r="2402" spans="5:5" x14ac:dyDescent="0.4">
      <c r="E2402"/>
    </row>
    <row r="2403" spans="5:5" x14ac:dyDescent="0.4">
      <c r="E2403"/>
    </row>
    <row r="2404" spans="5:5" x14ac:dyDescent="0.4">
      <c r="E2404"/>
    </row>
    <row r="2405" spans="5:5" x14ac:dyDescent="0.4">
      <c r="E2405"/>
    </row>
    <row r="2406" spans="5:5" x14ac:dyDescent="0.4">
      <c r="E2406"/>
    </row>
    <row r="2407" spans="5:5" x14ac:dyDescent="0.4">
      <c r="E2407"/>
    </row>
    <row r="2408" spans="5:5" x14ac:dyDescent="0.4">
      <c r="E2408"/>
    </row>
    <row r="2409" spans="5:5" x14ac:dyDescent="0.4">
      <c r="E2409"/>
    </row>
    <row r="2410" spans="5:5" x14ac:dyDescent="0.4">
      <c r="E2410"/>
    </row>
    <row r="2411" spans="5:5" x14ac:dyDescent="0.4">
      <c r="E2411"/>
    </row>
    <row r="2412" spans="5:5" x14ac:dyDescent="0.4">
      <c r="E2412"/>
    </row>
    <row r="2413" spans="5:5" x14ac:dyDescent="0.4">
      <c r="E2413"/>
    </row>
    <row r="2414" spans="5:5" x14ac:dyDescent="0.4">
      <c r="E2414"/>
    </row>
    <row r="2415" spans="5:5" x14ac:dyDescent="0.4">
      <c r="E2415"/>
    </row>
    <row r="2416" spans="5:5" x14ac:dyDescent="0.4">
      <c r="E2416"/>
    </row>
    <row r="2417" spans="5:5" x14ac:dyDescent="0.4">
      <c r="E2417"/>
    </row>
    <row r="2418" spans="5:5" x14ac:dyDescent="0.4">
      <c r="E2418"/>
    </row>
    <row r="2419" spans="5:5" x14ac:dyDescent="0.4">
      <c r="E2419"/>
    </row>
    <row r="2420" spans="5:5" x14ac:dyDescent="0.4">
      <c r="E2420"/>
    </row>
    <row r="2421" spans="5:5" x14ac:dyDescent="0.4">
      <c r="E2421"/>
    </row>
    <row r="2422" spans="5:5" x14ac:dyDescent="0.4">
      <c r="E2422"/>
    </row>
    <row r="2423" spans="5:5" x14ac:dyDescent="0.4">
      <c r="E2423"/>
    </row>
    <row r="2424" spans="5:5" x14ac:dyDescent="0.4">
      <c r="E2424"/>
    </row>
    <row r="2425" spans="5:5" x14ac:dyDescent="0.4">
      <c r="E2425"/>
    </row>
    <row r="2426" spans="5:5" x14ac:dyDescent="0.4">
      <c r="E2426"/>
    </row>
    <row r="2427" spans="5:5" x14ac:dyDescent="0.4">
      <c r="E2427"/>
    </row>
    <row r="2428" spans="5:5" x14ac:dyDescent="0.4">
      <c r="E2428"/>
    </row>
    <row r="2429" spans="5:5" x14ac:dyDescent="0.4">
      <c r="E2429"/>
    </row>
    <row r="2430" spans="5:5" x14ac:dyDescent="0.4">
      <c r="E2430"/>
    </row>
    <row r="2431" spans="5:5" x14ac:dyDescent="0.4">
      <c r="E2431"/>
    </row>
    <row r="2432" spans="5:5" x14ac:dyDescent="0.4">
      <c r="E2432"/>
    </row>
    <row r="2433" spans="5:5" x14ac:dyDescent="0.4">
      <c r="E2433"/>
    </row>
    <row r="2434" spans="5:5" x14ac:dyDescent="0.4">
      <c r="E2434"/>
    </row>
    <row r="2435" spans="5:5" x14ac:dyDescent="0.4">
      <c r="E2435"/>
    </row>
    <row r="2436" spans="5:5" x14ac:dyDescent="0.4">
      <c r="E2436"/>
    </row>
    <row r="2437" spans="5:5" x14ac:dyDescent="0.4">
      <c r="E2437"/>
    </row>
    <row r="2438" spans="5:5" x14ac:dyDescent="0.4">
      <c r="E2438"/>
    </row>
    <row r="2439" spans="5:5" x14ac:dyDescent="0.4">
      <c r="E2439"/>
    </row>
    <row r="2440" spans="5:5" x14ac:dyDescent="0.4">
      <c r="E2440"/>
    </row>
    <row r="2441" spans="5:5" x14ac:dyDescent="0.4">
      <c r="E2441"/>
    </row>
    <row r="2442" spans="5:5" x14ac:dyDescent="0.4">
      <c r="E2442"/>
    </row>
    <row r="2443" spans="5:5" x14ac:dyDescent="0.4">
      <c r="E2443"/>
    </row>
    <row r="2444" spans="5:5" x14ac:dyDescent="0.4">
      <c r="E2444"/>
    </row>
    <row r="2445" spans="5:5" x14ac:dyDescent="0.4">
      <c r="E2445"/>
    </row>
    <row r="2446" spans="5:5" x14ac:dyDescent="0.4">
      <c r="E2446"/>
    </row>
    <row r="2447" spans="5:5" x14ac:dyDescent="0.4">
      <c r="E2447"/>
    </row>
    <row r="2448" spans="5:5" x14ac:dyDescent="0.4">
      <c r="E2448"/>
    </row>
    <row r="2449" spans="5:5" x14ac:dyDescent="0.4">
      <c r="E2449"/>
    </row>
    <row r="2450" spans="5:5" x14ac:dyDescent="0.4">
      <c r="E2450"/>
    </row>
    <row r="2451" spans="5:5" x14ac:dyDescent="0.4">
      <c r="E2451"/>
    </row>
    <row r="2452" spans="5:5" x14ac:dyDescent="0.4">
      <c r="E2452"/>
    </row>
    <row r="2453" spans="5:5" x14ac:dyDescent="0.4">
      <c r="E2453"/>
    </row>
    <row r="2454" spans="5:5" x14ac:dyDescent="0.4">
      <c r="E2454"/>
    </row>
    <row r="2455" spans="5:5" x14ac:dyDescent="0.4">
      <c r="E2455"/>
    </row>
    <row r="2456" spans="5:5" x14ac:dyDescent="0.4">
      <c r="E2456"/>
    </row>
    <row r="2457" spans="5:5" x14ac:dyDescent="0.4">
      <c r="E2457"/>
    </row>
    <row r="2458" spans="5:5" x14ac:dyDescent="0.4">
      <c r="E2458"/>
    </row>
    <row r="2459" spans="5:5" x14ac:dyDescent="0.4">
      <c r="E2459"/>
    </row>
    <row r="2460" spans="5:5" x14ac:dyDescent="0.4">
      <c r="E2460"/>
    </row>
    <row r="2461" spans="5:5" x14ac:dyDescent="0.4">
      <c r="E2461"/>
    </row>
    <row r="2462" spans="5:5" x14ac:dyDescent="0.4">
      <c r="E2462"/>
    </row>
    <row r="2463" spans="5:5" x14ac:dyDescent="0.4">
      <c r="E2463"/>
    </row>
    <row r="2464" spans="5:5" x14ac:dyDescent="0.4">
      <c r="E2464"/>
    </row>
    <row r="2465" spans="5:5" x14ac:dyDescent="0.4">
      <c r="E2465"/>
    </row>
    <row r="2466" spans="5:5" x14ac:dyDescent="0.4">
      <c r="E2466"/>
    </row>
    <row r="2467" spans="5:5" x14ac:dyDescent="0.4">
      <c r="E2467"/>
    </row>
    <row r="2468" spans="5:5" x14ac:dyDescent="0.4">
      <c r="E2468"/>
    </row>
    <row r="2469" spans="5:5" x14ac:dyDescent="0.4">
      <c r="E2469"/>
    </row>
    <row r="2470" spans="5:5" x14ac:dyDescent="0.4">
      <c r="E2470"/>
    </row>
    <row r="2471" spans="5:5" x14ac:dyDescent="0.4">
      <c r="E2471"/>
    </row>
    <row r="2472" spans="5:5" x14ac:dyDescent="0.4">
      <c r="E2472"/>
    </row>
    <row r="2473" spans="5:5" x14ac:dyDescent="0.4">
      <c r="E2473"/>
    </row>
    <row r="2474" spans="5:5" x14ac:dyDescent="0.4">
      <c r="E2474"/>
    </row>
    <row r="2475" spans="5:5" x14ac:dyDescent="0.4">
      <c r="E2475"/>
    </row>
    <row r="2476" spans="5:5" x14ac:dyDescent="0.4">
      <c r="E2476"/>
    </row>
    <row r="2477" spans="5:5" x14ac:dyDescent="0.4">
      <c r="E2477"/>
    </row>
    <row r="2478" spans="5:5" x14ac:dyDescent="0.4">
      <c r="E2478"/>
    </row>
    <row r="2479" spans="5:5" x14ac:dyDescent="0.4">
      <c r="E2479"/>
    </row>
    <row r="2480" spans="5:5" x14ac:dyDescent="0.4">
      <c r="E2480"/>
    </row>
    <row r="2481" spans="5:5" x14ac:dyDescent="0.4">
      <c r="E2481"/>
    </row>
    <row r="2482" spans="5:5" x14ac:dyDescent="0.4">
      <c r="E2482"/>
    </row>
    <row r="2483" spans="5:5" x14ac:dyDescent="0.4">
      <c r="E2483"/>
    </row>
    <row r="2484" spans="5:5" x14ac:dyDescent="0.4">
      <c r="E2484"/>
    </row>
    <row r="2485" spans="5:5" x14ac:dyDescent="0.4">
      <c r="E2485"/>
    </row>
    <row r="2486" spans="5:5" x14ac:dyDescent="0.4">
      <c r="E2486"/>
    </row>
    <row r="2487" spans="5:5" x14ac:dyDescent="0.4">
      <c r="E2487"/>
    </row>
    <row r="2488" spans="5:5" x14ac:dyDescent="0.4">
      <c r="E2488"/>
    </row>
    <row r="2489" spans="5:5" x14ac:dyDescent="0.4">
      <c r="E2489"/>
    </row>
    <row r="2490" spans="5:5" x14ac:dyDescent="0.4">
      <c r="E2490"/>
    </row>
    <row r="2491" spans="5:5" x14ac:dyDescent="0.4">
      <c r="E2491"/>
    </row>
    <row r="2492" spans="5:5" x14ac:dyDescent="0.4">
      <c r="E2492"/>
    </row>
    <row r="2493" spans="5:5" x14ac:dyDescent="0.4">
      <c r="E2493"/>
    </row>
    <row r="2494" spans="5:5" x14ac:dyDescent="0.4">
      <c r="E2494"/>
    </row>
    <row r="2495" spans="5:5" x14ac:dyDescent="0.4">
      <c r="E2495"/>
    </row>
    <row r="2496" spans="5:5" x14ac:dyDescent="0.4">
      <c r="E2496"/>
    </row>
    <row r="2497" spans="5:5" x14ac:dyDescent="0.4">
      <c r="E2497"/>
    </row>
    <row r="2498" spans="5:5" x14ac:dyDescent="0.4">
      <c r="E2498"/>
    </row>
    <row r="2499" spans="5:5" x14ac:dyDescent="0.4">
      <c r="E2499"/>
    </row>
    <row r="2500" spans="5:5" x14ac:dyDescent="0.4">
      <c r="E2500"/>
    </row>
    <row r="2501" spans="5:5" x14ac:dyDescent="0.4">
      <c r="E2501"/>
    </row>
    <row r="2502" spans="5:5" x14ac:dyDescent="0.4">
      <c r="E2502"/>
    </row>
    <row r="2503" spans="5:5" x14ac:dyDescent="0.4">
      <c r="E2503"/>
    </row>
    <row r="2504" spans="5:5" x14ac:dyDescent="0.4">
      <c r="E2504"/>
    </row>
    <row r="2505" spans="5:5" x14ac:dyDescent="0.4">
      <c r="E2505"/>
    </row>
    <row r="2506" spans="5:5" x14ac:dyDescent="0.4">
      <c r="E2506"/>
    </row>
    <row r="2507" spans="5:5" x14ac:dyDescent="0.4">
      <c r="E2507"/>
    </row>
    <row r="2508" spans="5:5" x14ac:dyDescent="0.4">
      <c r="E2508"/>
    </row>
    <row r="2509" spans="5:5" x14ac:dyDescent="0.4">
      <c r="E2509"/>
    </row>
    <row r="2510" spans="5:5" x14ac:dyDescent="0.4">
      <c r="E2510"/>
    </row>
    <row r="2511" spans="5:5" x14ac:dyDescent="0.4">
      <c r="E2511"/>
    </row>
    <row r="2512" spans="5:5" x14ac:dyDescent="0.4">
      <c r="E2512"/>
    </row>
    <row r="2513" spans="5:5" x14ac:dyDescent="0.4">
      <c r="E2513"/>
    </row>
    <row r="2514" spans="5:5" x14ac:dyDescent="0.4">
      <c r="E2514"/>
    </row>
    <row r="2515" spans="5:5" x14ac:dyDescent="0.4">
      <c r="E2515"/>
    </row>
    <row r="2516" spans="5:5" x14ac:dyDescent="0.4">
      <c r="E2516"/>
    </row>
    <row r="2517" spans="5:5" x14ac:dyDescent="0.4">
      <c r="E2517"/>
    </row>
    <row r="2518" spans="5:5" x14ac:dyDescent="0.4">
      <c r="E2518"/>
    </row>
    <row r="2519" spans="5:5" x14ac:dyDescent="0.4">
      <c r="E2519"/>
    </row>
    <row r="2520" spans="5:5" x14ac:dyDescent="0.4">
      <c r="E2520"/>
    </row>
    <row r="2521" spans="5:5" x14ac:dyDescent="0.4">
      <c r="E2521"/>
    </row>
    <row r="2522" spans="5:5" x14ac:dyDescent="0.4">
      <c r="E2522"/>
    </row>
    <row r="2523" spans="5:5" x14ac:dyDescent="0.4">
      <c r="E2523"/>
    </row>
    <row r="2524" spans="5:5" x14ac:dyDescent="0.4">
      <c r="E2524"/>
    </row>
    <row r="2525" spans="5:5" x14ac:dyDescent="0.4">
      <c r="E2525"/>
    </row>
    <row r="2526" spans="5:5" x14ac:dyDescent="0.4">
      <c r="E2526"/>
    </row>
    <row r="2527" spans="5:5" x14ac:dyDescent="0.4">
      <c r="E2527"/>
    </row>
    <row r="2528" spans="5:5" x14ac:dyDescent="0.4">
      <c r="E2528"/>
    </row>
    <row r="2529" spans="5:5" x14ac:dyDescent="0.4">
      <c r="E2529"/>
    </row>
    <row r="2530" spans="5:5" x14ac:dyDescent="0.4">
      <c r="E2530"/>
    </row>
    <row r="2531" spans="5:5" x14ac:dyDescent="0.4">
      <c r="E2531"/>
    </row>
    <row r="2532" spans="5:5" x14ac:dyDescent="0.4">
      <c r="E2532"/>
    </row>
    <row r="2533" spans="5:5" x14ac:dyDescent="0.4">
      <c r="E2533"/>
    </row>
    <row r="2534" spans="5:5" x14ac:dyDescent="0.4">
      <c r="E2534"/>
    </row>
    <row r="2535" spans="5:5" x14ac:dyDescent="0.4">
      <c r="E2535"/>
    </row>
    <row r="2536" spans="5:5" x14ac:dyDescent="0.4">
      <c r="E2536"/>
    </row>
    <row r="2537" spans="5:5" x14ac:dyDescent="0.4">
      <c r="E2537"/>
    </row>
    <row r="2538" spans="5:5" x14ac:dyDescent="0.4">
      <c r="E2538"/>
    </row>
    <row r="2539" spans="5:5" x14ac:dyDescent="0.4">
      <c r="E2539"/>
    </row>
    <row r="2540" spans="5:5" x14ac:dyDescent="0.4">
      <c r="E2540"/>
    </row>
    <row r="2541" spans="5:5" x14ac:dyDescent="0.4">
      <c r="E2541"/>
    </row>
    <row r="2542" spans="5:5" x14ac:dyDescent="0.4">
      <c r="E2542"/>
    </row>
    <row r="2543" spans="5:5" x14ac:dyDescent="0.4">
      <c r="E2543"/>
    </row>
    <row r="2544" spans="5:5" x14ac:dyDescent="0.4">
      <c r="E2544"/>
    </row>
    <row r="2545" spans="5:5" x14ac:dyDescent="0.4">
      <c r="E2545"/>
    </row>
    <row r="2546" spans="5:5" x14ac:dyDescent="0.4">
      <c r="E2546"/>
    </row>
    <row r="2547" spans="5:5" x14ac:dyDescent="0.4">
      <c r="E2547"/>
    </row>
    <row r="2548" spans="5:5" x14ac:dyDescent="0.4">
      <c r="E2548"/>
    </row>
    <row r="2549" spans="5:5" x14ac:dyDescent="0.4">
      <c r="E2549"/>
    </row>
    <row r="2550" spans="5:5" x14ac:dyDescent="0.4">
      <c r="E2550"/>
    </row>
    <row r="2551" spans="5:5" x14ac:dyDescent="0.4">
      <c r="E2551"/>
    </row>
    <row r="2552" spans="5:5" x14ac:dyDescent="0.4">
      <c r="E2552"/>
    </row>
    <row r="2553" spans="5:5" x14ac:dyDescent="0.4">
      <c r="E2553"/>
    </row>
    <row r="2554" spans="5:5" x14ac:dyDescent="0.4">
      <c r="E2554"/>
    </row>
    <row r="2555" spans="5:5" x14ac:dyDescent="0.4">
      <c r="E2555"/>
    </row>
    <row r="2556" spans="5:5" x14ac:dyDescent="0.4">
      <c r="E2556"/>
    </row>
    <row r="2557" spans="5:5" x14ac:dyDescent="0.4">
      <c r="E2557"/>
    </row>
    <row r="2558" spans="5:5" x14ac:dyDescent="0.4">
      <c r="E2558"/>
    </row>
    <row r="2559" spans="5:5" x14ac:dyDescent="0.4">
      <c r="E2559"/>
    </row>
    <row r="2560" spans="5:5" x14ac:dyDescent="0.4">
      <c r="E2560"/>
    </row>
    <row r="2561" spans="5:5" x14ac:dyDescent="0.4">
      <c r="E2561"/>
    </row>
    <row r="2562" spans="5:5" x14ac:dyDescent="0.4">
      <c r="E2562"/>
    </row>
    <row r="2563" spans="5:5" x14ac:dyDescent="0.4">
      <c r="E2563"/>
    </row>
    <row r="2564" spans="5:5" x14ac:dyDescent="0.4">
      <c r="E2564"/>
    </row>
    <row r="2565" spans="5:5" x14ac:dyDescent="0.4">
      <c r="E2565"/>
    </row>
    <row r="2566" spans="5:5" x14ac:dyDescent="0.4">
      <c r="E2566"/>
    </row>
    <row r="2567" spans="5:5" x14ac:dyDescent="0.4">
      <c r="E2567"/>
    </row>
    <row r="2568" spans="5:5" x14ac:dyDescent="0.4">
      <c r="E2568"/>
    </row>
    <row r="2569" spans="5:5" x14ac:dyDescent="0.4">
      <c r="E2569"/>
    </row>
    <row r="2570" spans="5:5" x14ac:dyDescent="0.4">
      <c r="E2570"/>
    </row>
    <row r="2571" spans="5:5" x14ac:dyDescent="0.4">
      <c r="E2571"/>
    </row>
    <row r="2572" spans="5:5" x14ac:dyDescent="0.4">
      <c r="E2572"/>
    </row>
    <row r="2573" spans="5:5" x14ac:dyDescent="0.4">
      <c r="E2573"/>
    </row>
    <row r="2574" spans="5:5" x14ac:dyDescent="0.4">
      <c r="E2574"/>
    </row>
    <row r="2575" spans="5:5" x14ac:dyDescent="0.4">
      <c r="E2575"/>
    </row>
    <row r="2576" spans="5:5" x14ac:dyDescent="0.4">
      <c r="E2576"/>
    </row>
    <row r="2577" spans="5:5" x14ac:dyDescent="0.4">
      <c r="E2577"/>
    </row>
    <row r="2578" spans="5:5" x14ac:dyDescent="0.4">
      <c r="E2578"/>
    </row>
    <row r="2579" spans="5:5" x14ac:dyDescent="0.4">
      <c r="E2579"/>
    </row>
    <row r="2580" spans="5:5" x14ac:dyDescent="0.4">
      <c r="E2580"/>
    </row>
    <row r="2581" spans="5:5" x14ac:dyDescent="0.4">
      <c r="E2581"/>
    </row>
    <row r="2582" spans="5:5" x14ac:dyDescent="0.4">
      <c r="E2582"/>
    </row>
    <row r="2583" spans="5:5" x14ac:dyDescent="0.4">
      <c r="E2583"/>
    </row>
    <row r="2584" spans="5:5" x14ac:dyDescent="0.4">
      <c r="E2584"/>
    </row>
    <row r="2585" spans="5:5" x14ac:dyDescent="0.4">
      <c r="E2585"/>
    </row>
    <row r="2586" spans="5:5" x14ac:dyDescent="0.4">
      <c r="E2586"/>
    </row>
    <row r="2587" spans="5:5" x14ac:dyDescent="0.4">
      <c r="E2587"/>
    </row>
    <row r="2588" spans="5:5" x14ac:dyDescent="0.4">
      <c r="E2588"/>
    </row>
    <row r="2589" spans="5:5" x14ac:dyDescent="0.4">
      <c r="E2589"/>
    </row>
    <row r="2590" spans="5:5" x14ac:dyDescent="0.4">
      <c r="E2590"/>
    </row>
    <row r="2591" spans="5:5" x14ac:dyDescent="0.4">
      <c r="E2591"/>
    </row>
    <row r="2592" spans="5:5" x14ac:dyDescent="0.4">
      <c r="E2592"/>
    </row>
    <row r="2593" spans="5:5" x14ac:dyDescent="0.4">
      <c r="E2593"/>
    </row>
    <row r="2594" spans="5:5" x14ac:dyDescent="0.4">
      <c r="E2594"/>
    </row>
    <row r="2595" spans="5:5" x14ac:dyDescent="0.4">
      <c r="E2595"/>
    </row>
    <row r="2596" spans="5:5" x14ac:dyDescent="0.4">
      <c r="E2596"/>
    </row>
    <row r="2597" spans="5:5" x14ac:dyDescent="0.4">
      <c r="E2597"/>
    </row>
    <row r="2598" spans="5:5" x14ac:dyDescent="0.4">
      <c r="E2598"/>
    </row>
    <row r="2599" spans="5:5" x14ac:dyDescent="0.4">
      <c r="E2599"/>
    </row>
    <row r="2600" spans="5:5" x14ac:dyDescent="0.4">
      <c r="E2600"/>
    </row>
    <row r="2601" spans="5:5" x14ac:dyDescent="0.4">
      <c r="E2601"/>
    </row>
    <row r="2602" spans="5:5" x14ac:dyDescent="0.4">
      <c r="E2602"/>
    </row>
    <row r="2603" spans="5:5" x14ac:dyDescent="0.4">
      <c r="E2603"/>
    </row>
    <row r="2604" spans="5:5" x14ac:dyDescent="0.4">
      <c r="E2604"/>
    </row>
    <row r="2605" spans="5:5" x14ac:dyDescent="0.4">
      <c r="E2605"/>
    </row>
    <row r="2606" spans="5:5" x14ac:dyDescent="0.4">
      <c r="E2606"/>
    </row>
    <row r="2607" spans="5:5" x14ac:dyDescent="0.4">
      <c r="E2607"/>
    </row>
    <row r="2608" spans="5:5" x14ac:dyDescent="0.4">
      <c r="E2608"/>
    </row>
    <row r="2609" spans="5:5" x14ac:dyDescent="0.4">
      <c r="E2609"/>
    </row>
    <row r="2610" spans="5:5" x14ac:dyDescent="0.4">
      <c r="E2610"/>
    </row>
    <row r="2611" spans="5:5" x14ac:dyDescent="0.4">
      <c r="E2611"/>
    </row>
    <row r="2612" spans="5:5" x14ac:dyDescent="0.4">
      <c r="E2612"/>
    </row>
    <row r="2613" spans="5:5" x14ac:dyDescent="0.4">
      <c r="E2613"/>
    </row>
    <row r="2614" spans="5:5" x14ac:dyDescent="0.4">
      <c r="E2614"/>
    </row>
    <row r="2615" spans="5:5" x14ac:dyDescent="0.4">
      <c r="E2615"/>
    </row>
    <row r="2616" spans="5:5" x14ac:dyDescent="0.4">
      <c r="E2616"/>
    </row>
    <row r="2617" spans="5:5" x14ac:dyDescent="0.4">
      <c r="E2617"/>
    </row>
    <row r="2618" spans="5:5" x14ac:dyDescent="0.4">
      <c r="E2618"/>
    </row>
    <row r="2619" spans="5:5" x14ac:dyDescent="0.4">
      <c r="E2619"/>
    </row>
    <row r="2620" spans="5:5" x14ac:dyDescent="0.4">
      <c r="E2620"/>
    </row>
    <row r="2621" spans="5:5" x14ac:dyDescent="0.4">
      <c r="E2621"/>
    </row>
    <row r="2622" spans="5:5" x14ac:dyDescent="0.4">
      <c r="E2622"/>
    </row>
    <row r="2623" spans="5:5" x14ac:dyDescent="0.4">
      <c r="E2623"/>
    </row>
    <row r="2624" spans="5:5" x14ac:dyDescent="0.4">
      <c r="E2624"/>
    </row>
    <row r="2625" spans="5:5" x14ac:dyDescent="0.4">
      <c r="E2625"/>
    </row>
    <row r="2626" spans="5:5" x14ac:dyDescent="0.4">
      <c r="E2626"/>
    </row>
    <row r="2627" spans="5:5" x14ac:dyDescent="0.4">
      <c r="E2627"/>
    </row>
    <row r="2628" spans="5:5" x14ac:dyDescent="0.4">
      <c r="E2628"/>
    </row>
    <row r="2629" spans="5:5" x14ac:dyDescent="0.4">
      <c r="E2629"/>
    </row>
    <row r="2630" spans="5:5" x14ac:dyDescent="0.4">
      <c r="E2630"/>
    </row>
    <row r="2631" spans="5:5" x14ac:dyDescent="0.4">
      <c r="E2631"/>
    </row>
    <row r="2632" spans="5:5" x14ac:dyDescent="0.4">
      <c r="E2632"/>
    </row>
    <row r="2633" spans="5:5" x14ac:dyDescent="0.4">
      <c r="E2633"/>
    </row>
    <row r="2634" spans="5:5" x14ac:dyDescent="0.4">
      <c r="E2634"/>
    </row>
    <row r="2635" spans="5:5" x14ac:dyDescent="0.4">
      <c r="E2635"/>
    </row>
    <row r="2636" spans="5:5" x14ac:dyDescent="0.4">
      <c r="E2636"/>
    </row>
    <row r="2637" spans="5:5" x14ac:dyDescent="0.4">
      <c r="E2637"/>
    </row>
    <row r="2638" spans="5:5" x14ac:dyDescent="0.4">
      <c r="E2638"/>
    </row>
    <row r="2639" spans="5:5" x14ac:dyDescent="0.4">
      <c r="E2639"/>
    </row>
    <row r="2640" spans="5:5" x14ac:dyDescent="0.4">
      <c r="E2640"/>
    </row>
    <row r="2641" spans="5:5" x14ac:dyDescent="0.4">
      <c r="E2641"/>
    </row>
    <row r="2642" spans="5:5" x14ac:dyDescent="0.4">
      <c r="E2642"/>
    </row>
    <row r="2643" spans="5:5" x14ac:dyDescent="0.4">
      <c r="E2643"/>
    </row>
    <row r="2644" spans="5:5" x14ac:dyDescent="0.4">
      <c r="E2644"/>
    </row>
    <row r="2645" spans="5:5" x14ac:dyDescent="0.4">
      <c r="E2645"/>
    </row>
    <row r="2646" spans="5:5" x14ac:dyDescent="0.4">
      <c r="E2646"/>
    </row>
    <row r="2647" spans="5:5" x14ac:dyDescent="0.4">
      <c r="E2647"/>
    </row>
    <row r="2648" spans="5:5" x14ac:dyDescent="0.4">
      <c r="E2648"/>
    </row>
    <row r="2649" spans="5:5" x14ac:dyDescent="0.4">
      <c r="E2649"/>
    </row>
    <row r="2650" spans="5:5" x14ac:dyDescent="0.4">
      <c r="E2650"/>
    </row>
    <row r="2651" spans="5:5" x14ac:dyDescent="0.4">
      <c r="E2651"/>
    </row>
    <row r="2652" spans="5:5" x14ac:dyDescent="0.4">
      <c r="E2652"/>
    </row>
    <row r="2653" spans="5:5" x14ac:dyDescent="0.4">
      <c r="E2653"/>
    </row>
    <row r="2654" spans="5:5" x14ac:dyDescent="0.4">
      <c r="E2654"/>
    </row>
    <row r="2655" spans="5:5" x14ac:dyDescent="0.4">
      <c r="E2655"/>
    </row>
    <row r="2656" spans="5:5" x14ac:dyDescent="0.4">
      <c r="E2656"/>
    </row>
    <row r="2657" spans="5:5" x14ac:dyDescent="0.4">
      <c r="E2657"/>
    </row>
    <row r="2658" spans="5:5" x14ac:dyDescent="0.4">
      <c r="E2658"/>
    </row>
    <row r="2659" spans="5:5" x14ac:dyDescent="0.4">
      <c r="E2659"/>
    </row>
    <row r="2660" spans="5:5" x14ac:dyDescent="0.4">
      <c r="E2660"/>
    </row>
    <row r="2661" spans="5:5" x14ac:dyDescent="0.4">
      <c r="E2661"/>
    </row>
    <row r="2662" spans="5:5" x14ac:dyDescent="0.4">
      <c r="E2662"/>
    </row>
    <row r="2663" spans="5:5" x14ac:dyDescent="0.4">
      <c r="E2663"/>
    </row>
    <row r="2664" spans="5:5" x14ac:dyDescent="0.4">
      <c r="E2664"/>
    </row>
    <row r="2665" spans="5:5" x14ac:dyDescent="0.4">
      <c r="E2665"/>
    </row>
    <row r="2666" spans="5:5" x14ac:dyDescent="0.4">
      <c r="E2666"/>
    </row>
    <row r="2667" spans="5:5" x14ac:dyDescent="0.4">
      <c r="E2667"/>
    </row>
    <row r="2668" spans="5:5" x14ac:dyDescent="0.4">
      <c r="E2668"/>
    </row>
    <row r="2669" spans="5:5" x14ac:dyDescent="0.4">
      <c r="E2669"/>
    </row>
    <row r="2670" spans="5:5" x14ac:dyDescent="0.4">
      <c r="E2670"/>
    </row>
    <row r="2671" spans="5:5" x14ac:dyDescent="0.4">
      <c r="E2671"/>
    </row>
    <row r="2672" spans="5:5" x14ac:dyDescent="0.4">
      <c r="E2672"/>
    </row>
    <row r="2673" spans="5:5" x14ac:dyDescent="0.4">
      <c r="E2673"/>
    </row>
    <row r="2674" spans="5:5" x14ac:dyDescent="0.4">
      <c r="E2674"/>
    </row>
    <row r="2675" spans="5:5" x14ac:dyDescent="0.4">
      <c r="E2675"/>
    </row>
    <row r="2676" spans="5:5" x14ac:dyDescent="0.4">
      <c r="E2676"/>
    </row>
    <row r="2677" spans="5:5" x14ac:dyDescent="0.4">
      <c r="E2677"/>
    </row>
    <row r="2678" spans="5:5" x14ac:dyDescent="0.4">
      <c r="E2678"/>
    </row>
    <row r="2679" spans="5:5" x14ac:dyDescent="0.4">
      <c r="E2679"/>
    </row>
    <row r="2680" spans="5:5" x14ac:dyDescent="0.4">
      <c r="E2680"/>
    </row>
    <row r="2681" spans="5:5" x14ac:dyDescent="0.4">
      <c r="E2681"/>
    </row>
    <row r="2682" spans="5:5" x14ac:dyDescent="0.4">
      <c r="E2682"/>
    </row>
    <row r="2683" spans="5:5" x14ac:dyDescent="0.4">
      <c r="E2683"/>
    </row>
    <row r="2684" spans="5:5" x14ac:dyDescent="0.4">
      <c r="E2684"/>
    </row>
    <row r="2685" spans="5:5" x14ac:dyDescent="0.4">
      <c r="E2685"/>
    </row>
    <row r="2686" spans="5:5" x14ac:dyDescent="0.4">
      <c r="E2686"/>
    </row>
    <row r="2687" spans="5:5" x14ac:dyDescent="0.4">
      <c r="E2687"/>
    </row>
    <row r="2688" spans="5:5" x14ac:dyDescent="0.4">
      <c r="E2688"/>
    </row>
    <row r="2689" spans="5:5" x14ac:dyDescent="0.4">
      <c r="E2689"/>
    </row>
    <row r="2690" spans="5:5" x14ac:dyDescent="0.4">
      <c r="E2690"/>
    </row>
    <row r="2691" spans="5:5" x14ac:dyDescent="0.4">
      <c r="E2691"/>
    </row>
    <row r="2692" spans="5:5" x14ac:dyDescent="0.4">
      <c r="E2692"/>
    </row>
    <row r="2693" spans="5:5" x14ac:dyDescent="0.4">
      <c r="E2693"/>
    </row>
    <row r="2694" spans="5:5" x14ac:dyDescent="0.4">
      <c r="E2694"/>
    </row>
    <row r="2695" spans="5:5" x14ac:dyDescent="0.4">
      <c r="E2695"/>
    </row>
    <row r="2696" spans="5:5" x14ac:dyDescent="0.4">
      <c r="E2696"/>
    </row>
    <row r="2697" spans="5:5" x14ac:dyDescent="0.4">
      <c r="E2697"/>
    </row>
    <row r="2698" spans="5:5" x14ac:dyDescent="0.4">
      <c r="E2698"/>
    </row>
    <row r="2699" spans="5:5" x14ac:dyDescent="0.4">
      <c r="E2699"/>
    </row>
    <row r="2700" spans="5:5" x14ac:dyDescent="0.4">
      <c r="E2700"/>
    </row>
    <row r="2701" spans="5:5" x14ac:dyDescent="0.4">
      <c r="E2701"/>
    </row>
    <row r="2702" spans="5:5" x14ac:dyDescent="0.4">
      <c r="E2702"/>
    </row>
    <row r="2703" spans="5:5" x14ac:dyDescent="0.4">
      <c r="E2703"/>
    </row>
    <row r="2704" spans="5:5" x14ac:dyDescent="0.4">
      <c r="E2704"/>
    </row>
    <row r="2705" spans="5:5" x14ac:dyDescent="0.4">
      <c r="E2705"/>
    </row>
    <row r="2706" spans="5:5" x14ac:dyDescent="0.4">
      <c r="E2706"/>
    </row>
    <row r="2707" spans="5:5" x14ac:dyDescent="0.4">
      <c r="E2707"/>
    </row>
    <row r="2708" spans="5:5" x14ac:dyDescent="0.4">
      <c r="E2708"/>
    </row>
    <row r="2709" spans="5:5" x14ac:dyDescent="0.4">
      <c r="E2709"/>
    </row>
    <row r="2710" spans="5:5" x14ac:dyDescent="0.4">
      <c r="E2710"/>
    </row>
    <row r="2711" spans="5:5" x14ac:dyDescent="0.4">
      <c r="E2711"/>
    </row>
    <row r="2712" spans="5:5" x14ac:dyDescent="0.4">
      <c r="E2712"/>
    </row>
    <row r="2713" spans="5:5" x14ac:dyDescent="0.4">
      <c r="E2713"/>
    </row>
    <row r="2714" spans="5:5" x14ac:dyDescent="0.4">
      <c r="E2714"/>
    </row>
    <row r="2715" spans="5:5" x14ac:dyDescent="0.4">
      <c r="E2715"/>
    </row>
    <row r="2716" spans="5:5" x14ac:dyDescent="0.4">
      <c r="E2716"/>
    </row>
    <row r="2717" spans="5:5" x14ac:dyDescent="0.4">
      <c r="E2717"/>
    </row>
    <row r="2718" spans="5:5" x14ac:dyDescent="0.4">
      <c r="E2718"/>
    </row>
    <row r="2719" spans="5:5" x14ac:dyDescent="0.4">
      <c r="E2719"/>
    </row>
    <row r="2720" spans="5:5" x14ac:dyDescent="0.4">
      <c r="E2720"/>
    </row>
    <row r="2721" spans="5:5" x14ac:dyDescent="0.4">
      <c r="E2721"/>
    </row>
    <row r="2722" spans="5:5" x14ac:dyDescent="0.4">
      <c r="E2722"/>
    </row>
    <row r="2723" spans="5:5" x14ac:dyDescent="0.4">
      <c r="E2723"/>
    </row>
    <row r="2724" spans="5:5" x14ac:dyDescent="0.4">
      <c r="E2724"/>
    </row>
    <row r="2725" spans="5:5" x14ac:dyDescent="0.4">
      <c r="E2725"/>
    </row>
    <row r="2726" spans="5:5" x14ac:dyDescent="0.4">
      <c r="E2726"/>
    </row>
    <row r="2727" spans="5:5" x14ac:dyDescent="0.4">
      <c r="E2727"/>
    </row>
    <row r="2728" spans="5:5" x14ac:dyDescent="0.4">
      <c r="E2728"/>
    </row>
    <row r="2729" spans="5:5" x14ac:dyDescent="0.4">
      <c r="E2729"/>
    </row>
    <row r="2730" spans="5:5" x14ac:dyDescent="0.4">
      <c r="E2730"/>
    </row>
    <row r="2731" spans="5:5" x14ac:dyDescent="0.4">
      <c r="E2731"/>
    </row>
    <row r="2732" spans="5:5" x14ac:dyDescent="0.4">
      <c r="E2732"/>
    </row>
    <row r="2733" spans="5:5" x14ac:dyDescent="0.4">
      <c r="E2733"/>
    </row>
    <row r="2734" spans="5:5" x14ac:dyDescent="0.4">
      <c r="E2734"/>
    </row>
    <row r="2735" spans="5:5" x14ac:dyDescent="0.4">
      <c r="E2735"/>
    </row>
    <row r="2736" spans="5:5" x14ac:dyDescent="0.4">
      <c r="E2736"/>
    </row>
    <row r="2737" spans="5:5" x14ac:dyDescent="0.4">
      <c r="E2737"/>
    </row>
    <row r="2738" spans="5:5" x14ac:dyDescent="0.4">
      <c r="E2738"/>
    </row>
    <row r="2739" spans="5:5" x14ac:dyDescent="0.4">
      <c r="E2739"/>
    </row>
    <row r="2740" spans="5:5" x14ac:dyDescent="0.4">
      <c r="E2740"/>
    </row>
    <row r="2741" spans="5:5" x14ac:dyDescent="0.4">
      <c r="E2741"/>
    </row>
    <row r="2742" spans="5:5" x14ac:dyDescent="0.4">
      <c r="E2742"/>
    </row>
    <row r="2743" spans="5:5" x14ac:dyDescent="0.4">
      <c r="E2743"/>
    </row>
    <row r="2744" spans="5:5" x14ac:dyDescent="0.4">
      <c r="E2744"/>
    </row>
    <row r="2745" spans="5:5" x14ac:dyDescent="0.4">
      <c r="E2745"/>
    </row>
    <row r="2746" spans="5:5" x14ac:dyDescent="0.4">
      <c r="E2746"/>
    </row>
    <row r="2747" spans="5:5" x14ac:dyDescent="0.4">
      <c r="E2747"/>
    </row>
    <row r="2748" spans="5:5" x14ac:dyDescent="0.4">
      <c r="E2748"/>
    </row>
    <row r="2749" spans="5:5" x14ac:dyDescent="0.4">
      <c r="E2749"/>
    </row>
    <row r="2750" spans="5:5" x14ac:dyDescent="0.4">
      <c r="E2750"/>
    </row>
    <row r="2751" spans="5:5" x14ac:dyDescent="0.4">
      <c r="E2751"/>
    </row>
    <row r="2752" spans="5:5" x14ac:dyDescent="0.4">
      <c r="E2752"/>
    </row>
    <row r="2753" spans="5:5" x14ac:dyDescent="0.4">
      <c r="E2753"/>
    </row>
    <row r="2754" spans="5:5" x14ac:dyDescent="0.4">
      <c r="E2754"/>
    </row>
    <row r="2755" spans="5:5" x14ac:dyDescent="0.4">
      <c r="E2755"/>
    </row>
    <row r="2756" spans="5:5" x14ac:dyDescent="0.4">
      <c r="E2756"/>
    </row>
    <row r="2757" spans="5:5" x14ac:dyDescent="0.4">
      <c r="E2757"/>
    </row>
    <row r="2758" spans="5:5" x14ac:dyDescent="0.4">
      <c r="E2758"/>
    </row>
    <row r="2759" spans="5:5" x14ac:dyDescent="0.4">
      <c r="E2759"/>
    </row>
    <row r="2760" spans="5:5" x14ac:dyDescent="0.4">
      <c r="E2760"/>
    </row>
    <row r="2761" spans="5:5" x14ac:dyDescent="0.4">
      <c r="E2761"/>
    </row>
    <row r="2762" spans="5:5" x14ac:dyDescent="0.4">
      <c r="E2762"/>
    </row>
    <row r="2763" spans="5:5" x14ac:dyDescent="0.4">
      <c r="E2763"/>
    </row>
    <row r="2764" spans="5:5" x14ac:dyDescent="0.4">
      <c r="E2764"/>
    </row>
    <row r="2765" spans="5:5" x14ac:dyDescent="0.4">
      <c r="E2765"/>
    </row>
    <row r="2766" spans="5:5" x14ac:dyDescent="0.4">
      <c r="E2766"/>
    </row>
    <row r="2767" spans="5:5" x14ac:dyDescent="0.4">
      <c r="E2767"/>
    </row>
    <row r="2768" spans="5:5" x14ac:dyDescent="0.4">
      <c r="E2768"/>
    </row>
    <row r="2769" spans="5:5" x14ac:dyDescent="0.4">
      <c r="E2769"/>
    </row>
    <row r="2770" spans="5:5" x14ac:dyDescent="0.4">
      <c r="E2770"/>
    </row>
    <row r="2771" spans="5:5" x14ac:dyDescent="0.4">
      <c r="E2771"/>
    </row>
    <row r="2772" spans="5:5" x14ac:dyDescent="0.4">
      <c r="E2772"/>
    </row>
    <row r="2773" spans="5:5" x14ac:dyDescent="0.4">
      <c r="E2773"/>
    </row>
    <row r="2774" spans="5:5" x14ac:dyDescent="0.4">
      <c r="E2774"/>
    </row>
    <row r="2775" spans="5:5" x14ac:dyDescent="0.4">
      <c r="E2775"/>
    </row>
    <row r="2776" spans="5:5" x14ac:dyDescent="0.4">
      <c r="E2776"/>
    </row>
    <row r="2777" spans="5:5" x14ac:dyDescent="0.4">
      <c r="E2777"/>
    </row>
    <row r="2778" spans="5:5" x14ac:dyDescent="0.4">
      <c r="E2778"/>
    </row>
    <row r="2779" spans="5:5" x14ac:dyDescent="0.4">
      <c r="E2779"/>
    </row>
    <row r="2780" spans="5:5" x14ac:dyDescent="0.4">
      <c r="E2780"/>
    </row>
    <row r="2781" spans="5:5" x14ac:dyDescent="0.4">
      <c r="E2781"/>
    </row>
    <row r="2782" spans="5:5" x14ac:dyDescent="0.4">
      <c r="E2782"/>
    </row>
    <row r="2783" spans="5:5" x14ac:dyDescent="0.4">
      <c r="E2783"/>
    </row>
    <row r="2784" spans="5:5" x14ac:dyDescent="0.4">
      <c r="E2784"/>
    </row>
    <row r="2785" spans="5:5" x14ac:dyDescent="0.4">
      <c r="E2785"/>
    </row>
    <row r="2786" spans="5:5" x14ac:dyDescent="0.4">
      <c r="E2786"/>
    </row>
    <row r="2787" spans="5:5" x14ac:dyDescent="0.4">
      <c r="E2787"/>
    </row>
    <row r="2788" spans="5:5" x14ac:dyDescent="0.4">
      <c r="E2788"/>
    </row>
    <row r="2789" spans="5:5" x14ac:dyDescent="0.4">
      <c r="E2789"/>
    </row>
    <row r="2790" spans="5:5" x14ac:dyDescent="0.4">
      <c r="E2790"/>
    </row>
    <row r="2791" spans="5:5" x14ac:dyDescent="0.4">
      <c r="E2791"/>
    </row>
    <row r="2792" spans="5:5" x14ac:dyDescent="0.4">
      <c r="E2792"/>
    </row>
    <row r="2793" spans="5:5" x14ac:dyDescent="0.4">
      <c r="E2793"/>
    </row>
    <row r="2794" spans="5:5" x14ac:dyDescent="0.4">
      <c r="E2794"/>
    </row>
    <row r="2795" spans="5:5" x14ac:dyDescent="0.4">
      <c r="E2795"/>
    </row>
    <row r="2796" spans="5:5" x14ac:dyDescent="0.4">
      <c r="E2796"/>
    </row>
    <row r="2797" spans="5:5" x14ac:dyDescent="0.4">
      <c r="E2797"/>
    </row>
    <row r="2798" spans="5:5" x14ac:dyDescent="0.4">
      <c r="E2798"/>
    </row>
    <row r="2799" spans="5:5" x14ac:dyDescent="0.4">
      <c r="E2799"/>
    </row>
    <row r="2800" spans="5:5" x14ac:dyDescent="0.4">
      <c r="E2800"/>
    </row>
    <row r="2801" spans="5:5" x14ac:dyDescent="0.4">
      <c r="E2801"/>
    </row>
    <row r="2802" spans="5:5" x14ac:dyDescent="0.4">
      <c r="E2802"/>
    </row>
    <row r="2803" spans="5:5" x14ac:dyDescent="0.4">
      <c r="E2803"/>
    </row>
    <row r="2804" spans="5:5" x14ac:dyDescent="0.4">
      <c r="E2804"/>
    </row>
    <row r="2805" spans="5:5" x14ac:dyDescent="0.4">
      <c r="E2805"/>
    </row>
    <row r="2806" spans="5:5" x14ac:dyDescent="0.4">
      <c r="E2806"/>
    </row>
    <row r="2807" spans="5:5" x14ac:dyDescent="0.4">
      <c r="E2807"/>
    </row>
    <row r="2808" spans="5:5" x14ac:dyDescent="0.4">
      <c r="E2808"/>
    </row>
    <row r="2809" spans="5:5" x14ac:dyDescent="0.4">
      <c r="E2809"/>
    </row>
    <row r="2810" spans="5:5" x14ac:dyDescent="0.4">
      <c r="E2810"/>
    </row>
    <row r="2811" spans="5:5" x14ac:dyDescent="0.4">
      <c r="E2811"/>
    </row>
    <row r="2812" spans="5:5" x14ac:dyDescent="0.4">
      <c r="E2812"/>
    </row>
    <row r="2813" spans="5:5" x14ac:dyDescent="0.4">
      <c r="E2813"/>
    </row>
    <row r="2814" spans="5:5" x14ac:dyDescent="0.4">
      <c r="E2814"/>
    </row>
    <row r="2815" spans="5:5" x14ac:dyDescent="0.4">
      <c r="E2815"/>
    </row>
    <row r="2816" spans="5:5" x14ac:dyDescent="0.4">
      <c r="E2816"/>
    </row>
    <row r="2817" spans="5:5" x14ac:dyDescent="0.4">
      <c r="E2817"/>
    </row>
    <row r="2818" spans="5:5" x14ac:dyDescent="0.4">
      <c r="E2818"/>
    </row>
    <row r="2819" spans="5:5" x14ac:dyDescent="0.4">
      <c r="E2819"/>
    </row>
    <row r="2820" spans="5:5" x14ac:dyDescent="0.4">
      <c r="E2820"/>
    </row>
    <row r="2821" spans="5:5" x14ac:dyDescent="0.4">
      <c r="E2821"/>
    </row>
    <row r="2822" spans="5:5" x14ac:dyDescent="0.4">
      <c r="E2822"/>
    </row>
    <row r="2823" spans="5:5" x14ac:dyDescent="0.4">
      <c r="E2823"/>
    </row>
    <row r="2824" spans="5:5" x14ac:dyDescent="0.4">
      <c r="E2824"/>
    </row>
    <row r="2825" spans="5:5" x14ac:dyDescent="0.4">
      <c r="E2825"/>
    </row>
    <row r="2826" spans="5:5" x14ac:dyDescent="0.4">
      <c r="E2826"/>
    </row>
    <row r="2827" spans="5:5" x14ac:dyDescent="0.4">
      <c r="E2827"/>
    </row>
    <row r="2828" spans="5:5" x14ac:dyDescent="0.4">
      <c r="E2828"/>
    </row>
    <row r="2829" spans="5:5" x14ac:dyDescent="0.4">
      <c r="E2829"/>
    </row>
    <row r="2830" spans="5:5" x14ac:dyDescent="0.4">
      <c r="E2830"/>
    </row>
    <row r="2831" spans="5:5" x14ac:dyDescent="0.4">
      <c r="E2831"/>
    </row>
    <row r="2832" spans="5:5" x14ac:dyDescent="0.4">
      <c r="E2832"/>
    </row>
    <row r="2833" spans="5:5" x14ac:dyDescent="0.4">
      <c r="E2833"/>
    </row>
    <row r="2834" spans="5:5" x14ac:dyDescent="0.4">
      <c r="E2834"/>
    </row>
    <row r="2835" spans="5:5" x14ac:dyDescent="0.4">
      <c r="E2835"/>
    </row>
    <row r="2836" spans="5:5" x14ac:dyDescent="0.4">
      <c r="E2836"/>
    </row>
    <row r="2837" spans="5:5" x14ac:dyDescent="0.4">
      <c r="E2837"/>
    </row>
    <row r="2838" spans="5:5" x14ac:dyDescent="0.4">
      <c r="E2838"/>
    </row>
    <row r="2839" spans="5:5" x14ac:dyDescent="0.4">
      <c r="E2839"/>
    </row>
    <row r="2840" spans="5:5" x14ac:dyDescent="0.4">
      <c r="E2840"/>
    </row>
    <row r="2841" spans="5:5" x14ac:dyDescent="0.4">
      <c r="E2841"/>
    </row>
    <row r="2842" spans="5:5" x14ac:dyDescent="0.4">
      <c r="E2842"/>
    </row>
    <row r="2843" spans="5:5" x14ac:dyDescent="0.4">
      <c r="E2843"/>
    </row>
    <row r="2844" spans="5:5" x14ac:dyDescent="0.4">
      <c r="E2844"/>
    </row>
    <row r="2845" spans="5:5" x14ac:dyDescent="0.4">
      <c r="E2845"/>
    </row>
    <row r="2846" spans="5:5" x14ac:dyDescent="0.4">
      <c r="E2846"/>
    </row>
    <row r="2847" spans="5:5" x14ac:dyDescent="0.4">
      <c r="E2847"/>
    </row>
    <row r="2848" spans="5:5" x14ac:dyDescent="0.4">
      <c r="E2848"/>
    </row>
    <row r="2849" spans="5:5" x14ac:dyDescent="0.4">
      <c r="E2849"/>
    </row>
    <row r="2850" spans="5:5" x14ac:dyDescent="0.4">
      <c r="E2850"/>
    </row>
    <row r="2851" spans="5:5" x14ac:dyDescent="0.4">
      <c r="E2851"/>
    </row>
    <row r="2852" spans="5:5" x14ac:dyDescent="0.4">
      <c r="E2852"/>
    </row>
    <row r="2853" spans="5:5" x14ac:dyDescent="0.4">
      <c r="E2853"/>
    </row>
    <row r="2854" spans="5:5" x14ac:dyDescent="0.4">
      <c r="E2854"/>
    </row>
    <row r="2855" spans="5:5" x14ac:dyDescent="0.4">
      <c r="E2855"/>
    </row>
    <row r="2856" spans="5:5" x14ac:dyDescent="0.4">
      <c r="E2856"/>
    </row>
    <row r="2857" spans="5:5" x14ac:dyDescent="0.4">
      <c r="E2857"/>
    </row>
    <row r="2858" spans="5:5" x14ac:dyDescent="0.4">
      <c r="E2858"/>
    </row>
    <row r="2859" spans="5:5" x14ac:dyDescent="0.4">
      <c r="E2859"/>
    </row>
    <row r="2860" spans="5:5" x14ac:dyDescent="0.4">
      <c r="E2860"/>
    </row>
    <row r="2861" spans="5:5" x14ac:dyDescent="0.4">
      <c r="E2861"/>
    </row>
    <row r="2862" spans="5:5" x14ac:dyDescent="0.4">
      <c r="E2862"/>
    </row>
    <row r="2863" spans="5:5" x14ac:dyDescent="0.4">
      <c r="E2863"/>
    </row>
    <row r="2864" spans="5:5" x14ac:dyDescent="0.4">
      <c r="E2864"/>
    </row>
    <row r="2865" spans="5:5" x14ac:dyDescent="0.4">
      <c r="E2865"/>
    </row>
    <row r="2866" spans="5:5" x14ac:dyDescent="0.4">
      <c r="E2866"/>
    </row>
    <row r="2867" spans="5:5" x14ac:dyDescent="0.4">
      <c r="E2867"/>
    </row>
    <row r="2868" spans="5:5" x14ac:dyDescent="0.4">
      <c r="E2868"/>
    </row>
    <row r="2869" spans="5:5" x14ac:dyDescent="0.4">
      <c r="E2869"/>
    </row>
    <row r="2870" spans="5:5" x14ac:dyDescent="0.4">
      <c r="E2870"/>
    </row>
    <row r="2871" spans="5:5" x14ac:dyDescent="0.4">
      <c r="E2871"/>
    </row>
    <row r="2872" spans="5:5" x14ac:dyDescent="0.4">
      <c r="E2872"/>
    </row>
    <row r="2873" spans="5:5" x14ac:dyDescent="0.4">
      <c r="E2873"/>
    </row>
    <row r="2874" spans="5:5" x14ac:dyDescent="0.4">
      <c r="E2874"/>
    </row>
    <row r="2875" spans="5:5" x14ac:dyDescent="0.4">
      <c r="E2875"/>
    </row>
    <row r="2876" spans="5:5" x14ac:dyDescent="0.4">
      <c r="E2876"/>
    </row>
    <row r="2877" spans="5:5" x14ac:dyDescent="0.4">
      <c r="E2877"/>
    </row>
    <row r="2878" spans="5:5" x14ac:dyDescent="0.4">
      <c r="E2878"/>
    </row>
    <row r="2879" spans="5:5" x14ac:dyDescent="0.4">
      <c r="E2879"/>
    </row>
    <row r="2880" spans="5:5" x14ac:dyDescent="0.4">
      <c r="E2880"/>
    </row>
    <row r="2881" spans="5:5" x14ac:dyDescent="0.4">
      <c r="E2881"/>
    </row>
    <row r="2882" spans="5:5" x14ac:dyDescent="0.4">
      <c r="E2882"/>
    </row>
    <row r="2883" spans="5:5" x14ac:dyDescent="0.4">
      <c r="E2883"/>
    </row>
    <row r="2884" spans="5:5" x14ac:dyDescent="0.4">
      <c r="E2884"/>
    </row>
    <row r="2885" spans="5:5" x14ac:dyDescent="0.4">
      <c r="E2885"/>
    </row>
    <row r="2886" spans="5:5" x14ac:dyDescent="0.4">
      <c r="E2886"/>
    </row>
    <row r="2887" spans="5:5" x14ac:dyDescent="0.4">
      <c r="E2887"/>
    </row>
    <row r="2888" spans="5:5" x14ac:dyDescent="0.4">
      <c r="E2888"/>
    </row>
    <row r="2889" spans="5:5" x14ac:dyDescent="0.4">
      <c r="E2889"/>
    </row>
    <row r="2890" spans="5:5" x14ac:dyDescent="0.4">
      <c r="E2890"/>
    </row>
    <row r="2891" spans="5:5" x14ac:dyDescent="0.4">
      <c r="E2891"/>
    </row>
    <row r="2892" spans="5:5" x14ac:dyDescent="0.4">
      <c r="E2892"/>
    </row>
    <row r="2893" spans="5:5" x14ac:dyDescent="0.4">
      <c r="E2893"/>
    </row>
    <row r="2894" spans="5:5" x14ac:dyDescent="0.4">
      <c r="E2894"/>
    </row>
    <row r="2895" spans="5:5" x14ac:dyDescent="0.4">
      <c r="E2895"/>
    </row>
    <row r="2896" spans="5:5" x14ac:dyDescent="0.4">
      <c r="E2896"/>
    </row>
    <row r="2897" spans="5:5" x14ac:dyDescent="0.4">
      <c r="E2897"/>
    </row>
    <row r="2898" spans="5:5" x14ac:dyDescent="0.4">
      <c r="E2898"/>
    </row>
    <row r="2899" spans="5:5" x14ac:dyDescent="0.4">
      <c r="E2899"/>
    </row>
    <row r="2900" spans="5:5" x14ac:dyDescent="0.4">
      <c r="E2900"/>
    </row>
    <row r="2901" spans="5:5" x14ac:dyDescent="0.4">
      <c r="E2901"/>
    </row>
    <row r="2902" spans="5:5" x14ac:dyDescent="0.4">
      <c r="E2902"/>
    </row>
    <row r="2903" spans="5:5" x14ac:dyDescent="0.4">
      <c r="E2903"/>
    </row>
    <row r="2904" spans="5:5" x14ac:dyDescent="0.4">
      <c r="E2904"/>
    </row>
    <row r="2905" spans="5:5" x14ac:dyDescent="0.4">
      <c r="E2905"/>
    </row>
    <row r="2906" spans="5:5" x14ac:dyDescent="0.4">
      <c r="E2906"/>
    </row>
    <row r="2907" spans="5:5" x14ac:dyDescent="0.4">
      <c r="E2907"/>
    </row>
    <row r="2908" spans="5:5" x14ac:dyDescent="0.4">
      <c r="E2908"/>
    </row>
    <row r="2909" spans="5:5" x14ac:dyDescent="0.4">
      <c r="E2909"/>
    </row>
    <row r="2910" spans="5:5" x14ac:dyDescent="0.4">
      <c r="E2910"/>
    </row>
    <row r="2911" spans="5:5" x14ac:dyDescent="0.4">
      <c r="E2911"/>
    </row>
    <row r="2912" spans="5:5" x14ac:dyDescent="0.4">
      <c r="E2912"/>
    </row>
    <row r="2913" spans="5:5" x14ac:dyDescent="0.4">
      <c r="E2913"/>
    </row>
    <row r="2914" spans="5:5" x14ac:dyDescent="0.4">
      <c r="E2914"/>
    </row>
    <row r="2915" spans="5:5" x14ac:dyDescent="0.4">
      <c r="E2915"/>
    </row>
    <row r="2916" spans="5:5" x14ac:dyDescent="0.4">
      <c r="E2916"/>
    </row>
    <row r="2917" spans="5:5" x14ac:dyDescent="0.4">
      <c r="E2917"/>
    </row>
    <row r="2918" spans="5:5" x14ac:dyDescent="0.4">
      <c r="E2918"/>
    </row>
    <row r="2919" spans="5:5" x14ac:dyDescent="0.4">
      <c r="E2919"/>
    </row>
    <row r="2920" spans="5:5" x14ac:dyDescent="0.4">
      <c r="E2920"/>
    </row>
    <row r="2921" spans="5:5" x14ac:dyDescent="0.4">
      <c r="E2921"/>
    </row>
    <row r="2922" spans="5:5" x14ac:dyDescent="0.4">
      <c r="E2922"/>
    </row>
    <row r="2923" spans="5:5" x14ac:dyDescent="0.4">
      <c r="E2923"/>
    </row>
    <row r="2924" spans="5:5" x14ac:dyDescent="0.4">
      <c r="E2924"/>
    </row>
    <row r="2925" spans="5:5" x14ac:dyDescent="0.4">
      <c r="E2925"/>
    </row>
    <row r="2926" spans="5:5" x14ac:dyDescent="0.4">
      <c r="E2926"/>
    </row>
    <row r="2927" spans="5:5" x14ac:dyDescent="0.4">
      <c r="E2927"/>
    </row>
    <row r="2928" spans="5:5" x14ac:dyDescent="0.4">
      <c r="E2928"/>
    </row>
    <row r="2929" spans="5:5" x14ac:dyDescent="0.4">
      <c r="E2929"/>
    </row>
    <row r="2930" spans="5:5" x14ac:dyDescent="0.4">
      <c r="E2930"/>
    </row>
    <row r="2931" spans="5:5" x14ac:dyDescent="0.4">
      <c r="E2931"/>
    </row>
    <row r="2932" spans="5:5" x14ac:dyDescent="0.4">
      <c r="E2932"/>
    </row>
    <row r="2933" spans="5:5" x14ac:dyDescent="0.4">
      <c r="E2933"/>
    </row>
    <row r="2934" spans="5:5" x14ac:dyDescent="0.4">
      <c r="E2934"/>
    </row>
    <row r="2935" spans="5:5" x14ac:dyDescent="0.4">
      <c r="E2935"/>
    </row>
    <row r="2936" spans="5:5" x14ac:dyDescent="0.4">
      <c r="E2936"/>
    </row>
    <row r="2937" spans="5:5" x14ac:dyDescent="0.4">
      <c r="E2937"/>
    </row>
    <row r="2938" spans="5:5" x14ac:dyDescent="0.4">
      <c r="E2938"/>
    </row>
    <row r="2939" spans="5:5" x14ac:dyDescent="0.4">
      <c r="E2939"/>
    </row>
    <row r="2940" spans="5:5" x14ac:dyDescent="0.4">
      <c r="E2940"/>
    </row>
    <row r="2941" spans="5:5" x14ac:dyDescent="0.4">
      <c r="E2941"/>
    </row>
    <row r="2942" spans="5:5" x14ac:dyDescent="0.4">
      <c r="E2942"/>
    </row>
    <row r="2943" spans="5:5" x14ac:dyDescent="0.4">
      <c r="E2943"/>
    </row>
    <row r="2944" spans="5:5" x14ac:dyDescent="0.4">
      <c r="E2944"/>
    </row>
    <row r="2945" spans="5:5" x14ac:dyDescent="0.4">
      <c r="E2945"/>
    </row>
    <row r="2946" spans="5:5" x14ac:dyDescent="0.4">
      <c r="E2946"/>
    </row>
    <row r="2947" spans="5:5" x14ac:dyDescent="0.4">
      <c r="E2947"/>
    </row>
    <row r="2948" spans="5:5" x14ac:dyDescent="0.4">
      <c r="E2948"/>
    </row>
    <row r="2949" spans="5:5" x14ac:dyDescent="0.4">
      <c r="E2949"/>
    </row>
    <row r="2950" spans="5:5" x14ac:dyDescent="0.4">
      <c r="E2950"/>
    </row>
    <row r="2951" spans="5:5" x14ac:dyDescent="0.4">
      <c r="E2951"/>
    </row>
    <row r="2952" spans="5:5" x14ac:dyDescent="0.4">
      <c r="E2952"/>
    </row>
    <row r="2953" spans="5:5" x14ac:dyDescent="0.4">
      <c r="E2953"/>
    </row>
    <row r="2954" spans="5:5" x14ac:dyDescent="0.4">
      <c r="E2954"/>
    </row>
    <row r="2955" spans="5:5" x14ac:dyDescent="0.4">
      <c r="E2955"/>
    </row>
    <row r="2956" spans="5:5" x14ac:dyDescent="0.4">
      <c r="E2956"/>
    </row>
    <row r="2957" spans="5:5" x14ac:dyDescent="0.4">
      <c r="E2957"/>
    </row>
    <row r="2958" spans="5:5" x14ac:dyDescent="0.4">
      <c r="E2958"/>
    </row>
    <row r="2959" spans="5:5" x14ac:dyDescent="0.4">
      <c r="E2959"/>
    </row>
    <row r="2960" spans="5:5" x14ac:dyDescent="0.4">
      <c r="E2960"/>
    </row>
    <row r="2961" spans="5:5" x14ac:dyDescent="0.4">
      <c r="E2961"/>
    </row>
    <row r="2962" spans="5:5" x14ac:dyDescent="0.4">
      <c r="E2962"/>
    </row>
    <row r="2963" spans="5:5" x14ac:dyDescent="0.4">
      <c r="E2963"/>
    </row>
    <row r="2964" spans="5:5" x14ac:dyDescent="0.4">
      <c r="E2964"/>
    </row>
    <row r="2965" spans="5:5" x14ac:dyDescent="0.4">
      <c r="E2965"/>
    </row>
    <row r="2966" spans="5:5" x14ac:dyDescent="0.4">
      <c r="E2966"/>
    </row>
    <row r="2967" spans="5:5" x14ac:dyDescent="0.4">
      <c r="E2967"/>
    </row>
    <row r="2968" spans="5:5" x14ac:dyDescent="0.4">
      <c r="E2968"/>
    </row>
    <row r="2969" spans="5:5" x14ac:dyDescent="0.4">
      <c r="E2969"/>
    </row>
    <row r="2970" spans="5:5" x14ac:dyDescent="0.4">
      <c r="E2970"/>
    </row>
    <row r="2971" spans="5:5" x14ac:dyDescent="0.4">
      <c r="E2971"/>
    </row>
    <row r="2972" spans="5:5" x14ac:dyDescent="0.4">
      <c r="E2972"/>
    </row>
    <row r="2973" spans="5:5" x14ac:dyDescent="0.4">
      <c r="E2973"/>
    </row>
    <row r="2974" spans="5:5" x14ac:dyDescent="0.4">
      <c r="E2974"/>
    </row>
    <row r="2975" spans="5:5" x14ac:dyDescent="0.4">
      <c r="E2975"/>
    </row>
    <row r="2976" spans="5:5" x14ac:dyDescent="0.4">
      <c r="E2976"/>
    </row>
    <row r="2977" spans="5:5" x14ac:dyDescent="0.4">
      <c r="E2977"/>
    </row>
    <row r="2978" spans="5:5" x14ac:dyDescent="0.4">
      <c r="E2978"/>
    </row>
    <row r="2979" spans="5:5" x14ac:dyDescent="0.4">
      <c r="E2979"/>
    </row>
    <row r="2980" spans="5:5" x14ac:dyDescent="0.4">
      <c r="E2980"/>
    </row>
    <row r="2981" spans="5:5" x14ac:dyDescent="0.4">
      <c r="E2981"/>
    </row>
    <row r="2982" spans="5:5" x14ac:dyDescent="0.4">
      <c r="E2982"/>
    </row>
    <row r="2983" spans="5:5" x14ac:dyDescent="0.4">
      <c r="E2983"/>
    </row>
    <row r="2984" spans="5:5" x14ac:dyDescent="0.4">
      <c r="E2984"/>
    </row>
    <row r="2985" spans="5:5" x14ac:dyDescent="0.4">
      <c r="E2985"/>
    </row>
    <row r="2986" spans="5:5" x14ac:dyDescent="0.4">
      <c r="E2986"/>
    </row>
    <row r="2987" spans="5:5" x14ac:dyDescent="0.4">
      <c r="E2987"/>
    </row>
    <row r="2988" spans="5:5" x14ac:dyDescent="0.4">
      <c r="E2988"/>
    </row>
    <row r="2989" spans="5:5" x14ac:dyDescent="0.4">
      <c r="E2989"/>
    </row>
    <row r="2990" spans="5:5" x14ac:dyDescent="0.4">
      <c r="E2990"/>
    </row>
    <row r="2991" spans="5:5" x14ac:dyDescent="0.4">
      <c r="E2991"/>
    </row>
    <row r="2992" spans="5:5" x14ac:dyDescent="0.4">
      <c r="E2992"/>
    </row>
    <row r="2993" spans="5:5" x14ac:dyDescent="0.4">
      <c r="E2993"/>
    </row>
    <row r="2994" spans="5:5" x14ac:dyDescent="0.4">
      <c r="E2994"/>
    </row>
    <row r="2995" spans="5:5" x14ac:dyDescent="0.4">
      <c r="E2995"/>
    </row>
    <row r="2996" spans="5:5" x14ac:dyDescent="0.4">
      <c r="E2996"/>
    </row>
    <row r="2997" spans="5:5" x14ac:dyDescent="0.4">
      <c r="E2997"/>
    </row>
    <row r="2998" spans="5:5" x14ac:dyDescent="0.4">
      <c r="E2998"/>
    </row>
    <row r="2999" spans="5:5" x14ac:dyDescent="0.4">
      <c r="E2999"/>
    </row>
    <row r="3000" spans="5:5" x14ac:dyDescent="0.4">
      <c r="E3000"/>
    </row>
    <row r="3001" spans="5:5" x14ac:dyDescent="0.4">
      <c r="E3001"/>
    </row>
    <row r="3002" spans="5:5" x14ac:dyDescent="0.4">
      <c r="E3002"/>
    </row>
    <row r="3003" spans="5:5" x14ac:dyDescent="0.4">
      <c r="E3003"/>
    </row>
    <row r="3004" spans="5:5" x14ac:dyDescent="0.4">
      <c r="E3004"/>
    </row>
    <row r="3005" spans="5:5" x14ac:dyDescent="0.4">
      <c r="E3005"/>
    </row>
    <row r="3006" spans="5:5" x14ac:dyDescent="0.4">
      <c r="E3006"/>
    </row>
    <row r="3007" spans="5:5" x14ac:dyDescent="0.4">
      <c r="E3007"/>
    </row>
    <row r="3008" spans="5:5" x14ac:dyDescent="0.4">
      <c r="E3008"/>
    </row>
    <row r="3009" spans="5:5" x14ac:dyDescent="0.4">
      <c r="E3009"/>
    </row>
    <row r="3010" spans="5:5" x14ac:dyDescent="0.4">
      <c r="E3010"/>
    </row>
    <row r="3011" spans="5:5" x14ac:dyDescent="0.4">
      <c r="E3011"/>
    </row>
    <row r="3012" spans="5:5" x14ac:dyDescent="0.4">
      <c r="E3012"/>
    </row>
    <row r="3013" spans="5:5" x14ac:dyDescent="0.4">
      <c r="E3013"/>
    </row>
    <row r="3014" spans="5:5" x14ac:dyDescent="0.4">
      <c r="E3014"/>
    </row>
    <row r="3015" spans="5:5" x14ac:dyDescent="0.4">
      <c r="E3015"/>
    </row>
    <row r="3016" spans="5:5" x14ac:dyDescent="0.4">
      <c r="E3016"/>
    </row>
    <row r="3017" spans="5:5" x14ac:dyDescent="0.4">
      <c r="E3017"/>
    </row>
    <row r="3018" spans="5:5" x14ac:dyDescent="0.4">
      <c r="E3018"/>
    </row>
    <row r="3019" spans="5:5" x14ac:dyDescent="0.4">
      <c r="E3019"/>
    </row>
    <row r="3020" spans="5:5" x14ac:dyDescent="0.4">
      <c r="E3020"/>
    </row>
    <row r="3021" spans="5:5" x14ac:dyDescent="0.4">
      <c r="E3021"/>
    </row>
    <row r="3022" spans="5:5" x14ac:dyDescent="0.4">
      <c r="E3022"/>
    </row>
    <row r="3023" spans="5:5" x14ac:dyDescent="0.4">
      <c r="E3023"/>
    </row>
    <row r="3024" spans="5:5" x14ac:dyDescent="0.4">
      <c r="E3024"/>
    </row>
    <row r="3025" spans="5:5" x14ac:dyDescent="0.4">
      <c r="E3025"/>
    </row>
    <row r="3026" spans="5:5" x14ac:dyDescent="0.4">
      <c r="E3026"/>
    </row>
    <row r="3027" spans="5:5" x14ac:dyDescent="0.4">
      <c r="E3027"/>
    </row>
    <row r="3028" spans="5:5" x14ac:dyDescent="0.4">
      <c r="E3028"/>
    </row>
    <row r="3029" spans="5:5" x14ac:dyDescent="0.4">
      <c r="E3029"/>
    </row>
    <row r="3030" spans="5:5" x14ac:dyDescent="0.4">
      <c r="E3030"/>
    </row>
    <row r="3031" spans="5:5" x14ac:dyDescent="0.4">
      <c r="E3031"/>
    </row>
    <row r="3032" spans="5:5" x14ac:dyDescent="0.4">
      <c r="E3032"/>
    </row>
    <row r="3033" spans="5:5" x14ac:dyDescent="0.4">
      <c r="E3033"/>
    </row>
    <row r="3034" spans="5:5" x14ac:dyDescent="0.4">
      <c r="E3034"/>
    </row>
    <row r="3035" spans="5:5" x14ac:dyDescent="0.4">
      <c r="E3035"/>
    </row>
    <row r="3036" spans="5:5" x14ac:dyDescent="0.4">
      <c r="E3036"/>
    </row>
    <row r="3037" spans="5:5" x14ac:dyDescent="0.4">
      <c r="E3037"/>
    </row>
    <row r="3038" spans="5:5" x14ac:dyDescent="0.4">
      <c r="E3038"/>
    </row>
    <row r="3039" spans="5:5" x14ac:dyDescent="0.4">
      <c r="E3039"/>
    </row>
    <row r="3040" spans="5:5" x14ac:dyDescent="0.4">
      <c r="E3040"/>
    </row>
    <row r="3041" spans="5:5" x14ac:dyDescent="0.4">
      <c r="E3041"/>
    </row>
    <row r="3042" spans="5:5" x14ac:dyDescent="0.4">
      <c r="E3042"/>
    </row>
    <row r="3043" spans="5:5" x14ac:dyDescent="0.4">
      <c r="E3043"/>
    </row>
    <row r="3044" spans="5:5" x14ac:dyDescent="0.4">
      <c r="E3044"/>
    </row>
    <row r="3045" spans="5:5" x14ac:dyDescent="0.4">
      <c r="E3045"/>
    </row>
    <row r="3046" spans="5:5" x14ac:dyDescent="0.4">
      <c r="E3046"/>
    </row>
    <row r="3047" spans="5:5" x14ac:dyDescent="0.4">
      <c r="E3047"/>
    </row>
    <row r="3048" spans="5:5" x14ac:dyDescent="0.4">
      <c r="E3048"/>
    </row>
    <row r="3049" spans="5:5" x14ac:dyDescent="0.4">
      <c r="E3049"/>
    </row>
    <row r="3050" spans="5:5" x14ac:dyDescent="0.4">
      <c r="E3050"/>
    </row>
    <row r="3051" spans="5:5" x14ac:dyDescent="0.4">
      <c r="E3051"/>
    </row>
    <row r="3052" spans="5:5" x14ac:dyDescent="0.4">
      <c r="E3052"/>
    </row>
    <row r="3053" spans="5:5" x14ac:dyDescent="0.4">
      <c r="E3053"/>
    </row>
    <row r="3054" spans="5:5" x14ac:dyDescent="0.4">
      <c r="E3054"/>
    </row>
    <row r="3055" spans="5:5" x14ac:dyDescent="0.4">
      <c r="E3055"/>
    </row>
    <row r="3056" spans="5:5" x14ac:dyDescent="0.4">
      <c r="E3056"/>
    </row>
    <row r="3057" spans="5:5" x14ac:dyDescent="0.4">
      <c r="E3057"/>
    </row>
    <row r="3058" spans="5:5" x14ac:dyDescent="0.4">
      <c r="E3058"/>
    </row>
    <row r="3059" spans="5:5" x14ac:dyDescent="0.4">
      <c r="E3059"/>
    </row>
    <row r="3060" spans="5:5" x14ac:dyDescent="0.4">
      <c r="E3060"/>
    </row>
    <row r="3061" spans="5:5" x14ac:dyDescent="0.4">
      <c r="E3061"/>
    </row>
    <row r="3062" spans="5:5" x14ac:dyDescent="0.4">
      <c r="E3062"/>
    </row>
    <row r="3063" spans="5:5" x14ac:dyDescent="0.4">
      <c r="E3063"/>
    </row>
    <row r="3064" spans="5:5" x14ac:dyDescent="0.4">
      <c r="E3064"/>
    </row>
    <row r="3065" spans="5:5" x14ac:dyDescent="0.4">
      <c r="E3065"/>
    </row>
    <row r="3066" spans="5:5" x14ac:dyDescent="0.4">
      <c r="E3066"/>
    </row>
    <row r="3067" spans="5:5" x14ac:dyDescent="0.4">
      <c r="E3067"/>
    </row>
    <row r="3068" spans="5:5" x14ac:dyDescent="0.4">
      <c r="E3068"/>
    </row>
    <row r="3069" spans="5:5" x14ac:dyDescent="0.4">
      <c r="E3069"/>
    </row>
    <row r="3070" spans="5:5" x14ac:dyDescent="0.4">
      <c r="E3070"/>
    </row>
    <row r="3071" spans="5:5" x14ac:dyDescent="0.4">
      <c r="E3071"/>
    </row>
    <row r="3072" spans="5:5" x14ac:dyDescent="0.4">
      <c r="E3072"/>
    </row>
    <row r="3073" spans="5:5" x14ac:dyDescent="0.4">
      <c r="E3073"/>
    </row>
    <row r="3074" spans="5:5" x14ac:dyDescent="0.4">
      <c r="E3074"/>
    </row>
    <row r="3075" spans="5:5" x14ac:dyDescent="0.4">
      <c r="E3075"/>
    </row>
    <row r="3076" spans="5:5" x14ac:dyDescent="0.4">
      <c r="E3076"/>
    </row>
    <row r="3077" spans="5:5" x14ac:dyDescent="0.4">
      <c r="E3077"/>
    </row>
    <row r="3078" spans="5:5" x14ac:dyDescent="0.4">
      <c r="E3078"/>
    </row>
    <row r="3079" spans="5:5" x14ac:dyDescent="0.4">
      <c r="E3079"/>
    </row>
    <row r="3080" spans="5:5" x14ac:dyDescent="0.4">
      <c r="E3080"/>
    </row>
    <row r="3081" spans="5:5" x14ac:dyDescent="0.4">
      <c r="E3081"/>
    </row>
    <row r="3082" spans="5:5" x14ac:dyDescent="0.4">
      <c r="E3082"/>
    </row>
    <row r="3083" spans="5:5" x14ac:dyDescent="0.4">
      <c r="E3083"/>
    </row>
    <row r="3084" spans="5:5" x14ac:dyDescent="0.4">
      <c r="E3084"/>
    </row>
    <row r="3085" spans="5:5" x14ac:dyDescent="0.4">
      <c r="E3085"/>
    </row>
    <row r="3086" spans="5:5" x14ac:dyDescent="0.4">
      <c r="E3086"/>
    </row>
    <row r="3087" spans="5:5" x14ac:dyDescent="0.4">
      <c r="E3087"/>
    </row>
    <row r="3088" spans="5:5" x14ac:dyDescent="0.4">
      <c r="E3088"/>
    </row>
    <row r="3089" spans="5:5" x14ac:dyDescent="0.4">
      <c r="E3089"/>
    </row>
    <row r="3090" spans="5:5" x14ac:dyDescent="0.4">
      <c r="E3090"/>
    </row>
    <row r="3091" spans="5:5" x14ac:dyDescent="0.4">
      <c r="E3091"/>
    </row>
    <row r="3092" spans="5:5" x14ac:dyDescent="0.4">
      <c r="E3092"/>
    </row>
    <row r="3093" spans="5:5" x14ac:dyDescent="0.4">
      <c r="E3093"/>
    </row>
    <row r="3094" spans="5:5" x14ac:dyDescent="0.4">
      <c r="E3094"/>
    </row>
    <row r="3095" spans="5:5" x14ac:dyDescent="0.4">
      <c r="E3095"/>
    </row>
    <row r="3096" spans="5:5" x14ac:dyDescent="0.4">
      <c r="E3096"/>
    </row>
    <row r="3097" spans="5:5" x14ac:dyDescent="0.4">
      <c r="E3097"/>
    </row>
    <row r="3098" spans="5:5" x14ac:dyDescent="0.4">
      <c r="E3098"/>
    </row>
    <row r="3099" spans="5:5" x14ac:dyDescent="0.4">
      <c r="E3099"/>
    </row>
    <row r="3100" spans="5:5" x14ac:dyDescent="0.4">
      <c r="E3100"/>
    </row>
    <row r="3101" spans="5:5" x14ac:dyDescent="0.4">
      <c r="E3101"/>
    </row>
    <row r="3102" spans="5:5" x14ac:dyDescent="0.4">
      <c r="E3102"/>
    </row>
    <row r="3103" spans="5:5" x14ac:dyDescent="0.4">
      <c r="E3103"/>
    </row>
    <row r="3104" spans="5:5" x14ac:dyDescent="0.4">
      <c r="E3104"/>
    </row>
    <row r="3105" spans="5:5" x14ac:dyDescent="0.4">
      <c r="E3105"/>
    </row>
    <row r="3106" spans="5:5" x14ac:dyDescent="0.4">
      <c r="E3106"/>
    </row>
    <row r="3107" spans="5:5" x14ac:dyDescent="0.4">
      <c r="E3107"/>
    </row>
    <row r="3108" spans="5:5" x14ac:dyDescent="0.4">
      <c r="E3108"/>
    </row>
    <row r="3109" spans="5:5" x14ac:dyDescent="0.4">
      <c r="E3109"/>
    </row>
    <row r="3110" spans="5:5" x14ac:dyDescent="0.4">
      <c r="E3110"/>
    </row>
    <row r="3111" spans="5:5" x14ac:dyDescent="0.4">
      <c r="E3111"/>
    </row>
    <row r="3112" spans="5:5" x14ac:dyDescent="0.4">
      <c r="E3112"/>
    </row>
    <row r="3113" spans="5:5" x14ac:dyDescent="0.4">
      <c r="E3113"/>
    </row>
    <row r="3114" spans="5:5" x14ac:dyDescent="0.4">
      <c r="E3114"/>
    </row>
    <row r="3115" spans="5:5" x14ac:dyDescent="0.4">
      <c r="E3115"/>
    </row>
    <row r="3116" spans="5:5" x14ac:dyDescent="0.4">
      <c r="E3116"/>
    </row>
    <row r="3117" spans="5:5" x14ac:dyDescent="0.4">
      <c r="E3117"/>
    </row>
    <row r="3118" spans="5:5" x14ac:dyDescent="0.4">
      <c r="E3118"/>
    </row>
    <row r="3119" spans="5:5" x14ac:dyDescent="0.4">
      <c r="E3119"/>
    </row>
    <row r="3120" spans="5:5" x14ac:dyDescent="0.4">
      <c r="E3120"/>
    </row>
    <row r="3121" spans="5:5" x14ac:dyDescent="0.4">
      <c r="E3121"/>
    </row>
    <row r="3122" spans="5:5" x14ac:dyDescent="0.4">
      <c r="E3122"/>
    </row>
    <row r="3123" spans="5:5" x14ac:dyDescent="0.4">
      <c r="E3123"/>
    </row>
    <row r="3124" spans="5:5" x14ac:dyDescent="0.4">
      <c r="E3124"/>
    </row>
    <row r="3125" spans="5:5" x14ac:dyDescent="0.4">
      <c r="E3125"/>
    </row>
    <row r="3126" spans="5:5" x14ac:dyDescent="0.4">
      <c r="E3126"/>
    </row>
    <row r="3127" spans="5:5" x14ac:dyDescent="0.4">
      <c r="E3127"/>
    </row>
    <row r="3128" spans="5:5" x14ac:dyDescent="0.4">
      <c r="E3128"/>
    </row>
    <row r="3129" spans="5:5" x14ac:dyDescent="0.4">
      <c r="E3129"/>
    </row>
    <row r="3130" spans="5:5" x14ac:dyDescent="0.4">
      <c r="E3130"/>
    </row>
    <row r="3131" spans="5:5" x14ac:dyDescent="0.4">
      <c r="E3131"/>
    </row>
    <row r="3132" spans="5:5" x14ac:dyDescent="0.4">
      <c r="E3132"/>
    </row>
    <row r="3133" spans="5:5" x14ac:dyDescent="0.4">
      <c r="E3133"/>
    </row>
    <row r="3134" spans="5:5" x14ac:dyDescent="0.4">
      <c r="E3134"/>
    </row>
    <row r="3135" spans="5:5" x14ac:dyDescent="0.4">
      <c r="E3135"/>
    </row>
    <row r="3136" spans="5:5" x14ac:dyDescent="0.4">
      <c r="E3136"/>
    </row>
    <row r="3137" spans="5:5" x14ac:dyDescent="0.4">
      <c r="E3137"/>
    </row>
    <row r="3138" spans="5:5" x14ac:dyDescent="0.4">
      <c r="E3138"/>
    </row>
    <row r="3139" spans="5:5" x14ac:dyDescent="0.4">
      <c r="E3139"/>
    </row>
    <row r="3140" spans="5:5" x14ac:dyDescent="0.4">
      <c r="E3140"/>
    </row>
    <row r="3141" spans="5:5" x14ac:dyDescent="0.4">
      <c r="E3141"/>
    </row>
    <row r="3142" spans="5:5" x14ac:dyDescent="0.4">
      <c r="E3142"/>
    </row>
    <row r="3143" spans="5:5" x14ac:dyDescent="0.4">
      <c r="E3143"/>
    </row>
    <row r="3144" spans="5:5" x14ac:dyDescent="0.4">
      <c r="E3144"/>
    </row>
    <row r="3145" spans="5:5" x14ac:dyDescent="0.4">
      <c r="E3145"/>
    </row>
    <row r="3146" spans="5:5" x14ac:dyDescent="0.4">
      <c r="E3146"/>
    </row>
    <row r="3147" spans="5:5" x14ac:dyDescent="0.4">
      <c r="E3147"/>
    </row>
    <row r="3148" spans="5:5" x14ac:dyDescent="0.4">
      <c r="E3148"/>
    </row>
    <row r="3149" spans="5:5" x14ac:dyDescent="0.4">
      <c r="E3149"/>
    </row>
    <row r="3150" spans="5:5" x14ac:dyDescent="0.4">
      <c r="E3150"/>
    </row>
    <row r="3151" spans="5:5" x14ac:dyDescent="0.4">
      <c r="E3151"/>
    </row>
    <row r="3152" spans="5:5" x14ac:dyDescent="0.4">
      <c r="E3152"/>
    </row>
    <row r="3153" spans="5:5" x14ac:dyDescent="0.4">
      <c r="E3153"/>
    </row>
    <row r="3154" spans="5:5" x14ac:dyDescent="0.4">
      <c r="E3154"/>
    </row>
    <row r="3155" spans="5:5" x14ac:dyDescent="0.4">
      <c r="E3155"/>
    </row>
    <row r="3156" spans="5:5" x14ac:dyDescent="0.4">
      <c r="E3156"/>
    </row>
    <row r="3157" spans="5:5" x14ac:dyDescent="0.4">
      <c r="E3157"/>
    </row>
    <row r="3158" spans="5:5" x14ac:dyDescent="0.4">
      <c r="E3158"/>
    </row>
    <row r="3159" spans="5:5" x14ac:dyDescent="0.4">
      <c r="E3159"/>
    </row>
    <row r="3160" spans="5:5" x14ac:dyDescent="0.4">
      <c r="E3160"/>
    </row>
    <row r="3161" spans="5:5" x14ac:dyDescent="0.4">
      <c r="E3161"/>
    </row>
    <row r="3162" spans="5:5" x14ac:dyDescent="0.4">
      <c r="E3162"/>
    </row>
    <row r="3163" spans="5:5" x14ac:dyDescent="0.4">
      <c r="E3163"/>
    </row>
    <row r="3164" spans="5:5" x14ac:dyDescent="0.4">
      <c r="E3164"/>
    </row>
    <row r="3165" spans="5:5" x14ac:dyDescent="0.4">
      <c r="E3165"/>
    </row>
    <row r="3166" spans="5:5" x14ac:dyDescent="0.4">
      <c r="E3166"/>
    </row>
    <row r="3167" spans="5:5" x14ac:dyDescent="0.4">
      <c r="E3167"/>
    </row>
    <row r="3168" spans="5:5" x14ac:dyDescent="0.4">
      <c r="E3168"/>
    </row>
    <row r="3169" spans="5:5" x14ac:dyDescent="0.4">
      <c r="E3169"/>
    </row>
    <row r="3170" spans="5:5" x14ac:dyDescent="0.4">
      <c r="E3170"/>
    </row>
    <row r="3171" spans="5:5" x14ac:dyDescent="0.4">
      <c r="E3171"/>
    </row>
    <row r="3172" spans="5:5" x14ac:dyDescent="0.4">
      <c r="E3172"/>
    </row>
    <row r="3173" spans="5:5" x14ac:dyDescent="0.4">
      <c r="E3173"/>
    </row>
    <row r="3174" spans="5:5" x14ac:dyDescent="0.4">
      <c r="E3174"/>
    </row>
    <row r="3175" spans="5:5" x14ac:dyDescent="0.4">
      <c r="E3175"/>
    </row>
    <row r="3176" spans="5:5" x14ac:dyDescent="0.4">
      <c r="E3176"/>
    </row>
    <row r="3177" spans="5:5" x14ac:dyDescent="0.4">
      <c r="E3177"/>
    </row>
    <row r="3178" spans="5:5" x14ac:dyDescent="0.4">
      <c r="E3178"/>
    </row>
    <row r="3179" spans="5:5" x14ac:dyDescent="0.4">
      <c r="E3179"/>
    </row>
    <row r="3180" spans="5:5" x14ac:dyDescent="0.4">
      <c r="E3180"/>
    </row>
    <row r="3181" spans="5:5" x14ac:dyDescent="0.4">
      <c r="E3181"/>
    </row>
    <row r="3182" spans="5:5" x14ac:dyDescent="0.4">
      <c r="E3182"/>
    </row>
    <row r="3183" spans="5:5" x14ac:dyDescent="0.4">
      <c r="E3183"/>
    </row>
    <row r="3184" spans="5:5" x14ac:dyDescent="0.4">
      <c r="E3184"/>
    </row>
    <row r="3185" spans="5:5" x14ac:dyDescent="0.4">
      <c r="E3185"/>
    </row>
    <row r="3186" spans="5:5" x14ac:dyDescent="0.4">
      <c r="E3186"/>
    </row>
    <row r="3187" spans="5:5" x14ac:dyDescent="0.4">
      <c r="E3187"/>
    </row>
    <row r="3188" spans="5:5" x14ac:dyDescent="0.4">
      <c r="E3188"/>
    </row>
    <row r="3189" spans="5:5" x14ac:dyDescent="0.4">
      <c r="E3189"/>
    </row>
    <row r="3190" spans="5:5" x14ac:dyDescent="0.4">
      <c r="E3190"/>
    </row>
    <row r="3191" spans="5:5" x14ac:dyDescent="0.4">
      <c r="E3191"/>
    </row>
    <row r="3192" spans="5:5" x14ac:dyDescent="0.4">
      <c r="E3192"/>
    </row>
    <row r="3193" spans="5:5" x14ac:dyDescent="0.4">
      <c r="E3193"/>
    </row>
    <row r="3194" spans="5:5" x14ac:dyDescent="0.4">
      <c r="E3194"/>
    </row>
    <row r="3195" spans="5:5" x14ac:dyDescent="0.4">
      <c r="E3195"/>
    </row>
    <row r="3196" spans="5:5" x14ac:dyDescent="0.4">
      <c r="E3196"/>
    </row>
    <row r="3197" spans="5:5" x14ac:dyDescent="0.4">
      <c r="E3197"/>
    </row>
    <row r="3198" spans="5:5" x14ac:dyDescent="0.4">
      <c r="E3198"/>
    </row>
    <row r="3199" spans="5:5" x14ac:dyDescent="0.4">
      <c r="E3199"/>
    </row>
    <row r="3200" spans="5:5" x14ac:dyDescent="0.4">
      <c r="E3200"/>
    </row>
    <row r="3201" spans="5:5" x14ac:dyDescent="0.4">
      <c r="E3201"/>
    </row>
    <row r="3202" spans="5:5" x14ac:dyDescent="0.4">
      <c r="E3202"/>
    </row>
    <row r="3203" spans="5:5" x14ac:dyDescent="0.4">
      <c r="E3203"/>
    </row>
    <row r="3204" spans="5:5" x14ac:dyDescent="0.4">
      <c r="E3204"/>
    </row>
    <row r="3205" spans="5:5" x14ac:dyDescent="0.4">
      <c r="E3205"/>
    </row>
    <row r="3206" spans="5:5" x14ac:dyDescent="0.4">
      <c r="E3206"/>
    </row>
    <row r="3207" spans="5:5" x14ac:dyDescent="0.4">
      <c r="E3207"/>
    </row>
    <row r="3208" spans="5:5" x14ac:dyDescent="0.4">
      <c r="E3208"/>
    </row>
    <row r="3209" spans="5:5" x14ac:dyDescent="0.4">
      <c r="E3209"/>
    </row>
    <row r="3210" spans="5:5" x14ac:dyDescent="0.4">
      <c r="E3210"/>
    </row>
    <row r="3211" spans="5:5" x14ac:dyDescent="0.4">
      <c r="E3211"/>
    </row>
    <row r="3212" spans="5:5" x14ac:dyDescent="0.4">
      <c r="E3212"/>
    </row>
    <row r="3213" spans="5:5" x14ac:dyDescent="0.4">
      <c r="E3213"/>
    </row>
    <row r="3214" spans="5:5" x14ac:dyDescent="0.4">
      <c r="E3214"/>
    </row>
    <row r="3215" spans="5:5" x14ac:dyDescent="0.4">
      <c r="E3215"/>
    </row>
    <row r="3216" spans="5:5" x14ac:dyDescent="0.4">
      <c r="E3216"/>
    </row>
    <row r="3217" spans="5:5" x14ac:dyDescent="0.4">
      <c r="E3217"/>
    </row>
    <row r="3218" spans="5:5" x14ac:dyDescent="0.4">
      <c r="E3218"/>
    </row>
    <row r="3219" spans="5:5" x14ac:dyDescent="0.4">
      <c r="E3219"/>
    </row>
    <row r="3220" spans="5:5" x14ac:dyDescent="0.4">
      <c r="E3220"/>
    </row>
    <row r="3221" spans="5:5" x14ac:dyDescent="0.4">
      <c r="E3221"/>
    </row>
    <row r="3222" spans="5:5" x14ac:dyDescent="0.4">
      <c r="E3222"/>
    </row>
    <row r="3223" spans="5:5" x14ac:dyDescent="0.4">
      <c r="E3223"/>
    </row>
    <row r="3224" spans="5:5" x14ac:dyDescent="0.4">
      <c r="E3224"/>
    </row>
    <row r="3225" spans="5:5" x14ac:dyDescent="0.4">
      <c r="E3225"/>
    </row>
    <row r="3226" spans="5:5" x14ac:dyDescent="0.4">
      <c r="E3226"/>
    </row>
    <row r="3227" spans="5:5" x14ac:dyDescent="0.4">
      <c r="E3227"/>
    </row>
    <row r="3228" spans="5:5" x14ac:dyDescent="0.4">
      <c r="E3228"/>
    </row>
    <row r="3229" spans="5:5" x14ac:dyDescent="0.4">
      <c r="E3229"/>
    </row>
    <row r="3230" spans="5:5" x14ac:dyDescent="0.4">
      <c r="E3230"/>
    </row>
    <row r="3231" spans="5:5" x14ac:dyDescent="0.4">
      <c r="E3231"/>
    </row>
    <row r="3232" spans="5:5" x14ac:dyDescent="0.4">
      <c r="E3232"/>
    </row>
    <row r="3233" spans="5:5" x14ac:dyDescent="0.4">
      <c r="E3233"/>
    </row>
    <row r="3234" spans="5:5" x14ac:dyDescent="0.4">
      <c r="E3234"/>
    </row>
    <row r="3235" spans="5:5" x14ac:dyDescent="0.4">
      <c r="E3235"/>
    </row>
    <row r="3236" spans="5:5" x14ac:dyDescent="0.4">
      <c r="E3236"/>
    </row>
    <row r="3237" spans="5:5" x14ac:dyDescent="0.4">
      <c r="E3237"/>
    </row>
    <row r="3238" spans="5:5" x14ac:dyDescent="0.4">
      <c r="E3238"/>
    </row>
    <row r="3239" spans="5:5" x14ac:dyDescent="0.4">
      <c r="E3239"/>
    </row>
    <row r="3240" spans="5:5" x14ac:dyDescent="0.4">
      <c r="E3240"/>
    </row>
    <row r="3241" spans="5:5" x14ac:dyDescent="0.4">
      <c r="E3241"/>
    </row>
    <row r="3242" spans="5:5" x14ac:dyDescent="0.4">
      <c r="E3242"/>
    </row>
    <row r="3243" spans="5:5" x14ac:dyDescent="0.4">
      <c r="E3243"/>
    </row>
    <row r="3244" spans="5:5" x14ac:dyDescent="0.4">
      <c r="E3244"/>
    </row>
    <row r="3245" spans="5:5" x14ac:dyDescent="0.4">
      <c r="E3245"/>
    </row>
    <row r="3246" spans="5:5" x14ac:dyDescent="0.4">
      <c r="E3246"/>
    </row>
    <row r="3247" spans="5:5" x14ac:dyDescent="0.4">
      <c r="E3247"/>
    </row>
    <row r="3248" spans="5:5" x14ac:dyDescent="0.4">
      <c r="E3248"/>
    </row>
    <row r="3249" spans="5:5" x14ac:dyDescent="0.4">
      <c r="E3249"/>
    </row>
    <row r="3250" spans="5:5" x14ac:dyDescent="0.4">
      <c r="E3250"/>
    </row>
    <row r="3251" spans="5:5" x14ac:dyDescent="0.4">
      <c r="E3251"/>
    </row>
    <row r="3252" spans="5:5" x14ac:dyDescent="0.4">
      <c r="E3252"/>
    </row>
    <row r="3253" spans="5:5" x14ac:dyDescent="0.4">
      <c r="E3253"/>
    </row>
    <row r="3254" spans="5:5" x14ac:dyDescent="0.4">
      <c r="E3254"/>
    </row>
    <row r="3255" spans="5:5" x14ac:dyDescent="0.4">
      <c r="E3255"/>
    </row>
    <row r="3256" spans="5:5" x14ac:dyDescent="0.4">
      <c r="E3256"/>
    </row>
    <row r="3257" spans="5:5" x14ac:dyDescent="0.4">
      <c r="E3257"/>
    </row>
    <row r="3258" spans="5:5" x14ac:dyDescent="0.4">
      <c r="E3258"/>
    </row>
    <row r="3259" spans="5:5" x14ac:dyDescent="0.4">
      <c r="E3259"/>
    </row>
    <row r="3260" spans="5:5" x14ac:dyDescent="0.4">
      <c r="E3260"/>
    </row>
    <row r="3261" spans="5:5" x14ac:dyDescent="0.4">
      <c r="E3261"/>
    </row>
    <row r="3262" spans="5:5" x14ac:dyDescent="0.4">
      <c r="E3262"/>
    </row>
    <row r="3263" spans="5:5" x14ac:dyDescent="0.4">
      <c r="E3263"/>
    </row>
    <row r="3264" spans="5:5" x14ac:dyDescent="0.4">
      <c r="E3264"/>
    </row>
    <row r="3265" spans="5:5" x14ac:dyDescent="0.4">
      <c r="E3265"/>
    </row>
    <row r="3266" spans="5:5" x14ac:dyDescent="0.4">
      <c r="E3266"/>
    </row>
    <row r="3267" spans="5:5" x14ac:dyDescent="0.4">
      <c r="E3267"/>
    </row>
    <row r="3268" spans="5:5" x14ac:dyDescent="0.4">
      <c r="E3268"/>
    </row>
    <row r="3269" spans="5:5" x14ac:dyDescent="0.4">
      <c r="E3269"/>
    </row>
    <row r="3270" spans="5:5" x14ac:dyDescent="0.4">
      <c r="E3270"/>
    </row>
    <row r="3271" spans="5:5" x14ac:dyDescent="0.4">
      <c r="E3271"/>
    </row>
    <row r="3272" spans="5:5" x14ac:dyDescent="0.4">
      <c r="E3272"/>
    </row>
    <row r="3273" spans="5:5" x14ac:dyDescent="0.4">
      <c r="E3273"/>
    </row>
    <row r="3274" spans="5:5" x14ac:dyDescent="0.4">
      <c r="E3274"/>
    </row>
    <row r="3275" spans="5:5" x14ac:dyDescent="0.4">
      <c r="E3275"/>
    </row>
    <row r="3276" spans="5:5" x14ac:dyDescent="0.4">
      <c r="E3276"/>
    </row>
    <row r="3277" spans="5:5" x14ac:dyDescent="0.4">
      <c r="E3277"/>
    </row>
    <row r="3278" spans="5:5" x14ac:dyDescent="0.4">
      <c r="E3278"/>
    </row>
    <row r="3279" spans="5:5" x14ac:dyDescent="0.4">
      <c r="E3279"/>
    </row>
    <row r="3280" spans="5:5" x14ac:dyDescent="0.4">
      <c r="E3280"/>
    </row>
    <row r="3281" spans="5:5" x14ac:dyDescent="0.4">
      <c r="E3281"/>
    </row>
    <row r="3282" spans="5:5" x14ac:dyDescent="0.4">
      <c r="E3282"/>
    </row>
    <row r="3283" spans="5:5" x14ac:dyDescent="0.4">
      <c r="E3283"/>
    </row>
    <row r="3284" spans="5:5" x14ac:dyDescent="0.4">
      <c r="E3284"/>
    </row>
    <row r="3285" spans="5:5" x14ac:dyDescent="0.4">
      <c r="E3285"/>
    </row>
    <row r="3286" spans="5:5" x14ac:dyDescent="0.4">
      <c r="E3286"/>
    </row>
    <row r="3287" spans="5:5" x14ac:dyDescent="0.4">
      <c r="E3287"/>
    </row>
    <row r="3288" spans="5:5" x14ac:dyDescent="0.4">
      <c r="E3288"/>
    </row>
    <row r="3289" spans="5:5" x14ac:dyDescent="0.4">
      <c r="E3289"/>
    </row>
    <row r="3290" spans="5:5" x14ac:dyDescent="0.4">
      <c r="E3290"/>
    </row>
    <row r="3291" spans="5:5" x14ac:dyDescent="0.4">
      <c r="E3291"/>
    </row>
    <row r="3292" spans="5:5" x14ac:dyDescent="0.4">
      <c r="E3292"/>
    </row>
    <row r="3293" spans="5:5" x14ac:dyDescent="0.4">
      <c r="E3293"/>
    </row>
    <row r="3294" spans="5:5" x14ac:dyDescent="0.4">
      <c r="E3294"/>
    </row>
    <row r="3295" spans="5:5" x14ac:dyDescent="0.4">
      <c r="E3295"/>
    </row>
    <row r="3296" spans="5:5" x14ac:dyDescent="0.4">
      <c r="E3296"/>
    </row>
    <row r="3297" spans="5:5" x14ac:dyDescent="0.4">
      <c r="E3297"/>
    </row>
    <row r="3298" spans="5:5" x14ac:dyDescent="0.4">
      <c r="E3298"/>
    </row>
    <row r="3299" spans="5:5" x14ac:dyDescent="0.4">
      <c r="E3299"/>
    </row>
    <row r="3300" spans="5:5" x14ac:dyDescent="0.4">
      <c r="E3300"/>
    </row>
    <row r="3301" spans="5:5" x14ac:dyDescent="0.4">
      <c r="E3301"/>
    </row>
    <row r="3302" spans="5:5" x14ac:dyDescent="0.4">
      <c r="E3302"/>
    </row>
    <row r="3303" spans="5:5" x14ac:dyDescent="0.4">
      <c r="E3303"/>
    </row>
    <row r="3304" spans="5:5" x14ac:dyDescent="0.4">
      <c r="E3304"/>
    </row>
    <row r="3305" spans="5:5" x14ac:dyDescent="0.4">
      <c r="E3305"/>
    </row>
    <row r="3306" spans="5:5" x14ac:dyDescent="0.4">
      <c r="E3306"/>
    </row>
    <row r="3307" spans="5:5" x14ac:dyDescent="0.4">
      <c r="E3307"/>
    </row>
    <row r="3308" spans="5:5" x14ac:dyDescent="0.4">
      <c r="E3308"/>
    </row>
    <row r="3309" spans="5:5" x14ac:dyDescent="0.4">
      <c r="E3309"/>
    </row>
    <row r="3310" spans="5:5" x14ac:dyDescent="0.4">
      <c r="E3310"/>
    </row>
    <row r="3311" spans="5:5" x14ac:dyDescent="0.4">
      <c r="E3311"/>
    </row>
    <row r="3312" spans="5:5" x14ac:dyDescent="0.4">
      <c r="E3312"/>
    </row>
    <row r="3313" spans="5:5" x14ac:dyDescent="0.4">
      <c r="E3313"/>
    </row>
    <row r="3314" spans="5:5" x14ac:dyDescent="0.4">
      <c r="E3314"/>
    </row>
    <row r="3315" spans="5:5" x14ac:dyDescent="0.4">
      <c r="E3315"/>
    </row>
    <row r="3316" spans="5:5" x14ac:dyDescent="0.4">
      <c r="E3316"/>
    </row>
    <row r="3317" spans="5:5" x14ac:dyDescent="0.4">
      <c r="E3317"/>
    </row>
    <row r="3318" spans="5:5" x14ac:dyDescent="0.4">
      <c r="E3318"/>
    </row>
    <row r="3319" spans="5:5" x14ac:dyDescent="0.4">
      <c r="E3319"/>
    </row>
    <row r="3320" spans="5:5" x14ac:dyDescent="0.4">
      <c r="E3320"/>
    </row>
    <row r="3321" spans="5:5" x14ac:dyDescent="0.4">
      <c r="E3321"/>
    </row>
    <row r="3322" spans="5:5" x14ac:dyDescent="0.4">
      <c r="E3322"/>
    </row>
    <row r="3323" spans="5:5" x14ac:dyDescent="0.4">
      <c r="E3323"/>
    </row>
    <row r="3324" spans="5:5" x14ac:dyDescent="0.4">
      <c r="E3324"/>
    </row>
    <row r="3325" spans="5:5" x14ac:dyDescent="0.4">
      <c r="E3325"/>
    </row>
    <row r="3326" spans="5:5" x14ac:dyDescent="0.4">
      <c r="E3326"/>
    </row>
    <row r="3327" spans="5:5" x14ac:dyDescent="0.4">
      <c r="E3327"/>
    </row>
    <row r="3328" spans="5:5" x14ac:dyDescent="0.4">
      <c r="E3328"/>
    </row>
    <row r="3329" spans="5:5" x14ac:dyDescent="0.4">
      <c r="E3329"/>
    </row>
    <row r="3330" spans="5:5" x14ac:dyDescent="0.4">
      <c r="E3330"/>
    </row>
    <row r="3331" spans="5:5" x14ac:dyDescent="0.4">
      <c r="E3331"/>
    </row>
    <row r="3332" spans="5:5" x14ac:dyDescent="0.4">
      <c r="E3332"/>
    </row>
    <row r="3333" spans="5:5" x14ac:dyDescent="0.4">
      <c r="E3333"/>
    </row>
    <row r="3334" spans="5:5" x14ac:dyDescent="0.4">
      <c r="E3334"/>
    </row>
    <row r="3335" spans="5:5" x14ac:dyDescent="0.4">
      <c r="E3335"/>
    </row>
    <row r="3336" spans="5:5" x14ac:dyDescent="0.4">
      <c r="E3336"/>
    </row>
    <row r="3337" spans="5:5" x14ac:dyDescent="0.4">
      <c r="E3337"/>
    </row>
    <row r="3338" spans="5:5" x14ac:dyDescent="0.4">
      <c r="E3338"/>
    </row>
    <row r="3339" spans="5:5" x14ac:dyDescent="0.4">
      <c r="E3339"/>
    </row>
    <row r="3340" spans="5:5" x14ac:dyDescent="0.4">
      <c r="E3340"/>
    </row>
    <row r="3341" spans="5:5" x14ac:dyDescent="0.4">
      <c r="E3341"/>
    </row>
    <row r="3342" spans="5:5" x14ac:dyDescent="0.4">
      <c r="E3342"/>
    </row>
    <row r="3343" spans="5:5" x14ac:dyDescent="0.4">
      <c r="E3343"/>
    </row>
    <row r="3344" spans="5:5" x14ac:dyDescent="0.4">
      <c r="E3344"/>
    </row>
    <row r="3345" spans="5:5" x14ac:dyDescent="0.4">
      <c r="E3345"/>
    </row>
    <row r="3346" spans="5:5" x14ac:dyDescent="0.4">
      <c r="E3346"/>
    </row>
    <row r="3347" spans="5:5" x14ac:dyDescent="0.4">
      <c r="E3347"/>
    </row>
    <row r="3348" spans="5:5" x14ac:dyDescent="0.4">
      <c r="E3348"/>
    </row>
    <row r="3349" spans="5:5" x14ac:dyDescent="0.4">
      <c r="E3349"/>
    </row>
    <row r="3350" spans="5:5" x14ac:dyDescent="0.4">
      <c r="E3350"/>
    </row>
    <row r="3351" spans="5:5" x14ac:dyDescent="0.4">
      <c r="E3351"/>
    </row>
    <row r="3352" spans="5:5" x14ac:dyDescent="0.4">
      <c r="E3352"/>
    </row>
    <row r="3353" spans="5:5" x14ac:dyDescent="0.4">
      <c r="E3353"/>
    </row>
    <row r="3354" spans="5:5" x14ac:dyDescent="0.4">
      <c r="E3354"/>
    </row>
    <row r="3355" spans="5:5" x14ac:dyDescent="0.4">
      <c r="E3355"/>
    </row>
    <row r="3356" spans="5:5" x14ac:dyDescent="0.4">
      <c r="E3356"/>
    </row>
    <row r="3357" spans="5:5" x14ac:dyDescent="0.4">
      <c r="E3357"/>
    </row>
    <row r="3358" spans="5:5" x14ac:dyDescent="0.4">
      <c r="E3358"/>
    </row>
    <row r="3359" spans="5:5" x14ac:dyDescent="0.4">
      <c r="E3359"/>
    </row>
    <row r="3360" spans="5:5" x14ac:dyDescent="0.4">
      <c r="E3360"/>
    </row>
    <row r="3361" spans="5:5" x14ac:dyDescent="0.4">
      <c r="E3361"/>
    </row>
    <row r="3362" spans="5:5" x14ac:dyDescent="0.4">
      <c r="E3362"/>
    </row>
    <row r="3363" spans="5:5" x14ac:dyDescent="0.4">
      <c r="E3363"/>
    </row>
    <row r="3364" spans="5:5" x14ac:dyDescent="0.4">
      <c r="E3364"/>
    </row>
    <row r="3365" spans="5:5" x14ac:dyDescent="0.4">
      <c r="E3365"/>
    </row>
    <row r="3366" spans="5:5" x14ac:dyDescent="0.4">
      <c r="E3366"/>
    </row>
    <row r="3367" spans="5:5" x14ac:dyDescent="0.4">
      <c r="E3367"/>
    </row>
    <row r="3368" spans="5:5" x14ac:dyDescent="0.4">
      <c r="E3368"/>
    </row>
    <row r="3369" spans="5:5" x14ac:dyDescent="0.4">
      <c r="E3369"/>
    </row>
    <row r="3370" spans="5:5" x14ac:dyDescent="0.4">
      <c r="E3370"/>
    </row>
    <row r="3371" spans="5:5" x14ac:dyDescent="0.4">
      <c r="E3371"/>
    </row>
    <row r="3372" spans="5:5" x14ac:dyDescent="0.4">
      <c r="E3372"/>
    </row>
    <row r="3373" spans="5:5" x14ac:dyDescent="0.4">
      <c r="E3373"/>
    </row>
    <row r="3374" spans="5:5" x14ac:dyDescent="0.4">
      <c r="E3374"/>
    </row>
    <row r="3375" spans="5:5" x14ac:dyDescent="0.4">
      <c r="E3375"/>
    </row>
    <row r="3376" spans="5:5" x14ac:dyDescent="0.4">
      <c r="E3376"/>
    </row>
    <row r="3377" spans="5:5" x14ac:dyDescent="0.4">
      <c r="E3377"/>
    </row>
    <row r="3378" spans="5:5" x14ac:dyDescent="0.4">
      <c r="E3378"/>
    </row>
    <row r="3379" spans="5:5" x14ac:dyDescent="0.4">
      <c r="E3379"/>
    </row>
    <row r="3380" spans="5:5" x14ac:dyDescent="0.4">
      <c r="E3380"/>
    </row>
    <row r="3381" spans="5:5" x14ac:dyDescent="0.4">
      <c r="E3381"/>
    </row>
    <row r="3382" spans="5:5" x14ac:dyDescent="0.4">
      <c r="E3382"/>
    </row>
    <row r="3383" spans="5:5" x14ac:dyDescent="0.4">
      <c r="E3383"/>
    </row>
    <row r="3384" spans="5:5" x14ac:dyDescent="0.4">
      <c r="E3384"/>
    </row>
    <row r="3385" spans="5:5" x14ac:dyDescent="0.4">
      <c r="E3385"/>
    </row>
    <row r="3386" spans="5:5" x14ac:dyDescent="0.4">
      <c r="E3386"/>
    </row>
    <row r="3387" spans="5:5" x14ac:dyDescent="0.4">
      <c r="E3387"/>
    </row>
    <row r="3388" spans="5:5" x14ac:dyDescent="0.4">
      <c r="E3388"/>
    </row>
    <row r="3389" spans="5:5" x14ac:dyDescent="0.4">
      <c r="E3389"/>
    </row>
    <row r="3390" spans="5:5" x14ac:dyDescent="0.4">
      <c r="E3390"/>
    </row>
    <row r="3391" spans="5:5" x14ac:dyDescent="0.4">
      <c r="E3391"/>
    </row>
    <row r="3392" spans="5:5" x14ac:dyDescent="0.4">
      <c r="E3392"/>
    </row>
    <row r="3393" spans="5:5" x14ac:dyDescent="0.4">
      <c r="E3393"/>
    </row>
    <row r="3394" spans="5:5" x14ac:dyDescent="0.4">
      <c r="E3394"/>
    </row>
    <row r="3395" spans="5:5" x14ac:dyDescent="0.4">
      <c r="E3395"/>
    </row>
    <row r="3396" spans="5:5" x14ac:dyDescent="0.4">
      <c r="E3396"/>
    </row>
    <row r="3397" spans="5:5" x14ac:dyDescent="0.4">
      <c r="E3397"/>
    </row>
    <row r="3398" spans="5:5" x14ac:dyDescent="0.4">
      <c r="E3398"/>
    </row>
    <row r="3399" spans="5:5" x14ac:dyDescent="0.4">
      <c r="E3399"/>
    </row>
    <row r="3400" spans="5:5" x14ac:dyDescent="0.4">
      <c r="E3400"/>
    </row>
    <row r="3401" spans="5:5" x14ac:dyDescent="0.4">
      <c r="E3401"/>
    </row>
    <row r="3402" spans="5:5" x14ac:dyDescent="0.4">
      <c r="E3402"/>
    </row>
    <row r="3403" spans="5:5" x14ac:dyDescent="0.4">
      <c r="E3403"/>
    </row>
    <row r="3404" spans="5:5" x14ac:dyDescent="0.4">
      <c r="E3404"/>
    </row>
    <row r="3405" spans="5:5" x14ac:dyDescent="0.4">
      <c r="E3405"/>
    </row>
    <row r="3406" spans="5:5" x14ac:dyDescent="0.4">
      <c r="E3406"/>
    </row>
    <row r="3407" spans="5:5" x14ac:dyDescent="0.4">
      <c r="E3407"/>
    </row>
    <row r="3408" spans="5:5" x14ac:dyDescent="0.4">
      <c r="E3408"/>
    </row>
    <row r="3409" spans="5:5" x14ac:dyDescent="0.4">
      <c r="E3409"/>
    </row>
    <row r="3410" spans="5:5" x14ac:dyDescent="0.4">
      <c r="E3410"/>
    </row>
    <row r="3411" spans="5:5" x14ac:dyDescent="0.4">
      <c r="E3411"/>
    </row>
    <row r="3412" spans="5:5" x14ac:dyDescent="0.4">
      <c r="E3412"/>
    </row>
    <row r="3413" spans="5:5" x14ac:dyDescent="0.4">
      <c r="E3413"/>
    </row>
    <row r="3414" spans="5:5" x14ac:dyDescent="0.4">
      <c r="E3414"/>
    </row>
    <row r="3415" spans="5:5" x14ac:dyDescent="0.4">
      <c r="E3415"/>
    </row>
    <row r="3416" spans="5:5" x14ac:dyDescent="0.4">
      <c r="E3416"/>
    </row>
    <row r="3417" spans="5:5" x14ac:dyDescent="0.4">
      <c r="E3417"/>
    </row>
    <row r="3418" spans="5:5" x14ac:dyDescent="0.4">
      <c r="E3418"/>
    </row>
    <row r="3419" spans="5:5" x14ac:dyDescent="0.4">
      <c r="E3419"/>
    </row>
    <row r="3420" spans="5:5" x14ac:dyDescent="0.4">
      <c r="E3420"/>
    </row>
    <row r="3421" spans="5:5" x14ac:dyDescent="0.4">
      <c r="E3421"/>
    </row>
    <row r="3422" spans="5:5" x14ac:dyDescent="0.4">
      <c r="E3422"/>
    </row>
    <row r="3423" spans="5:5" x14ac:dyDescent="0.4">
      <c r="E3423"/>
    </row>
    <row r="3424" spans="5:5" x14ac:dyDescent="0.4">
      <c r="E3424"/>
    </row>
    <row r="3425" spans="5:5" x14ac:dyDescent="0.4">
      <c r="E3425"/>
    </row>
    <row r="3426" spans="5:5" x14ac:dyDescent="0.4">
      <c r="E3426"/>
    </row>
    <row r="3427" spans="5:5" x14ac:dyDescent="0.4">
      <c r="E3427"/>
    </row>
    <row r="3428" spans="5:5" x14ac:dyDescent="0.4">
      <c r="E3428"/>
    </row>
    <row r="3429" spans="5:5" x14ac:dyDescent="0.4">
      <c r="E3429"/>
    </row>
    <row r="3430" spans="5:5" x14ac:dyDescent="0.4">
      <c r="E3430"/>
    </row>
    <row r="3431" spans="5:5" x14ac:dyDescent="0.4">
      <c r="E3431"/>
    </row>
    <row r="3432" spans="5:5" x14ac:dyDescent="0.4">
      <c r="E3432"/>
    </row>
    <row r="3433" spans="5:5" x14ac:dyDescent="0.4">
      <c r="E3433"/>
    </row>
    <row r="3434" spans="5:5" x14ac:dyDescent="0.4">
      <c r="E3434"/>
    </row>
    <row r="3435" spans="5:5" x14ac:dyDescent="0.4">
      <c r="E3435"/>
    </row>
    <row r="3436" spans="5:5" x14ac:dyDescent="0.4">
      <c r="E3436"/>
    </row>
    <row r="3437" spans="5:5" x14ac:dyDescent="0.4">
      <c r="E3437"/>
    </row>
    <row r="3438" spans="5:5" x14ac:dyDescent="0.4">
      <c r="E3438"/>
    </row>
    <row r="3439" spans="5:5" x14ac:dyDescent="0.4">
      <c r="E3439"/>
    </row>
    <row r="3440" spans="5:5" x14ac:dyDescent="0.4">
      <c r="E3440"/>
    </row>
    <row r="3441" spans="5:5" x14ac:dyDescent="0.4">
      <c r="E3441"/>
    </row>
    <row r="3442" spans="5:5" x14ac:dyDescent="0.4">
      <c r="E3442"/>
    </row>
    <row r="3443" spans="5:5" x14ac:dyDescent="0.4">
      <c r="E3443"/>
    </row>
    <row r="3444" spans="5:5" x14ac:dyDescent="0.4">
      <c r="E3444"/>
    </row>
    <row r="3445" spans="5:5" x14ac:dyDescent="0.4">
      <c r="E3445"/>
    </row>
    <row r="3446" spans="5:5" x14ac:dyDescent="0.4">
      <c r="E3446"/>
    </row>
    <row r="3447" spans="5:5" x14ac:dyDescent="0.4">
      <c r="E3447"/>
    </row>
    <row r="3448" spans="5:5" x14ac:dyDescent="0.4">
      <c r="E3448"/>
    </row>
    <row r="3449" spans="5:5" x14ac:dyDescent="0.4">
      <c r="E3449"/>
    </row>
    <row r="3450" spans="5:5" x14ac:dyDescent="0.4">
      <c r="E3450"/>
    </row>
    <row r="3451" spans="5:5" x14ac:dyDescent="0.4">
      <c r="E3451"/>
    </row>
    <row r="3452" spans="5:5" x14ac:dyDescent="0.4">
      <c r="E3452"/>
    </row>
    <row r="3453" spans="5:5" x14ac:dyDescent="0.4">
      <c r="E3453"/>
    </row>
    <row r="3454" spans="5:5" x14ac:dyDescent="0.4">
      <c r="E3454"/>
    </row>
    <row r="3455" spans="5:5" x14ac:dyDescent="0.4">
      <c r="E3455"/>
    </row>
    <row r="3456" spans="5:5" x14ac:dyDescent="0.4">
      <c r="E3456"/>
    </row>
    <row r="3457" spans="5:5" x14ac:dyDescent="0.4">
      <c r="E3457"/>
    </row>
    <row r="3458" spans="5:5" x14ac:dyDescent="0.4">
      <c r="E3458"/>
    </row>
    <row r="3459" spans="5:5" x14ac:dyDescent="0.4">
      <c r="E3459"/>
    </row>
    <row r="3460" spans="5:5" x14ac:dyDescent="0.4">
      <c r="E3460"/>
    </row>
    <row r="3461" spans="5:5" x14ac:dyDescent="0.4">
      <c r="E3461"/>
    </row>
    <row r="3462" spans="5:5" x14ac:dyDescent="0.4">
      <c r="E3462"/>
    </row>
    <row r="3463" spans="5:5" x14ac:dyDescent="0.4">
      <c r="E3463"/>
    </row>
    <row r="3464" spans="5:5" x14ac:dyDescent="0.4">
      <c r="E3464"/>
    </row>
    <row r="3465" spans="5:5" x14ac:dyDescent="0.4">
      <c r="E3465"/>
    </row>
    <row r="3466" spans="5:5" x14ac:dyDescent="0.4">
      <c r="E3466"/>
    </row>
    <row r="3467" spans="5:5" x14ac:dyDescent="0.4">
      <c r="E3467"/>
    </row>
    <row r="3468" spans="5:5" x14ac:dyDescent="0.4">
      <c r="E3468"/>
    </row>
    <row r="3469" spans="5:5" x14ac:dyDescent="0.4">
      <c r="E3469"/>
    </row>
    <row r="3470" spans="5:5" x14ac:dyDescent="0.4">
      <c r="E3470"/>
    </row>
    <row r="3471" spans="5:5" x14ac:dyDescent="0.4">
      <c r="E3471"/>
    </row>
    <row r="3472" spans="5:5" x14ac:dyDescent="0.4">
      <c r="E3472"/>
    </row>
    <row r="3473" spans="5:5" x14ac:dyDescent="0.4">
      <c r="E3473"/>
    </row>
    <row r="3474" spans="5:5" x14ac:dyDescent="0.4">
      <c r="E3474"/>
    </row>
    <row r="3475" spans="5:5" x14ac:dyDescent="0.4">
      <c r="E3475"/>
    </row>
    <row r="3476" spans="5:5" x14ac:dyDescent="0.4">
      <c r="E3476"/>
    </row>
    <row r="3477" spans="5:5" x14ac:dyDescent="0.4">
      <c r="E3477"/>
    </row>
    <row r="3478" spans="5:5" x14ac:dyDescent="0.4">
      <c r="E3478"/>
    </row>
    <row r="3479" spans="5:5" x14ac:dyDescent="0.4">
      <c r="E3479"/>
    </row>
    <row r="3480" spans="5:5" x14ac:dyDescent="0.4">
      <c r="E3480"/>
    </row>
    <row r="3481" spans="5:5" x14ac:dyDescent="0.4">
      <c r="E3481"/>
    </row>
    <row r="3482" spans="5:5" x14ac:dyDescent="0.4">
      <c r="E3482"/>
    </row>
    <row r="3483" spans="5:5" x14ac:dyDescent="0.4">
      <c r="E3483"/>
    </row>
    <row r="3484" spans="5:5" x14ac:dyDescent="0.4">
      <c r="E3484"/>
    </row>
    <row r="3485" spans="5:5" x14ac:dyDescent="0.4">
      <c r="E3485"/>
    </row>
    <row r="3486" spans="5:5" x14ac:dyDescent="0.4">
      <c r="E3486"/>
    </row>
    <row r="3487" spans="5:5" x14ac:dyDescent="0.4">
      <c r="E3487"/>
    </row>
    <row r="3488" spans="5:5" x14ac:dyDescent="0.4">
      <c r="E3488"/>
    </row>
    <row r="3489" spans="5:5" x14ac:dyDescent="0.4">
      <c r="E3489"/>
    </row>
    <row r="3490" spans="5:5" x14ac:dyDescent="0.4">
      <c r="E3490"/>
    </row>
    <row r="3491" spans="5:5" x14ac:dyDescent="0.4">
      <c r="E3491"/>
    </row>
    <row r="3492" spans="5:5" x14ac:dyDescent="0.4">
      <c r="E3492"/>
    </row>
    <row r="3493" spans="5:5" x14ac:dyDescent="0.4">
      <c r="E3493"/>
    </row>
    <row r="3494" spans="5:5" x14ac:dyDescent="0.4">
      <c r="E3494"/>
    </row>
    <row r="3495" spans="5:5" x14ac:dyDescent="0.4">
      <c r="E3495"/>
    </row>
    <row r="3496" spans="5:5" x14ac:dyDescent="0.4">
      <c r="E3496"/>
    </row>
    <row r="3497" spans="5:5" x14ac:dyDescent="0.4">
      <c r="E3497"/>
    </row>
    <row r="3498" spans="5:5" x14ac:dyDescent="0.4">
      <c r="E3498"/>
    </row>
    <row r="3499" spans="5:5" x14ac:dyDescent="0.4">
      <c r="E3499"/>
    </row>
    <row r="3500" spans="5:5" x14ac:dyDescent="0.4">
      <c r="E3500"/>
    </row>
    <row r="3501" spans="5:5" x14ac:dyDescent="0.4">
      <c r="E3501"/>
    </row>
    <row r="3502" spans="5:5" x14ac:dyDescent="0.4">
      <c r="E3502"/>
    </row>
    <row r="3503" spans="5:5" x14ac:dyDescent="0.4">
      <c r="E3503"/>
    </row>
    <row r="3504" spans="5:5" x14ac:dyDescent="0.4">
      <c r="E3504"/>
    </row>
    <row r="3505" spans="5:5" x14ac:dyDescent="0.4">
      <c r="E3505"/>
    </row>
    <row r="3506" spans="5:5" x14ac:dyDescent="0.4">
      <c r="E3506"/>
    </row>
    <row r="3507" spans="5:5" x14ac:dyDescent="0.4">
      <c r="E3507"/>
    </row>
    <row r="3508" spans="5:5" x14ac:dyDescent="0.4">
      <c r="E3508"/>
    </row>
    <row r="3509" spans="5:5" x14ac:dyDescent="0.4">
      <c r="E3509"/>
    </row>
    <row r="3510" spans="5:5" x14ac:dyDescent="0.4">
      <c r="E3510"/>
    </row>
    <row r="3511" spans="5:5" x14ac:dyDescent="0.4">
      <c r="E3511"/>
    </row>
    <row r="3512" spans="5:5" x14ac:dyDescent="0.4">
      <c r="E3512"/>
    </row>
    <row r="3513" spans="5:5" x14ac:dyDescent="0.4">
      <c r="E3513"/>
    </row>
    <row r="3514" spans="5:5" x14ac:dyDescent="0.4">
      <c r="E3514"/>
    </row>
    <row r="3515" spans="5:5" x14ac:dyDescent="0.4">
      <c r="E3515"/>
    </row>
    <row r="3516" spans="5:5" x14ac:dyDescent="0.4">
      <c r="E3516"/>
    </row>
    <row r="3517" spans="5:5" x14ac:dyDescent="0.4">
      <c r="E3517"/>
    </row>
    <row r="3518" spans="5:5" x14ac:dyDescent="0.4">
      <c r="E3518"/>
    </row>
    <row r="3519" spans="5:5" x14ac:dyDescent="0.4">
      <c r="E3519"/>
    </row>
    <row r="3520" spans="5:5" x14ac:dyDescent="0.4">
      <c r="E3520"/>
    </row>
    <row r="3521" spans="5:5" x14ac:dyDescent="0.4">
      <c r="E3521"/>
    </row>
    <row r="3522" spans="5:5" x14ac:dyDescent="0.4">
      <c r="E3522"/>
    </row>
    <row r="3523" spans="5:5" x14ac:dyDescent="0.4">
      <c r="E3523"/>
    </row>
    <row r="3524" spans="5:5" x14ac:dyDescent="0.4">
      <c r="E3524"/>
    </row>
    <row r="3525" spans="5:5" x14ac:dyDescent="0.4">
      <c r="E3525"/>
    </row>
    <row r="3526" spans="5:5" x14ac:dyDescent="0.4">
      <c r="E3526"/>
    </row>
    <row r="3527" spans="5:5" x14ac:dyDescent="0.4">
      <c r="E3527"/>
    </row>
    <row r="3528" spans="5:5" x14ac:dyDescent="0.4">
      <c r="E3528"/>
    </row>
    <row r="3529" spans="5:5" x14ac:dyDescent="0.4">
      <c r="E3529"/>
    </row>
    <row r="3530" spans="5:5" x14ac:dyDescent="0.4">
      <c r="E3530"/>
    </row>
    <row r="3531" spans="5:5" x14ac:dyDescent="0.4">
      <c r="E3531"/>
    </row>
    <row r="3532" spans="5:5" x14ac:dyDescent="0.4">
      <c r="E3532"/>
    </row>
    <row r="3533" spans="5:5" x14ac:dyDescent="0.4">
      <c r="E3533"/>
    </row>
    <row r="3534" spans="5:5" x14ac:dyDescent="0.4">
      <c r="E3534"/>
    </row>
    <row r="3535" spans="5:5" x14ac:dyDescent="0.4">
      <c r="E3535"/>
    </row>
    <row r="3536" spans="5:5" x14ac:dyDescent="0.4">
      <c r="E3536"/>
    </row>
    <row r="3537" spans="5:5" x14ac:dyDescent="0.4">
      <c r="E3537"/>
    </row>
    <row r="3538" spans="5:5" x14ac:dyDescent="0.4">
      <c r="E3538"/>
    </row>
    <row r="3539" spans="5:5" x14ac:dyDescent="0.4">
      <c r="E3539"/>
    </row>
    <row r="3540" spans="5:5" x14ac:dyDescent="0.4">
      <c r="E3540"/>
    </row>
    <row r="3541" spans="5:5" x14ac:dyDescent="0.4">
      <c r="E3541"/>
    </row>
    <row r="3542" spans="5:5" x14ac:dyDescent="0.4">
      <c r="E3542"/>
    </row>
    <row r="3543" spans="5:5" x14ac:dyDescent="0.4">
      <c r="E3543"/>
    </row>
    <row r="3544" spans="5:5" x14ac:dyDescent="0.4">
      <c r="E3544"/>
    </row>
    <row r="3545" spans="5:5" x14ac:dyDescent="0.4">
      <c r="E3545"/>
    </row>
    <row r="3546" spans="5:5" x14ac:dyDescent="0.4">
      <c r="E3546"/>
    </row>
    <row r="3547" spans="5:5" x14ac:dyDescent="0.4">
      <c r="E3547"/>
    </row>
    <row r="3548" spans="5:5" x14ac:dyDescent="0.4">
      <c r="E3548"/>
    </row>
    <row r="3549" spans="5:5" x14ac:dyDescent="0.4">
      <c r="E3549"/>
    </row>
    <row r="3550" spans="5:5" x14ac:dyDescent="0.4">
      <c r="E3550"/>
    </row>
    <row r="3551" spans="5:5" x14ac:dyDescent="0.4">
      <c r="E3551"/>
    </row>
    <row r="3552" spans="5:5" x14ac:dyDescent="0.4">
      <c r="E3552"/>
    </row>
    <row r="3553" spans="5:5" x14ac:dyDescent="0.4">
      <c r="E3553"/>
    </row>
    <row r="3554" spans="5:5" x14ac:dyDescent="0.4">
      <c r="E3554"/>
    </row>
    <row r="3555" spans="5:5" x14ac:dyDescent="0.4">
      <c r="E3555"/>
    </row>
    <row r="3556" spans="5:5" x14ac:dyDescent="0.4">
      <c r="E3556"/>
    </row>
    <row r="3557" spans="5:5" x14ac:dyDescent="0.4">
      <c r="E3557"/>
    </row>
    <row r="3558" spans="5:5" x14ac:dyDescent="0.4">
      <c r="E3558"/>
    </row>
    <row r="3559" spans="5:5" x14ac:dyDescent="0.4">
      <c r="E3559"/>
    </row>
    <row r="3560" spans="5:5" x14ac:dyDescent="0.4">
      <c r="E3560"/>
    </row>
    <row r="3561" spans="5:5" x14ac:dyDescent="0.4">
      <c r="E3561"/>
    </row>
    <row r="3562" spans="5:5" x14ac:dyDescent="0.4">
      <c r="E3562"/>
    </row>
    <row r="3563" spans="5:5" x14ac:dyDescent="0.4">
      <c r="E3563"/>
    </row>
    <row r="3564" spans="5:5" x14ac:dyDescent="0.4">
      <c r="E3564"/>
    </row>
    <row r="3565" spans="5:5" x14ac:dyDescent="0.4">
      <c r="E3565"/>
    </row>
    <row r="3566" spans="5:5" x14ac:dyDescent="0.4">
      <c r="E3566"/>
    </row>
    <row r="3567" spans="5:5" x14ac:dyDescent="0.4">
      <c r="E3567"/>
    </row>
    <row r="3568" spans="5:5" x14ac:dyDescent="0.4">
      <c r="E3568"/>
    </row>
    <row r="3569" spans="5:5" x14ac:dyDescent="0.4">
      <c r="E3569"/>
    </row>
    <row r="3570" spans="5:5" x14ac:dyDescent="0.4">
      <c r="E3570"/>
    </row>
    <row r="3571" spans="5:5" x14ac:dyDescent="0.4">
      <c r="E3571"/>
    </row>
    <row r="3572" spans="5:5" x14ac:dyDescent="0.4">
      <c r="E3572"/>
    </row>
    <row r="3573" spans="5:5" x14ac:dyDescent="0.4">
      <c r="E3573"/>
    </row>
    <row r="3574" spans="5:5" x14ac:dyDescent="0.4">
      <c r="E3574"/>
    </row>
    <row r="3575" spans="5:5" x14ac:dyDescent="0.4">
      <c r="E3575"/>
    </row>
    <row r="3576" spans="5:5" x14ac:dyDescent="0.4">
      <c r="E3576"/>
    </row>
    <row r="3577" spans="5:5" x14ac:dyDescent="0.4">
      <c r="E3577"/>
    </row>
    <row r="3578" spans="5:5" x14ac:dyDescent="0.4">
      <c r="E3578"/>
    </row>
    <row r="3579" spans="5:5" x14ac:dyDescent="0.4">
      <c r="E3579"/>
    </row>
    <row r="3580" spans="5:5" x14ac:dyDescent="0.4">
      <c r="E3580"/>
    </row>
    <row r="3581" spans="5:5" x14ac:dyDescent="0.4">
      <c r="E3581"/>
    </row>
    <row r="3582" spans="5:5" x14ac:dyDescent="0.4">
      <c r="E3582"/>
    </row>
    <row r="3583" spans="5:5" x14ac:dyDescent="0.4">
      <c r="E3583"/>
    </row>
    <row r="3584" spans="5:5" x14ac:dyDescent="0.4">
      <c r="E3584"/>
    </row>
    <row r="3585" spans="5:5" x14ac:dyDescent="0.4">
      <c r="E3585"/>
    </row>
    <row r="3586" spans="5:5" x14ac:dyDescent="0.4">
      <c r="E3586"/>
    </row>
    <row r="3587" spans="5:5" x14ac:dyDescent="0.4">
      <c r="E3587"/>
    </row>
    <row r="3588" spans="5:5" x14ac:dyDescent="0.4">
      <c r="E3588"/>
    </row>
    <row r="3589" spans="5:5" x14ac:dyDescent="0.4">
      <c r="E3589"/>
    </row>
    <row r="3590" spans="5:5" x14ac:dyDescent="0.4">
      <c r="E3590"/>
    </row>
    <row r="3591" spans="5:5" x14ac:dyDescent="0.4">
      <c r="E3591"/>
    </row>
    <row r="3592" spans="5:5" x14ac:dyDescent="0.4">
      <c r="E3592"/>
    </row>
    <row r="3593" spans="5:5" x14ac:dyDescent="0.4">
      <c r="E3593"/>
    </row>
    <row r="3594" spans="5:5" x14ac:dyDescent="0.4">
      <c r="E3594"/>
    </row>
    <row r="3595" spans="5:5" x14ac:dyDescent="0.4">
      <c r="E3595"/>
    </row>
    <row r="3596" spans="5:5" x14ac:dyDescent="0.4">
      <c r="E3596"/>
    </row>
    <row r="3597" spans="5:5" x14ac:dyDescent="0.4">
      <c r="E3597"/>
    </row>
    <row r="3598" spans="5:5" x14ac:dyDescent="0.4">
      <c r="E3598"/>
    </row>
    <row r="3599" spans="5:5" x14ac:dyDescent="0.4">
      <c r="E3599"/>
    </row>
    <row r="3600" spans="5:5" x14ac:dyDescent="0.4">
      <c r="E3600"/>
    </row>
    <row r="3601" spans="5:5" x14ac:dyDescent="0.4">
      <c r="E3601"/>
    </row>
    <row r="3602" spans="5:5" x14ac:dyDescent="0.4">
      <c r="E3602"/>
    </row>
    <row r="3603" spans="5:5" x14ac:dyDescent="0.4">
      <c r="E3603"/>
    </row>
    <row r="3604" spans="5:5" x14ac:dyDescent="0.4">
      <c r="E3604"/>
    </row>
    <row r="3605" spans="5:5" x14ac:dyDescent="0.4">
      <c r="E3605"/>
    </row>
    <row r="3606" spans="5:5" x14ac:dyDescent="0.4">
      <c r="E3606"/>
    </row>
    <row r="3607" spans="5:5" x14ac:dyDescent="0.4">
      <c r="E3607"/>
    </row>
    <row r="3608" spans="5:5" x14ac:dyDescent="0.4">
      <c r="E3608"/>
    </row>
    <row r="3609" spans="5:5" x14ac:dyDescent="0.4">
      <c r="E3609"/>
    </row>
    <row r="3610" spans="5:5" x14ac:dyDescent="0.4">
      <c r="E3610"/>
    </row>
    <row r="3611" spans="5:5" x14ac:dyDescent="0.4">
      <c r="E3611"/>
    </row>
    <row r="3612" spans="5:5" x14ac:dyDescent="0.4">
      <c r="E3612"/>
    </row>
    <row r="3613" spans="5:5" x14ac:dyDescent="0.4">
      <c r="E3613"/>
    </row>
    <row r="3614" spans="5:5" x14ac:dyDescent="0.4">
      <c r="E3614"/>
    </row>
    <row r="3615" spans="5:5" x14ac:dyDescent="0.4">
      <c r="E3615"/>
    </row>
    <row r="3616" spans="5:5" x14ac:dyDescent="0.4">
      <c r="E3616"/>
    </row>
    <row r="3617" spans="5:5" x14ac:dyDescent="0.4">
      <c r="E3617"/>
    </row>
    <row r="3618" spans="5:5" x14ac:dyDescent="0.4">
      <c r="E3618"/>
    </row>
    <row r="3619" spans="5:5" x14ac:dyDescent="0.4">
      <c r="E3619"/>
    </row>
    <row r="3620" spans="5:5" x14ac:dyDescent="0.4">
      <c r="E3620"/>
    </row>
    <row r="3621" spans="5:5" x14ac:dyDescent="0.4">
      <c r="E3621"/>
    </row>
    <row r="3622" spans="5:5" x14ac:dyDescent="0.4">
      <c r="E3622"/>
    </row>
    <row r="3623" spans="5:5" x14ac:dyDescent="0.4">
      <c r="E3623"/>
    </row>
    <row r="3624" spans="5:5" x14ac:dyDescent="0.4">
      <c r="E3624"/>
    </row>
    <row r="3625" spans="5:5" x14ac:dyDescent="0.4">
      <c r="E3625"/>
    </row>
    <row r="3626" spans="5:5" x14ac:dyDescent="0.4">
      <c r="E3626"/>
    </row>
    <row r="3627" spans="5:5" x14ac:dyDescent="0.4">
      <c r="E3627"/>
    </row>
    <row r="3628" spans="5:5" x14ac:dyDescent="0.4">
      <c r="E3628"/>
    </row>
    <row r="3629" spans="5:5" x14ac:dyDescent="0.4">
      <c r="E3629"/>
    </row>
    <row r="3630" spans="5:5" x14ac:dyDescent="0.4">
      <c r="E3630"/>
    </row>
    <row r="3631" spans="5:5" x14ac:dyDescent="0.4">
      <c r="E3631"/>
    </row>
    <row r="3632" spans="5:5" x14ac:dyDescent="0.4">
      <c r="E3632"/>
    </row>
    <row r="3633" spans="5:5" x14ac:dyDescent="0.4">
      <c r="E3633"/>
    </row>
    <row r="3634" spans="5:5" x14ac:dyDescent="0.4">
      <c r="E3634"/>
    </row>
    <row r="3635" spans="5:5" x14ac:dyDescent="0.4">
      <c r="E3635"/>
    </row>
    <row r="3636" spans="5:5" x14ac:dyDescent="0.4">
      <c r="E3636"/>
    </row>
    <row r="3637" spans="5:5" x14ac:dyDescent="0.4">
      <c r="E3637"/>
    </row>
    <row r="3638" spans="5:5" x14ac:dyDescent="0.4">
      <c r="E3638"/>
    </row>
    <row r="3639" spans="5:5" x14ac:dyDescent="0.4">
      <c r="E3639"/>
    </row>
    <row r="3640" spans="5:5" x14ac:dyDescent="0.4">
      <c r="E3640"/>
    </row>
    <row r="3641" spans="5:5" x14ac:dyDescent="0.4">
      <c r="E3641"/>
    </row>
    <row r="3642" spans="5:5" x14ac:dyDescent="0.4">
      <c r="E3642"/>
    </row>
    <row r="3643" spans="5:5" x14ac:dyDescent="0.4">
      <c r="E3643"/>
    </row>
    <row r="3644" spans="5:5" x14ac:dyDescent="0.4">
      <c r="E3644"/>
    </row>
    <row r="3645" spans="5:5" x14ac:dyDescent="0.4">
      <c r="E3645"/>
    </row>
    <row r="3646" spans="5:5" x14ac:dyDescent="0.4">
      <c r="E3646"/>
    </row>
    <row r="3647" spans="5:5" x14ac:dyDescent="0.4">
      <c r="E3647"/>
    </row>
    <row r="3648" spans="5:5" x14ac:dyDescent="0.4">
      <c r="E3648"/>
    </row>
    <row r="3649" spans="5:5" x14ac:dyDescent="0.4">
      <c r="E3649"/>
    </row>
    <row r="3650" spans="5:5" x14ac:dyDescent="0.4">
      <c r="E3650"/>
    </row>
    <row r="3651" spans="5:5" x14ac:dyDescent="0.4">
      <c r="E3651"/>
    </row>
    <row r="3652" spans="5:5" x14ac:dyDescent="0.4">
      <c r="E3652"/>
    </row>
    <row r="3653" spans="5:5" x14ac:dyDescent="0.4">
      <c r="E3653"/>
    </row>
    <row r="3654" spans="5:5" x14ac:dyDescent="0.4">
      <c r="E3654"/>
    </row>
    <row r="3655" spans="5:5" x14ac:dyDescent="0.4">
      <c r="E3655"/>
    </row>
    <row r="3656" spans="5:5" x14ac:dyDescent="0.4">
      <c r="E3656"/>
    </row>
    <row r="3657" spans="5:5" x14ac:dyDescent="0.4">
      <c r="E3657"/>
    </row>
    <row r="3658" spans="5:5" x14ac:dyDescent="0.4">
      <c r="E3658"/>
    </row>
    <row r="3659" spans="5:5" x14ac:dyDescent="0.4">
      <c r="E3659"/>
    </row>
    <row r="3660" spans="5:5" x14ac:dyDescent="0.4">
      <c r="E3660"/>
    </row>
    <row r="3661" spans="5:5" x14ac:dyDescent="0.4">
      <c r="E3661"/>
    </row>
    <row r="3662" spans="5:5" x14ac:dyDescent="0.4">
      <c r="E3662"/>
    </row>
    <row r="3663" spans="5:5" x14ac:dyDescent="0.4">
      <c r="E3663"/>
    </row>
    <row r="3664" spans="5:5" x14ac:dyDescent="0.4">
      <c r="E3664"/>
    </row>
    <row r="3665" spans="5:5" x14ac:dyDescent="0.4">
      <c r="E3665"/>
    </row>
    <row r="3666" spans="5:5" x14ac:dyDescent="0.4">
      <c r="E3666"/>
    </row>
    <row r="3667" spans="5:5" x14ac:dyDescent="0.4">
      <c r="E3667"/>
    </row>
    <row r="3668" spans="5:5" x14ac:dyDescent="0.4">
      <c r="E3668"/>
    </row>
    <row r="3669" spans="5:5" x14ac:dyDescent="0.4">
      <c r="E3669"/>
    </row>
    <row r="3670" spans="5:5" x14ac:dyDescent="0.4">
      <c r="E3670"/>
    </row>
    <row r="3671" spans="5:5" x14ac:dyDescent="0.4">
      <c r="E3671"/>
    </row>
    <row r="3672" spans="5:5" x14ac:dyDescent="0.4">
      <c r="E3672"/>
    </row>
    <row r="3673" spans="5:5" x14ac:dyDescent="0.4">
      <c r="E3673"/>
    </row>
    <row r="3674" spans="5:5" x14ac:dyDescent="0.4">
      <c r="E3674"/>
    </row>
    <row r="3675" spans="5:5" x14ac:dyDescent="0.4">
      <c r="E3675"/>
    </row>
    <row r="3676" spans="5:5" x14ac:dyDescent="0.4">
      <c r="E3676"/>
    </row>
    <row r="3677" spans="5:5" x14ac:dyDescent="0.4">
      <c r="E3677"/>
    </row>
    <row r="3678" spans="5:5" x14ac:dyDescent="0.4">
      <c r="E3678"/>
    </row>
    <row r="3679" spans="5:5" x14ac:dyDescent="0.4">
      <c r="E3679"/>
    </row>
    <row r="3680" spans="5:5" x14ac:dyDescent="0.4">
      <c r="E3680"/>
    </row>
    <row r="3681" spans="5:5" x14ac:dyDescent="0.4">
      <c r="E3681"/>
    </row>
    <row r="3682" spans="5:5" x14ac:dyDescent="0.4">
      <c r="E3682"/>
    </row>
    <row r="3683" spans="5:5" x14ac:dyDescent="0.4">
      <c r="E3683"/>
    </row>
    <row r="3684" spans="5:5" x14ac:dyDescent="0.4">
      <c r="E3684"/>
    </row>
    <row r="3685" spans="5:5" x14ac:dyDescent="0.4">
      <c r="E3685"/>
    </row>
    <row r="3686" spans="5:5" x14ac:dyDescent="0.4">
      <c r="E3686"/>
    </row>
    <row r="3687" spans="5:5" x14ac:dyDescent="0.4">
      <c r="E3687"/>
    </row>
    <row r="3688" spans="5:5" x14ac:dyDescent="0.4">
      <c r="E3688"/>
    </row>
    <row r="3689" spans="5:5" x14ac:dyDescent="0.4">
      <c r="E3689"/>
    </row>
    <row r="3690" spans="5:5" x14ac:dyDescent="0.4">
      <c r="E3690"/>
    </row>
    <row r="3691" spans="5:5" x14ac:dyDescent="0.4">
      <c r="E3691"/>
    </row>
    <row r="3692" spans="5:5" x14ac:dyDescent="0.4">
      <c r="E3692"/>
    </row>
    <row r="3693" spans="5:5" x14ac:dyDescent="0.4">
      <c r="E3693"/>
    </row>
    <row r="3694" spans="5:5" x14ac:dyDescent="0.4">
      <c r="E3694"/>
    </row>
    <row r="3695" spans="5:5" x14ac:dyDescent="0.4">
      <c r="E3695"/>
    </row>
    <row r="3696" spans="5:5" x14ac:dyDescent="0.4">
      <c r="E3696"/>
    </row>
    <row r="3697" spans="5:5" x14ac:dyDescent="0.4">
      <c r="E3697"/>
    </row>
    <row r="3698" spans="5:5" x14ac:dyDescent="0.4">
      <c r="E3698"/>
    </row>
    <row r="3699" spans="5:5" x14ac:dyDescent="0.4">
      <c r="E3699"/>
    </row>
    <row r="3700" spans="5:5" x14ac:dyDescent="0.4">
      <c r="E3700"/>
    </row>
    <row r="3701" spans="5:5" x14ac:dyDescent="0.4">
      <c r="E3701"/>
    </row>
    <row r="3702" spans="5:5" x14ac:dyDescent="0.4">
      <c r="E3702"/>
    </row>
    <row r="3703" spans="5:5" x14ac:dyDescent="0.4">
      <c r="E3703"/>
    </row>
    <row r="3704" spans="5:5" x14ac:dyDescent="0.4">
      <c r="E3704"/>
    </row>
    <row r="3705" spans="5:5" x14ac:dyDescent="0.4">
      <c r="E3705"/>
    </row>
    <row r="3706" spans="5:5" x14ac:dyDescent="0.4">
      <c r="E3706"/>
    </row>
    <row r="3707" spans="5:5" x14ac:dyDescent="0.4">
      <c r="E3707"/>
    </row>
    <row r="3708" spans="5:5" x14ac:dyDescent="0.4">
      <c r="E3708"/>
    </row>
    <row r="3709" spans="5:5" x14ac:dyDescent="0.4">
      <c r="E3709"/>
    </row>
    <row r="3710" spans="5:5" x14ac:dyDescent="0.4">
      <c r="E3710"/>
    </row>
    <row r="3711" spans="5:5" x14ac:dyDescent="0.4">
      <c r="E3711"/>
    </row>
    <row r="3712" spans="5:5" x14ac:dyDescent="0.4">
      <c r="E3712"/>
    </row>
    <row r="3713" spans="5:5" x14ac:dyDescent="0.4">
      <c r="E3713"/>
    </row>
    <row r="3714" spans="5:5" x14ac:dyDescent="0.4">
      <c r="E3714"/>
    </row>
    <row r="3715" spans="5:5" x14ac:dyDescent="0.4">
      <c r="E3715"/>
    </row>
    <row r="3716" spans="5:5" x14ac:dyDescent="0.4">
      <c r="E3716"/>
    </row>
    <row r="3717" spans="5:5" x14ac:dyDescent="0.4">
      <c r="E3717"/>
    </row>
    <row r="3718" spans="5:5" x14ac:dyDescent="0.4">
      <c r="E3718"/>
    </row>
    <row r="3719" spans="5:5" x14ac:dyDescent="0.4">
      <c r="E3719"/>
    </row>
    <row r="3720" spans="5:5" x14ac:dyDescent="0.4">
      <c r="E3720"/>
    </row>
    <row r="3721" spans="5:5" x14ac:dyDescent="0.4">
      <c r="E3721"/>
    </row>
    <row r="3722" spans="5:5" x14ac:dyDescent="0.4">
      <c r="E3722"/>
    </row>
    <row r="3723" spans="5:5" x14ac:dyDescent="0.4">
      <c r="E3723"/>
    </row>
    <row r="3724" spans="5:5" x14ac:dyDescent="0.4">
      <c r="E3724"/>
    </row>
    <row r="3725" spans="5:5" x14ac:dyDescent="0.4">
      <c r="E3725"/>
    </row>
    <row r="3726" spans="5:5" x14ac:dyDescent="0.4">
      <c r="E3726"/>
    </row>
    <row r="3727" spans="5:5" x14ac:dyDescent="0.4">
      <c r="E3727"/>
    </row>
    <row r="3728" spans="5:5" x14ac:dyDescent="0.4">
      <c r="E3728"/>
    </row>
    <row r="3729" spans="5:5" x14ac:dyDescent="0.4">
      <c r="E3729"/>
    </row>
    <row r="3730" spans="5:5" x14ac:dyDescent="0.4">
      <c r="E3730"/>
    </row>
    <row r="3731" spans="5:5" x14ac:dyDescent="0.4">
      <c r="E3731"/>
    </row>
    <row r="3732" spans="5:5" x14ac:dyDescent="0.4">
      <c r="E3732"/>
    </row>
    <row r="3733" spans="5:5" x14ac:dyDescent="0.4">
      <c r="E3733"/>
    </row>
    <row r="3734" spans="5:5" x14ac:dyDescent="0.4">
      <c r="E3734"/>
    </row>
    <row r="3735" spans="5:5" x14ac:dyDescent="0.4">
      <c r="E3735"/>
    </row>
    <row r="3736" spans="5:5" x14ac:dyDescent="0.4">
      <c r="E3736"/>
    </row>
    <row r="3737" spans="5:5" x14ac:dyDescent="0.4">
      <c r="E3737"/>
    </row>
    <row r="3738" spans="5:5" x14ac:dyDescent="0.4">
      <c r="E3738"/>
    </row>
    <row r="3739" spans="5:5" x14ac:dyDescent="0.4">
      <c r="E3739"/>
    </row>
    <row r="3740" spans="5:5" x14ac:dyDescent="0.4">
      <c r="E3740"/>
    </row>
    <row r="3741" spans="5:5" x14ac:dyDescent="0.4">
      <c r="E3741"/>
    </row>
    <row r="3742" spans="5:5" x14ac:dyDescent="0.4">
      <c r="E3742"/>
    </row>
    <row r="3743" spans="5:5" x14ac:dyDescent="0.4">
      <c r="E3743"/>
    </row>
    <row r="3744" spans="5:5" x14ac:dyDescent="0.4">
      <c r="E3744"/>
    </row>
    <row r="3745" spans="5:5" x14ac:dyDescent="0.4">
      <c r="E3745"/>
    </row>
    <row r="3746" spans="5:5" x14ac:dyDescent="0.4">
      <c r="E3746"/>
    </row>
    <row r="3747" spans="5:5" x14ac:dyDescent="0.4">
      <c r="E3747"/>
    </row>
    <row r="3748" spans="5:5" x14ac:dyDescent="0.4">
      <c r="E3748"/>
    </row>
    <row r="3749" spans="5:5" x14ac:dyDescent="0.4">
      <c r="E3749"/>
    </row>
    <row r="3750" spans="5:5" x14ac:dyDescent="0.4">
      <c r="E3750"/>
    </row>
    <row r="3751" spans="5:5" x14ac:dyDescent="0.4">
      <c r="E3751"/>
    </row>
    <row r="3752" spans="5:5" x14ac:dyDescent="0.4">
      <c r="E3752"/>
    </row>
    <row r="3753" spans="5:5" x14ac:dyDescent="0.4">
      <c r="E3753"/>
    </row>
    <row r="3754" spans="5:5" x14ac:dyDescent="0.4">
      <c r="E3754"/>
    </row>
    <row r="3755" spans="5:5" x14ac:dyDescent="0.4">
      <c r="E3755"/>
    </row>
    <row r="3756" spans="5:5" x14ac:dyDescent="0.4">
      <c r="E3756"/>
    </row>
    <row r="3757" spans="5:5" x14ac:dyDescent="0.4">
      <c r="E3757"/>
    </row>
    <row r="3758" spans="5:5" x14ac:dyDescent="0.4">
      <c r="E3758"/>
    </row>
    <row r="3759" spans="5:5" x14ac:dyDescent="0.4">
      <c r="E3759"/>
    </row>
    <row r="3760" spans="5:5" x14ac:dyDescent="0.4">
      <c r="E3760"/>
    </row>
    <row r="3761" spans="5:5" x14ac:dyDescent="0.4">
      <c r="E3761"/>
    </row>
    <row r="3762" spans="5:5" x14ac:dyDescent="0.4">
      <c r="E3762"/>
    </row>
    <row r="3763" spans="5:5" x14ac:dyDescent="0.4">
      <c r="E3763"/>
    </row>
    <row r="3764" spans="5:5" x14ac:dyDescent="0.4">
      <c r="E3764"/>
    </row>
    <row r="3765" spans="5:5" x14ac:dyDescent="0.4">
      <c r="E3765"/>
    </row>
    <row r="3766" spans="5:5" x14ac:dyDescent="0.4">
      <c r="E3766"/>
    </row>
    <row r="3767" spans="5:5" x14ac:dyDescent="0.4">
      <c r="E3767"/>
    </row>
    <row r="3768" spans="5:5" x14ac:dyDescent="0.4">
      <c r="E3768"/>
    </row>
    <row r="3769" spans="5:5" x14ac:dyDescent="0.4">
      <c r="E3769"/>
    </row>
    <row r="3770" spans="5:5" x14ac:dyDescent="0.4">
      <c r="E3770"/>
    </row>
    <row r="3771" spans="5:5" x14ac:dyDescent="0.4">
      <c r="E3771"/>
    </row>
    <row r="3772" spans="5:5" x14ac:dyDescent="0.4">
      <c r="E3772"/>
    </row>
    <row r="3773" spans="5:5" x14ac:dyDescent="0.4">
      <c r="E3773"/>
    </row>
    <row r="3774" spans="5:5" x14ac:dyDescent="0.4">
      <c r="E3774"/>
    </row>
    <row r="3775" spans="5:5" x14ac:dyDescent="0.4">
      <c r="E3775"/>
    </row>
    <row r="3776" spans="5:5" x14ac:dyDescent="0.4">
      <c r="E3776"/>
    </row>
    <row r="3777" spans="5:5" x14ac:dyDescent="0.4">
      <c r="E3777"/>
    </row>
    <row r="3778" spans="5:5" x14ac:dyDescent="0.4">
      <c r="E3778"/>
    </row>
    <row r="3779" spans="5:5" x14ac:dyDescent="0.4">
      <c r="E3779"/>
    </row>
    <row r="3780" spans="5:5" x14ac:dyDescent="0.4">
      <c r="E3780"/>
    </row>
    <row r="3781" spans="5:5" x14ac:dyDescent="0.4">
      <c r="E3781"/>
    </row>
    <row r="3782" spans="5:5" x14ac:dyDescent="0.4">
      <c r="E3782"/>
    </row>
    <row r="3783" spans="5:5" x14ac:dyDescent="0.4">
      <c r="E3783"/>
    </row>
    <row r="3784" spans="5:5" x14ac:dyDescent="0.4">
      <c r="E3784"/>
    </row>
    <row r="3785" spans="5:5" x14ac:dyDescent="0.4">
      <c r="E3785"/>
    </row>
    <row r="3786" spans="5:5" x14ac:dyDescent="0.4">
      <c r="E3786"/>
    </row>
    <row r="3787" spans="5:5" x14ac:dyDescent="0.4">
      <c r="E3787"/>
    </row>
    <row r="3788" spans="5:5" x14ac:dyDescent="0.4">
      <c r="E3788"/>
    </row>
    <row r="3789" spans="5:5" x14ac:dyDescent="0.4">
      <c r="E3789"/>
    </row>
    <row r="3790" spans="5:5" x14ac:dyDescent="0.4">
      <c r="E3790"/>
    </row>
    <row r="3791" spans="5:5" x14ac:dyDescent="0.4">
      <c r="E3791"/>
    </row>
    <row r="3792" spans="5:5" x14ac:dyDescent="0.4">
      <c r="E3792"/>
    </row>
    <row r="3793" spans="5:5" x14ac:dyDescent="0.4">
      <c r="E3793"/>
    </row>
    <row r="3794" spans="5:5" x14ac:dyDescent="0.4">
      <c r="E3794"/>
    </row>
    <row r="3795" spans="5:5" x14ac:dyDescent="0.4">
      <c r="E3795"/>
    </row>
    <row r="3796" spans="5:5" x14ac:dyDescent="0.4">
      <c r="E3796"/>
    </row>
    <row r="3797" spans="5:5" x14ac:dyDescent="0.4">
      <c r="E3797"/>
    </row>
    <row r="3798" spans="5:5" x14ac:dyDescent="0.4">
      <c r="E3798"/>
    </row>
    <row r="3799" spans="5:5" x14ac:dyDescent="0.4">
      <c r="E3799"/>
    </row>
    <row r="3800" spans="5:5" x14ac:dyDescent="0.4">
      <c r="E3800"/>
    </row>
    <row r="3801" spans="5:5" x14ac:dyDescent="0.4">
      <c r="E3801"/>
    </row>
    <row r="3802" spans="5:5" x14ac:dyDescent="0.4">
      <c r="E3802"/>
    </row>
    <row r="3803" spans="5:5" x14ac:dyDescent="0.4">
      <c r="E3803"/>
    </row>
    <row r="3804" spans="5:5" x14ac:dyDescent="0.4">
      <c r="E3804"/>
    </row>
    <row r="3805" spans="5:5" x14ac:dyDescent="0.4">
      <c r="E3805"/>
    </row>
    <row r="3806" spans="5:5" x14ac:dyDescent="0.4">
      <c r="E3806"/>
    </row>
    <row r="3807" spans="5:5" x14ac:dyDescent="0.4">
      <c r="E3807"/>
    </row>
    <row r="3808" spans="5:5" x14ac:dyDescent="0.4">
      <c r="E3808"/>
    </row>
    <row r="3809" spans="5:5" x14ac:dyDescent="0.4">
      <c r="E3809"/>
    </row>
    <row r="3810" spans="5:5" x14ac:dyDescent="0.4">
      <c r="E3810"/>
    </row>
    <row r="3811" spans="5:5" x14ac:dyDescent="0.4">
      <c r="E3811"/>
    </row>
    <row r="3812" spans="5:5" x14ac:dyDescent="0.4">
      <c r="E3812"/>
    </row>
    <row r="3813" spans="5:5" x14ac:dyDescent="0.4">
      <c r="E3813"/>
    </row>
    <row r="3814" spans="5:5" x14ac:dyDescent="0.4">
      <c r="E3814"/>
    </row>
    <row r="3815" spans="5:5" x14ac:dyDescent="0.4">
      <c r="E3815"/>
    </row>
    <row r="3816" spans="5:5" x14ac:dyDescent="0.4">
      <c r="E3816"/>
    </row>
    <row r="3817" spans="5:5" x14ac:dyDescent="0.4">
      <c r="E3817"/>
    </row>
    <row r="3818" spans="5:5" x14ac:dyDescent="0.4">
      <c r="E3818"/>
    </row>
    <row r="3819" spans="5:5" x14ac:dyDescent="0.4">
      <c r="E3819"/>
    </row>
    <row r="3820" spans="5:5" x14ac:dyDescent="0.4">
      <c r="E3820"/>
    </row>
    <row r="3821" spans="5:5" x14ac:dyDescent="0.4">
      <c r="E3821"/>
    </row>
    <row r="3822" spans="5:5" x14ac:dyDescent="0.4">
      <c r="E3822"/>
    </row>
    <row r="3823" spans="5:5" x14ac:dyDescent="0.4">
      <c r="E3823"/>
    </row>
    <row r="3824" spans="5:5" x14ac:dyDescent="0.4">
      <c r="E3824"/>
    </row>
    <row r="3825" spans="5:5" x14ac:dyDescent="0.4">
      <c r="E3825"/>
    </row>
    <row r="3826" spans="5:5" x14ac:dyDescent="0.4">
      <c r="E3826"/>
    </row>
    <row r="3827" spans="5:5" x14ac:dyDescent="0.4">
      <c r="E3827"/>
    </row>
    <row r="3828" spans="5:5" x14ac:dyDescent="0.4">
      <c r="E3828"/>
    </row>
    <row r="3829" spans="5:5" x14ac:dyDescent="0.4">
      <c r="E3829"/>
    </row>
    <row r="3830" spans="5:5" x14ac:dyDescent="0.4">
      <c r="E3830"/>
    </row>
    <row r="3831" spans="5:5" x14ac:dyDescent="0.4">
      <c r="E3831"/>
    </row>
    <row r="3832" spans="5:5" x14ac:dyDescent="0.4">
      <c r="E3832"/>
    </row>
    <row r="3833" spans="5:5" x14ac:dyDescent="0.4">
      <c r="E3833"/>
    </row>
    <row r="3834" spans="5:5" x14ac:dyDescent="0.4">
      <c r="E3834"/>
    </row>
    <row r="3835" spans="5:5" x14ac:dyDescent="0.4">
      <c r="E3835"/>
    </row>
    <row r="3836" spans="5:5" x14ac:dyDescent="0.4">
      <c r="E3836"/>
    </row>
    <row r="3837" spans="5:5" x14ac:dyDescent="0.4">
      <c r="E3837"/>
    </row>
    <row r="3838" spans="5:5" x14ac:dyDescent="0.4">
      <c r="E3838"/>
    </row>
    <row r="3839" spans="5:5" x14ac:dyDescent="0.4">
      <c r="E3839"/>
    </row>
    <row r="3840" spans="5:5" x14ac:dyDescent="0.4">
      <c r="E3840"/>
    </row>
    <row r="3841" spans="5:5" x14ac:dyDescent="0.4">
      <c r="E3841"/>
    </row>
    <row r="3842" spans="5:5" x14ac:dyDescent="0.4">
      <c r="E3842"/>
    </row>
    <row r="3843" spans="5:5" x14ac:dyDescent="0.4">
      <c r="E3843"/>
    </row>
    <row r="3844" spans="5:5" x14ac:dyDescent="0.4">
      <c r="E3844"/>
    </row>
    <row r="3845" spans="5:5" x14ac:dyDescent="0.4">
      <c r="E3845"/>
    </row>
    <row r="3846" spans="5:5" x14ac:dyDescent="0.4">
      <c r="E3846"/>
    </row>
    <row r="3847" spans="5:5" x14ac:dyDescent="0.4">
      <c r="E3847"/>
    </row>
    <row r="3848" spans="5:5" x14ac:dyDescent="0.4">
      <c r="E3848"/>
    </row>
    <row r="3849" spans="5:5" x14ac:dyDescent="0.4">
      <c r="E3849"/>
    </row>
    <row r="3850" spans="5:5" x14ac:dyDescent="0.4">
      <c r="E3850"/>
    </row>
    <row r="3851" spans="5:5" x14ac:dyDescent="0.4">
      <c r="E3851"/>
    </row>
    <row r="3852" spans="5:5" x14ac:dyDescent="0.4">
      <c r="E3852"/>
    </row>
    <row r="3853" spans="5:5" x14ac:dyDescent="0.4">
      <c r="E3853"/>
    </row>
    <row r="3854" spans="5:5" x14ac:dyDescent="0.4">
      <c r="E3854"/>
    </row>
    <row r="3855" spans="5:5" x14ac:dyDescent="0.4">
      <c r="E3855"/>
    </row>
    <row r="3856" spans="5:5" x14ac:dyDescent="0.4">
      <c r="E3856"/>
    </row>
    <row r="3857" spans="5:5" x14ac:dyDescent="0.4">
      <c r="E3857"/>
    </row>
    <row r="3858" spans="5:5" x14ac:dyDescent="0.4">
      <c r="E3858"/>
    </row>
    <row r="3859" spans="5:5" x14ac:dyDescent="0.4">
      <c r="E3859"/>
    </row>
    <row r="3860" spans="5:5" x14ac:dyDescent="0.4">
      <c r="E3860"/>
    </row>
    <row r="3861" spans="5:5" x14ac:dyDescent="0.4">
      <c r="E3861"/>
    </row>
    <row r="3862" spans="5:5" x14ac:dyDescent="0.4">
      <c r="E3862"/>
    </row>
    <row r="3863" spans="5:5" x14ac:dyDescent="0.4">
      <c r="E3863"/>
    </row>
    <row r="3864" spans="5:5" x14ac:dyDescent="0.4">
      <c r="E3864"/>
    </row>
    <row r="3865" spans="5:5" x14ac:dyDescent="0.4">
      <c r="E3865"/>
    </row>
    <row r="3866" spans="5:5" x14ac:dyDescent="0.4">
      <c r="E3866"/>
    </row>
    <row r="3867" spans="5:5" x14ac:dyDescent="0.4">
      <c r="E3867"/>
    </row>
    <row r="3868" spans="5:5" x14ac:dyDescent="0.4">
      <c r="E3868"/>
    </row>
    <row r="3869" spans="5:5" x14ac:dyDescent="0.4">
      <c r="E3869"/>
    </row>
    <row r="3870" spans="5:5" x14ac:dyDescent="0.4">
      <c r="E3870"/>
    </row>
    <row r="3871" spans="5:5" x14ac:dyDescent="0.4">
      <c r="E3871"/>
    </row>
    <row r="3872" spans="5:5" x14ac:dyDescent="0.4">
      <c r="E3872"/>
    </row>
    <row r="3873" spans="5:5" x14ac:dyDescent="0.4">
      <c r="E3873"/>
    </row>
    <row r="3874" spans="5:5" x14ac:dyDescent="0.4">
      <c r="E3874"/>
    </row>
    <row r="3875" spans="5:5" x14ac:dyDescent="0.4">
      <c r="E3875"/>
    </row>
    <row r="3876" spans="5:5" x14ac:dyDescent="0.4">
      <c r="E3876"/>
    </row>
    <row r="3877" spans="5:5" x14ac:dyDescent="0.4">
      <c r="E3877"/>
    </row>
    <row r="3878" spans="5:5" x14ac:dyDescent="0.4">
      <c r="E3878"/>
    </row>
    <row r="3879" spans="5:5" x14ac:dyDescent="0.4">
      <c r="E3879"/>
    </row>
    <row r="3880" spans="5:5" x14ac:dyDescent="0.4">
      <c r="E3880"/>
    </row>
    <row r="3881" spans="5:5" x14ac:dyDescent="0.4">
      <c r="E3881"/>
    </row>
    <row r="3882" spans="5:5" x14ac:dyDescent="0.4">
      <c r="E3882"/>
    </row>
    <row r="3883" spans="5:5" x14ac:dyDescent="0.4">
      <c r="E3883"/>
    </row>
    <row r="3884" spans="5:5" x14ac:dyDescent="0.4">
      <c r="E3884"/>
    </row>
    <row r="3885" spans="5:5" x14ac:dyDescent="0.4">
      <c r="E3885"/>
    </row>
    <row r="3886" spans="5:5" x14ac:dyDescent="0.4">
      <c r="E3886"/>
    </row>
    <row r="3887" spans="5:5" x14ac:dyDescent="0.4">
      <c r="E3887"/>
    </row>
    <row r="3888" spans="5:5" x14ac:dyDescent="0.4">
      <c r="E3888"/>
    </row>
    <row r="3889" spans="5:5" x14ac:dyDescent="0.4">
      <c r="E3889"/>
    </row>
    <row r="3890" spans="5:5" x14ac:dyDescent="0.4">
      <c r="E3890"/>
    </row>
    <row r="3891" spans="5:5" x14ac:dyDescent="0.4">
      <c r="E3891"/>
    </row>
    <row r="3892" spans="5:5" x14ac:dyDescent="0.4">
      <c r="E3892"/>
    </row>
    <row r="3893" spans="5:5" x14ac:dyDescent="0.4">
      <c r="E3893"/>
    </row>
    <row r="3894" spans="5:5" x14ac:dyDescent="0.4">
      <c r="E3894"/>
    </row>
    <row r="3895" spans="5:5" x14ac:dyDescent="0.4">
      <c r="E3895"/>
    </row>
    <row r="3896" spans="5:5" x14ac:dyDescent="0.4">
      <c r="E3896"/>
    </row>
    <row r="3897" spans="5:5" x14ac:dyDescent="0.4">
      <c r="E3897"/>
    </row>
    <row r="3898" spans="5:5" x14ac:dyDescent="0.4">
      <c r="E3898"/>
    </row>
    <row r="3899" spans="5:5" x14ac:dyDescent="0.4">
      <c r="E3899"/>
    </row>
    <row r="3900" spans="5:5" x14ac:dyDescent="0.4">
      <c r="E3900"/>
    </row>
    <row r="3901" spans="5:5" x14ac:dyDescent="0.4">
      <c r="E3901"/>
    </row>
    <row r="3902" spans="5:5" x14ac:dyDescent="0.4">
      <c r="E3902"/>
    </row>
    <row r="3903" spans="5:5" x14ac:dyDescent="0.4">
      <c r="E3903"/>
    </row>
    <row r="3904" spans="5:5" x14ac:dyDescent="0.4">
      <c r="E3904"/>
    </row>
    <row r="3905" spans="5:5" x14ac:dyDescent="0.4">
      <c r="E3905"/>
    </row>
    <row r="3906" spans="5:5" x14ac:dyDescent="0.4">
      <c r="E3906"/>
    </row>
    <row r="3907" spans="5:5" x14ac:dyDescent="0.4">
      <c r="E3907"/>
    </row>
    <row r="3908" spans="5:5" x14ac:dyDescent="0.4">
      <c r="E3908"/>
    </row>
    <row r="3909" spans="5:5" x14ac:dyDescent="0.4">
      <c r="E3909"/>
    </row>
    <row r="3910" spans="5:5" x14ac:dyDescent="0.4">
      <c r="E3910"/>
    </row>
    <row r="3911" spans="5:5" x14ac:dyDescent="0.4">
      <c r="E3911"/>
    </row>
    <row r="3912" spans="5:5" x14ac:dyDescent="0.4">
      <c r="E3912"/>
    </row>
    <row r="3913" spans="5:5" x14ac:dyDescent="0.4">
      <c r="E3913"/>
    </row>
    <row r="3914" spans="5:5" x14ac:dyDescent="0.4">
      <c r="E3914"/>
    </row>
    <row r="3915" spans="5:5" x14ac:dyDescent="0.4">
      <c r="E3915"/>
    </row>
    <row r="3916" spans="5:5" x14ac:dyDescent="0.4">
      <c r="E3916"/>
    </row>
    <row r="3917" spans="5:5" x14ac:dyDescent="0.4">
      <c r="E3917"/>
    </row>
    <row r="3918" spans="5:5" x14ac:dyDescent="0.4">
      <c r="E3918"/>
    </row>
    <row r="3919" spans="5:5" x14ac:dyDescent="0.4">
      <c r="E3919"/>
    </row>
    <row r="3920" spans="5:5" x14ac:dyDescent="0.4">
      <c r="E3920"/>
    </row>
    <row r="3921" spans="5:5" x14ac:dyDescent="0.4">
      <c r="E3921"/>
    </row>
    <row r="3922" spans="5:5" x14ac:dyDescent="0.4">
      <c r="E3922"/>
    </row>
    <row r="3923" spans="5:5" x14ac:dyDescent="0.4">
      <c r="E3923"/>
    </row>
    <row r="3924" spans="5:5" x14ac:dyDescent="0.4">
      <c r="E3924"/>
    </row>
    <row r="3925" spans="5:5" x14ac:dyDescent="0.4">
      <c r="E3925"/>
    </row>
    <row r="3926" spans="5:5" x14ac:dyDescent="0.4">
      <c r="E3926"/>
    </row>
    <row r="3927" spans="5:5" x14ac:dyDescent="0.4">
      <c r="E3927"/>
    </row>
    <row r="3928" spans="5:5" x14ac:dyDescent="0.4">
      <c r="E3928"/>
    </row>
    <row r="3929" spans="5:5" x14ac:dyDescent="0.4">
      <c r="E3929"/>
    </row>
    <row r="3930" spans="5:5" x14ac:dyDescent="0.4">
      <c r="E3930"/>
    </row>
    <row r="3931" spans="5:5" x14ac:dyDescent="0.4">
      <c r="E3931"/>
    </row>
    <row r="3932" spans="5:5" x14ac:dyDescent="0.4">
      <c r="E3932"/>
    </row>
    <row r="3933" spans="5:5" x14ac:dyDescent="0.4">
      <c r="E3933"/>
    </row>
    <row r="3934" spans="5:5" x14ac:dyDescent="0.4">
      <c r="E3934"/>
    </row>
    <row r="3935" spans="5:5" x14ac:dyDescent="0.4">
      <c r="E3935"/>
    </row>
    <row r="3936" spans="5:5" x14ac:dyDescent="0.4">
      <c r="E3936"/>
    </row>
    <row r="3937" spans="5:5" x14ac:dyDescent="0.4">
      <c r="E3937"/>
    </row>
    <row r="3938" spans="5:5" x14ac:dyDescent="0.4">
      <c r="E3938"/>
    </row>
    <row r="3939" spans="5:5" x14ac:dyDescent="0.4">
      <c r="E3939"/>
    </row>
    <row r="3940" spans="5:5" x14ac:dyDescent="0.4">
      <c r="E3940"/>
    </row>
    <row r="3941" spans="5:5" x14ac:dyDescent="0.4">
      <c r="E3941"/>
    </row>
    <row r="3942" spans="5:5" x14ac:dyDescent="0.4">
      <c r="E3942"/>
    </row>
    <row r="3943" spans="5:5" x14ac:dyDescent="0.4">
      <c r="E3943"/>
    </row>
    <row r="3944" spans="5:5" x14ac:dyDescent="0.4">
      <c r="E3944"/>
    </row>
    <row r="3945" spans="5:5" x14ac:dyDescent="0.4">
      <c r="E3945"/>
    </row>
    <row r="3946" spans="5:5" x14ac:dyDescent="0.4">
      <c r="E3946"/>
    </row>
    <row r="3947" spans="5:5" x14ac:dyDescent="0.4">
      <c r="E3947"/>
    </row>
    <row r="3948" spans="5:5" x14ac:dyDescent="0.4">
      <c r="E3948"/>
    </row>
    <row r="3949" spans="5:5" x14ac:dyDescent="0.4">
      <c r="E3949"/>
    </row>
    <row r="3950" spans="5:5" x14ac:dyDescent="0.4">
      <c r="E3950"/>
    </row>
    <row r="3951" spans="5:5" x14ac:dyDescent="0.4">
      <c r="E3951"/>
    </row>
    <row r="3952" spans="5:5" x14ac:dyDescent="0.4">
      <c r="E3952"/>
    </row>
    <row r="3953" spans="5:5" x14ac:dyDescent="0.4">
      <c r="E3953"/>
    </row>
    <row r="3954" spans="5:5" x14ac:dyDescent="0.4">
      <c r="E3954"/>
    </row>
    <row r="3955" spans="5:5" x14ac:dyDescent="0.4">
      <c r="E3955"/>
    </row>
    <row r="3956" spans="5:5" x14ac:dyDescent="0.4">
      <c r="E3956"/>
    </row>
    <row r="3957" spans="5:5" x14ac:dyDescent="0.4">
      <c r="E3957"/>
    </row>
    <row r="3958" spans="5:5" x14ac:dyDescent="0.4">
      <c r="E3958"/>
    </row>
    <row r="3959" spans="5:5" x14ac:dyDescent="0.4">
      <c r="E3959"/>
    </row>
    <row r="3960" spans="5:5" x14ac:dyDescent="0.4">
      <c r="E3960"/>
    </row>
    <row r="3961" spans="5:5" x14ac:dyDescent="0.4">
      <c r="E3961"/>
    </row>
    <row r="3962" spans="5:5" x14ac:dyDescent="0.4">
      <c r="E3962"/>
    </row>
    <row r="3963" spans="5:5" x14ac:dyDescent="0.4">
      <c r="E3963"/>
    </row>
    <row r="3964" spans="5:5" x14ac:dyDescent="0.4">
      <c r="E3964"/>
    </row>
    <row r="3965" spans="5:5" x14ac:dyDescent="0.4">
      <c r="E3965"/>
    </row>
    <row r="3966" spans="5:5" x14ac:dyDescent="0.4">
      <c r="E3966"/>
    </row>
    <row r="3967" spans="5:5" x14ac:dyDescent="0.4">
      <c r="E3967"/>
    </row>
    <row r="3968" spans="5:5" x14ac:dyDescent="0.4">
      <c r="E3968"/>
    </row>
    <row r="3969" spans="5:5" x14ac:dyDescent="0.4">
      <c r="E3969"/>
    </row>
    <row r="3970" spans="5:5" x14ac:dyDescent="0.4">
      <c r="E3970"/>
    </row>
    <row r="3971" spans="5:5" x14ac:dyDescent="0.4">
      <c r="E3971"/>
    </row>
    <row r="3972" spans="5:5" x14ac:dyDescent="0.4">
      <c r="E3972"/>
    </row>
    <row r="3973" spans="5:5" x14ac:dyDescent="0.4">
      <c r="E3973"/>
    </row>
    <row r="3974" spans="5:5" x14ac:dyDescent="0.4">
      <c r="E3974"/>
    </row>
    <row r="3975" spans="5:5" x14ac:dyDescent="0.4">
      <c r="E3975"/>
    </row>
    <row r="3976" spans="5:5" x14ac:dyDescent="0.4">
      <c r="E3976"/>
    </row>
    <row r="3977" spans="5:5" x14ac:dyDescent="0.4">
      <c r="E3977"/>
    </row>
    <row r="3978" spans="5:5" x14ac:dyDescent="0.4">
      <c r="E3978"/>
    </row>
    <row r="3979" spans="5:5" x14ac:dyDescent="0.4">
      <c r="E3979"/>
    </row>
    <row r="3980" spans="5:5" x14ac:dyDescent="0.4">
      <c r="E3980"/>
    </row>
    <row r="3981" spans="5:5" x14ac:dyDescent="0.4">
      <c r="E3981"/>
    </row>
    <row r="3982" spans="5:5" x14ac:dyDescent="0.4">
      <c r="E3982"/>
    </row>
    <row r="3983" spans="5:5" x14ac:dyDescent="0.4">
      <c r="E3983"/>
    </row>
    <row r="3984" spans="5:5" x14ac:dyDescent="0.4">
      <c r="E3984"/>
    </row>
    <row r="3985" spans="5:5" x14ac:dyDescent="0.4">
      <c r="E3985"/>
    </row>
    <row r="3986" spans="5:5" x14ac:dyDescent="0.4">
      <c r="E3986"/>
    </row>
    <row r="3987" spans="5:5" x14ac:dyDescent="0.4">
      <c r="E3987"/>
    </row>
    <row r="3988" spans="5:5" x14ac:dyDescent="0.4">
      <c r="E3988"/>
    </row>
    <row r="3989" spans="5:5" x14ac:dyDescent="0.4">
      <c r="E3989"/>
    </row>
    <row r="3990" spans="5:5" x14ac:dyDescent="0.4">
      <c r="E3990"/>
    </row>
    <row r="3991" spans="5:5" x14ac:dyDescent="0.4">
      <c r="E3991"/>
    </row>
    <row r="3992" spans="5:5" x14ac:dyDescent="0.4">
      <c r="E3992"/>
    </row>
    <row r="3993" spans="5:5" x14ac:dyDescent="0.4">
      <c r="E3993"/>
    </row>
    <row r="3994" spans="5:5" x14ac:dyDescent="0.4">
      <c r="E3994"/>
    </row>
    <row r="3995" spans="5:5" x14ac:dyDescent="0.4">
      <c r="E3995"/>
    </row>
    <row r="3996" spans="5:5" x14ac:dyDescent="0.4">
      <c r="E3996"/>
    </row>
    <row r="3997" spans="5:5" x14ac:dyDescent="0.4">
      <c r="E3997"/>
    </row>
    <row r="3998" spans="5:5" x14ac:dyDescent="0.4">
      <c r="E3998"/>
    </row>
    <row r="3999" spans="5:5" x14ac:dyDescent="0.4">
      <c r="E3999"/>
    </row>
    <row r="4000" spans="5:5" x14ac:dyDescent="0.4">
      <c r="E4000"/>
    </row>
    <row r="4001" spans="5:5" x14ac:dyDescent="0.4">
      <c r="E4001"/>
    </row>
    <row r="4002" spans="5:5" x14ac:dyDescent="0.4">
      <c r="E4002"/>
    </row>
    <row r="4003" spans="5:5" x14ac:dyDescent="0.4">
      <c r="E4003"/>
    </row>
    <row r="4004" spans="5:5" x14ac:dyDescent="0.4">
      <c r="E4004"/>
    </row>
    <row r="4005" spans="5:5" x14ac:dyDescent="0.4">
      <c r="E4005"/>
    </row>
    <row r="4006" spans="5:5" x14ac:dyDescent="0.4">
      <c r="E4006"/>
    </row>
    <row r="4007" spans="5:5" x14ac:dyDescent="0.4">
      <c r="E4007"/>
    </row>
    <row r="4008" spans="5:5" x14ac:dyDescent="0.4">
      <c r="E4008"/>
    </row>
    <row r="4009" spans="5:5" x14ac:dyDescent="0.4">
      <c r="E4009"/>
    </row>
    <row r="4010" spans="5:5" x14ac:dyDescent="0.4">
      <c r="E4010"/>
    </row>
    <row r="4011" spans="5:5" x14ac:dyDescent="0.4">
      <c r="E4011"/>
    </row>
    <row r="4012" spans="5:5" x14ac:dyDescent="0.4">
      <c r="E4012"/>
    </row>
    <row r="4013" spans="5:5" x14ac:dyDescent="0.4">
      <c r="E4013"/>
    </row>
    <row r="4014" spans="5:5" x14ac:dyDescent="0.4">
      <c r="E4014"/>
    </row>
    <row r="4015" spans="5:5" x14ac:dyDescent="0.4">
      <c r="E4015"/>
    </row>
    <row r="4016" spans="5:5" x14ac:dyDescent="0.4">
      <c r="E4016"/>
    </row>
    <row r="4017" spans="5:5" x14ac:dyDescent="0.4">
      <c r="E4017"/>
    </row>
    <row r="4018" spans="5:5" x14ac:dyDescent="0.4">
      <c r="E4018"/>
    </row>
    <row r="4019" spans="5:5" x14ac:dyDescent="0.4">
      <c r="E4019"/>
    </row>
    <row r="4020" spans="5:5" x14ac:dyDescent="0.4">
      <c r="E4020"/>
    </row>
    <row r="4021" spans="5:5" x14ac:dyDescent="0.4">
      <c r="E4021"/>
    </row>
    <row r="4022" spans="5:5" x14ac:dyDescent="0.4">
      <c r="E4022"/>
    </row>
    <row r="4023" spans="5:5" x14ac:dyDescent="0.4">
      <c r="E4023"/>
    </row>
    <row r="4024" spans="5:5" x14ac:dyDescent="0.4">
      <c r="E4024"/>
    </row>
    <row r="4025" spans="5:5" x14ac:dyDescent="0.4">
      <c r="E4025"/>
    </row>
    <row r="4026" spans="5:5" x14ac:dyDescent="0.4">
      <c r="E4026"/>
    </row>
    <row r="4027" spans="5:5" x14ac:dyDescent="0.4">
      <c r="E4027"/>
    </row>
    <row r="4028" spans="5:5" x14ac:dyDescent="0.4">
      <c r="E4028"/>
    </row>
    <row r="4029" spans="5:5" x14ac:dyDescent="0.4">
      <c r="E4029"/>
    </row>
    <row r="4030" spans="5:5" x14ac:dyDescent="0.4">
      <c r="E4030"/>
    </row>
    <row r="4031" spans="5:5" x14ac:dyDescent="0.4">
      <c r="E4031"/>
    </row>
    <row r="4032" spans="5:5" x14ac:dyDescent="0.4">
      <c r="E4032"/>
    </row>
    <row r="4033" spans="5:5" x14ac:dyDescent="0.4">
      <c r="E4033"/>
    </row>
    <row r="4034" spans="5:5" x14ac:dyDescent="0.4">
      <c r="E4034"/>
    </row>
    <row r="4035" spans="5:5" x14ac:dyDescent="0.4">
      <c r="E4035"/>
    </row>
    <row r="4036" spans="5:5" x14ac:dyDescent="0.4">
      <c r="E4036"/>
    </row>
    <row r="4037" spans="5:5" x14ac:dyDescent="0.4">
      <c r="E4037"/>
    </row>
    <row r="4038" spans="5:5" x14ac:dyDescent="0.4">
      <c r="E4038"/>
    </row>
    <row r="4039" spans="5:5" x14ac:dyDescent="0.4">
      <c r="E4039"/>
    </row>
    <row r="4040" spans="5:5" x14ac:dyDescent="0.4">
      <c r="E4040"/>
    </row>
    <row r="4041" spans="5:5" x14ac:dyDescent="0.4">
      <c r="E4041"/>
    </row>
    <row r="4042" spans="5:5" x14ac:dyDescent="0.4">
      <c r="E4042"/>
    </row>
    <row r="4043" spans="5:5" x14ac:dyDescent="0.4">
      <c r="E4043"/>
    </row>
    <row r="4044" spans="5:5" x14ac:dyDescent="0.4">
      <c r="E4044"/>
    </row>
    <row r="4045" spans="5:5" x14ac:dyDescent="0.4">
      <c r="E4045"/>
    </row>
    <row r="4046" spans="5:5" x14ac:dyDescent="0.4">
      <c r="E4046"/>
    </row>
    <row r="4047" spans="5:5" x14ac:dyDescent="0.4">
      <c r="E4047"/>
    </row>
    <row r="4048" spans="5:5" x14ac:dyDescent="0.4">
      <c r="E4048"/>
    </row>
    <row r="4049" spans="5:5" x14ac:dyDescent="0.4">
      <c r="E4049"/>
    </row>
    <row r="4050" spans="5:5" x14ac:dyDescent="0.4">
      <c r="E4050"/>
    </row>
    <row r="4051" spans="5:5" x14ac:dyDescent="0.4">
      <c r="E4051"/>
    </row>
    <row r="4052" spans="5:5" x14ac:dyDescent="0.4">
      <c r="E4052"/>
    </row>
    <row r="4053" spans="5:5" x14ac:dyDescent="0.4">
      <c r="E4053"/>
    </row>
    <row r="4054" spans="5:5" x14ac:dyDescent="0.4">
      <c r="E4054"/>
    </row>
    <row r="4055" spans="5:5" x14ac:dyDescent="0.4">
      <c r="E4055"/>
    </row>
    <row r="4056" spans="5:5" x14ac:dyDescent="0.4">
      <c r="E4056"/>
    </row>
    <row r="4057" spans="5:5" x14ac:dyDescent="0.4">
      <c r="E4057"/>
    </row>
    <row r="4058" spans="5:5" x14ac:dyDescent="0.4">
      <c r="E4058"/>
    </row>
    <row r="4059" spans="5:5" x14ac:dyDescent="0.4">
      <c r="E4059"/>
    </row>
    <row r="4060" spans="5:5" x14ac:dyDescent="0.4">
      <c r="E4060"/>
    </row>
    <row r="4061" spans="5:5" x14ac:dyDescent="0.4">
      <c r="E4061"/>
    </row>
    <row r="4062" spans="5:5" x14ac:dyDescent="0.4">
      <c r="E4062"/>
    </row>
    <row r="4063" spans="5:5" x14ac:dyDescent="0.4">
      <c r="E4063"/>
    </row>
    <row r="4064" spans="5:5" x14ac:dyDescent="0.4">
      <c r="E4064"/>
    </row>
    <row r="4065" spans="5:5" x14ac:dyDescent="0.4">
      <c r="E4065"/>
    </row>
    <row r="4066" spans="5:5" x14ac:dyDescent="0.4">
      <c r="E4066"/>
    </row>
    <row r="4067" spans="5:5" x14ac:dyDescent="0.4">
      <c r="E4067"/>
    </row>
    <row r="4068" spans="5:5" x14ac:dyDescent="0.4">
      <c r="E4068"/>
    </row>
    <row r="4069" spans="5:5" x14ac:dyDescent="0.4">
      <c r="E4069"/>
    </row>
    <row r="4070" spans="5:5" x14ac:dyDescent="0.4">
      <c r="E4070"/>
    </row>
    <row r="4071" spans="5:5" x14ac:dyDescent="0.4">
      <c r="E4071"/>
    </row>
    <row r="4072" spans="5:5" x14ac:dyDescent="0.4">
      <c r="E4072"/>
    </row>
    <row r="4073" spans="5:5" x14ac:dyDescent="0.4">
      <c r="E4073"/>
    </row>
    <row r="4074" spans="5:5" x14ac:dyDescent="0.4">
      <c r="E4074"/>
    </row>
    <row r="4075" spans="5:5" x14ac:dyDescent="0.4">
      <c r="E4075"/>
    </row>
    <row r="4076" spans="5:5" x14ac:dyDescent="0.4">
      <c r="E4076"/>
    </row>
    <row r="4077" spans="5:5" x14ac:dyDescent="0.4">
      <c r="E4077"/>
    </row>
    <row r="4078" spans="5:5" x14ac:dyDescent="0.4">
      <c r="E4078"/>
    </row>
    <row r="4079" spans="5:5" x14ac:dyDescent="0.4">
      <c r="E4079"/>
    </row>
    <row r="4080" spans="5:5" x14ac:dyDescent="0.4">
      <c r="E4080"/>
    </row>
    <row r="4081" spans="5:5" x14ac:dyDescent="0.4">
      <c r="E4081"/>
    </row>
    <row r="4082" spans="5:5" x14ac:dyDescent="0.4">
      <c r="E4082"/>
    </row>
    <row r="4083" spans="5:5" x14ac:dyDescent="0.4">
      <c r="E4083"/>
    </row>
    <row r="4084" spans="5:5" x14ac:dyDescent="0.4">
      <c r="E4084"/>
    </row>
    <row r="4085" spans="5:5" x14ac:dyDescent="0.4">
      <c r="E4085"/>
    </row>
    <row r="4086" spans="5:5" x14ac:dyDescent="0.4">
      <c r="E4086"/>
    </row>
    <row r="4087" spans="5:5" x14ac:dyDescent="0.4">
      <c r="E4087"/>
    </row>
    <row r="4088" spans="5:5" x14ac:dyDescent="0.4">
      <c r="E4088"/>
    </row>
    <row r="4089" spans="5:5" x14ac:dyDescent="0.4">
      <c r="E4089"/>
    </row>
    <row r="4090" spans="5:5" x14ac:dyDescent="0.4">
      <c r="E4090"/>
    </row>
    <row r="4091" spans="5:5" x14ac:dyDescent="0.4">
      <c r="E4091"/>
    </row>
    <row r="4092" spans="5:5" x14ac:dyDescent="0.4">
      <c r="E4092"/>
    </row>
    <row r="4093" spans="5:5" x14ac:dyDescent="0.4">
      <c r="E4093"/>
    </row>
    <row r="4094" spans="5:5" x14ac:dyDescent="0.4">
      <c r="E4094"/>
    </row>
    <row r="4095" spans="5:5" x14ac:dyDescent="0.4">
      <c r="E4095"/>
    </row>
    <row r="4096" spans="5:5" x14ac:dyDescent="0.4">
      <c r="E4096"/>
    </row>
    <row r="4097" spans="5:5" x14ac:dyDescent="0.4">
      <c r="E4097"/>
    </row>
    <row r="4098" spans="5:5" x14ac:dyDescent="0.4">
      <c r="E4098"/>
    </row>
    <row r="4099" spans="5:5" x14ac:dyDescent="0.4">
      <c r="E4099"/>
    </row>
    <row r="4100" spans="5:5" x14ac:dyDescent="0.4">
      <c r="E4100"/>
    </row>
    <row r="4101" spans="5:5" x14ac:dyDescent="0.4">
      <c r="E4101"/>
    </row>
    <row r="4102" spans="5:5" x14ac:dyDescent="0.4">
      <c r="E4102"/>
    </row>
    <row r="4103" spans="5:5" x14ac:dyDescent="0.4">
      <c r="E4103"/>
    </row>
    <row r="4104" spans="5:5" x14ac:dyDescent="0.4">
      <c r="E4104"/>
    </row>
    <row r="4105" spans="5:5" x14ac:dyDescent="0.4">
      <c r="E4105"/>
    </row>
    <row r="4106" spans="5:5" x14ac:dyDescent="0.4">
      <c r="E4106"/>
    </row>
    <row r="4107" spans="5:5" x14ac:dyDescent="0.4">
      <c r="E4107"/>
    </row>
    <row r="4108" spans="5:5" x14ac:dyDescent="0.4">
      <c r="E4108"/>
    </row>
    <row r="4109" spans="5:5" x14ac:dyDescent="0.4">
      <c r="E4109"/>
    </row>
    <row r="4110" spans="5:5" x14ac:dyDescent="0.4">
      <c r="E4110"/>
    </row>
    <row r="4111" spans="5:5" x14ac:dyDescent="0.4">
      <c r="E4111"/>
    </row>
    <row r="4112" spans="5:5" x14ac:dyDescent="0.4">
      <c r="E4112"/>
    </row>
    <row r="4113" spans="5:5" x14ac:dyDescent="0.4">
      <c r="E4113"/>
    </row>
    <row r="4114" spans="5:5" x14ac:dyDescent="0.4">
      <c r="E4114"/>
    </row>
    <row r="4115" spans="5:5" x14ac:dyDescent="0.4">
      <c r="E4115"/>
    </row>
    <row r="4116" spans="5:5" x14ac:dyDescent="0.4">
      <c r="E4116"/>
    </row>
    <row r="4117" spans="5:5" x14ac:dyDescent="0.4">
      <c r="E4117"/>
    </row>
    <row r="4118" spans="5:5" x14ac:dyDescent="0.4">
      <c r="E4118"/>
    </row>
    <row r="4119" spans="5:5" x14ac:dyDescent="0.4">
      <c r="E4119"/>
    </row>
    <row r="4120" spans="5:5" x14ac:dyDescent="0.4">
      <c r="E4120"/>
    </row>
    <row r="4121" spans="5:5" x14ac:dyDescent="0.4">
      <c r="E4121"/>
    </row>
    <row r="4122" spans="5:5" x14ac:dyDescent="0.4">
      <c r="E4122"/>
    </row>
    <row r="4123" spans="5:5" x14ac:dyDescent="0.4">
      <c r="E4123"/>
    </row>
    <row r="4124" spans="5:5" x14ac:dyDescent="0.4">
      <c r="E4124"/>
    </row>
    <row r="4125" spans="5:5" x14ac:dyDescent="0.4">
      <c r="E4125"/>
    </row>
    <row r="4126" spans="5:5" x14ac:dyDescent="0.4">
      <c r="E4126"/>
    </row>
    <row r="4127" spans="5:5" x14ac:dyDescent="0.4">
      <c r="E4127"/>
    </row>
    <row r="4128" spans="5:5" x14ac:dyDescent="0.4">
      <c r="E4128"/>
    </row>
    <row r="4129" spans="5:5" x14ac:dyDescent="0.4">
      <c r="E4129"/>
    </row>
    <row r="4130" spans="5:5" x14ac:dyDescent="0.4">
      <c r="E4130"/>
    </row>
    <row r="4131" spans="5:5" x14ac:dyDescent="0.4">
      <c r="E4131"/>
    </row>
    <row r="4132" spans="5:5" x14ac:dyDescent="0.4">
      <c r="E4132"/>
    </row>
    <row r="4133" spans="5:5" x14ac:dyDescent="0.4">
      <c r="E4133"/>
    </row>
    <row r="4134" spans="5:5" x14ac:dyDescent="0.4">
      <c r="E4134"/>
    </row>
    <row r="4135" spans="5:5" x14ac:dyDescent="0.4">
      <c r="E4135"/>
    </row>
    <row r="4136" spans="5:5" x14ac:dyDescent="0.4">
      <c r="E4136"/>
    </row>
    <row r="4137" spans="5:5" x14ac:dyDescent="0.4">
      <c r="E4137"/>
    </row>
    <row r="4138" spans="5:5" x14ac:dyDescent="0.4">
      <c r="E4138"/>
    </row>
    <row r="4139" spans="5:5" x14ac:dyDescent="0.4">
      <c r="E4139"/>
    </row>
    <row r="4140" spans="5:5" x14ac:dyDescent="0.4">
      <c r="E4140"/>
    </row>
    <row r="4141" spans="5:5" x14ac:dyDescent="0.4">
      <c r="E4141"/>
    </row>
    <row r="4142" spans="5:5" x14ac:dyDescent="0.4">
      <c r="E4142"/>
    </row>
    <row r="4143" spans="5:5" x14ac:dyDescent="0.4">
      <c r="E4143"/>
    </row>
    <row r="4144" spans="5:5" x14ac:dyDescent="0.4">
      <c r="E4144"/>
    </row>
    <row r="4145" spans="5:5" x14ac:dyDescent="0.4">
      <c r="E4145"/>
    </row>
    <row r="4146" spans="5:5" x14ac:dyDescent="0.4">
      <c r="E4146"/>
    </row>
    <row r="4147" spans="5:5" x14ac:dyDescent="0.4">
      <c r="E4147"/>
    </row>
    <row r="4148" spans="5:5" x14ac:dyDescent="0.4">
      <c r="E4148"/>
    </row>
    <row r="4149" spans="5:5" x14ac:dyDescent="0.4">
      <c r="E4149"/>
    </row>
    <row r="4150" spans="5:5" x14ac:dyDescent="0.4">
      <c r="E4150"/>
    </row>
    <row r="4151" spans="5:5" x14ac:dyDescent="0.4">
      <c r="E4151"/>
    </row>
    <row r="4152" spans="5:5" x14ac:dyDescent="0.4">
      <c r="E4152"/>
    </row>
    <row r="4153" spans="5:5" x14ac:dyDescent="0.4">
      <c r="E4153"/>
    </row>
    <row r="4154" spans="5:5" x14ac:dyDescent="0.4">
      <c r="E4154"/>
    </row>
    <row r="4155" spans="5:5" x14ac:dyDescent="0.4">
      <c r="E4155"/>
    </row>
    <row r="4156" spans="5:5" x14ac:dyDescent="0.4">
      <c r="E4156"/>
    </row>
    <row r="4157" spans="5:5" x14ac:dyDescent="0.4">
      <c r="E4157"/>
    </row>
    <row r="4158" spans="5:5" x14ac:dyDescent="0.4">
      <c r="E4158"/>
    </row>
    <row r="4159" spans="5:5" x14ac:dyDescent="0.4">
      <c r="E4159"/>
    </row>
    <row r="4160" spans="5:5" x14ac:dyDescent="0.4">
      <c r="E4160"/>
    </row>
    <row r="4161" spans="5:5" x14ac:dyDescent="0.4">
      <c r="E4161"/>
    </row>
    <row r="4162" spans="5:5" x14ac:dyDescent="0.4">
      <c r="E4162"/>
    </row>
    <row r="4163" spans="5:5" x14ac:dyDescent="0.4">
      <c r="E4163"/>
    </row>
    <row r="4164" spans="5:5" x14ac:dyDescent="0.4">
      <c r="E4164"/>
    </row>
    <row r="4165" spans="5:5" x14ac:dyDescent="0.4">
      <c r="E4165"/>
    </row>
    <row r="4166" spans="5:5" x14ac:dyDescent="0.4">
      <c r="E4166"/>
    </row>
    <row r="4167" spans="5:5" x14ac:dyDescent="0.4">
      <c r="E4167"/>
    </row>
    <row r="4168" spans="5:5" x14ac:dyDescent="0.4">
      <c r="E4168"/>
    </row>
    <row r="4169" spans="5:5" x14ac:dyDescent="0.4">
      <c r="E4169"/>
    </row>
    <row r="4170" spans="5:5" x14ac:dyDescent="0.4">
      <c r="E4170"/>
    </row>
    <row r="4171" spans="5:5" x14ac:dyDescent="0.4">
      <c r="E4171"/>
    </row>
    <row r="4172" spans="5:5" x14ac:dyDescent="0.4">
      <c r="E4172"/>
    </row>
    <row r="4173" spans="5:5" x14ac:dyDescent="0.4">
      <c r="E4173"/>
    </row>
    <row r="4174" spans="5:5" x14ac:dyDescent="0.4">
      <c r="E4174"/>
    </row>
    <row r="4175" spans="5:5" x14ac:dyDescent="0.4">
      <c r="E4175"/>
    </row>
    <row r="4176" spans="5:5" x14ac:dyDescent="0.4">
      <c r="E4176"/>
    </row>
    <row r="4177" spans="5:5" x14ac:dyDescent="0.4">
      <c r="E4177"/>
    </row>
    <row r="4178" spans="5:5" x14ac:dyDescent="0.4">
      <c r="E4178"/>
    </row>
    <row r="4179" spans="5:5" x14ac:dyDescent="0.4">
      <c r="E4179"/>
    </row>
    <row r="4180" spans="5:5" x14ac:dyDescent="0.4">
      <c r="E4180"/>
    </row>
    <row r="4181" spans="5:5" x14ac:dyDescent="0.4">
      <c r="E4181"/>
    </row>
    <row r="4182" spans="5:5" x14ac:dyDescent="0.4">
      <c r="E4182"/>
    </row>
    <row r="4183" spans="5:5" x14ac:dyDescent="0.4">
      <c r="E4183"/>
    </row>
    <row r="4184" spans="5:5" x14ac:dyDescent="0.4">
      <c r="E4184"/>
    </row>
    <row r="4185" spans="5:5" x14ac:dyDescent="0.4">
      <c r="E4185"/>
    </row>
    <row r="4186" spans="5:5" x14ac:dyDescent="0.4">
      <c r="E4186"/>
    </row>
    <row r="4187" spans="5:5" x14ac:dyDescent="0.4">
      <c r="E4187"/>
    </row>
    <row r="4188" spans="5:5" x14ac:dyDescent="0.4">
      <c r="E4188"/>
    </row>
    <row r="4189" spans="5:5" x14ac:dyDescent="0.4">
      <c r="E4189"/>
    </row>
    <row r="4190" spans="5:5" x14ac:dyDescent="0.4">
      <c r="E4190"/>
    </row>
    <row r="4191" spans="5:5" x14ac:dyDescent="0.4">
      <c r="E4191"/>
    </row>
    <row r="4192" spans="5:5" x14ac:dyDescent="0.4">
      <c r="E4192"/>
    </row>
    <row r="4193" spans="5:5" x14ac:dyDescent="0.4">
      <c r="E4193"/>
    </row>
    <row r="4194" spans="5:5" x14ac:dyDescent="0.4">
      <c r="E4194"/>
    </row>
    <row r="4195" spans="5:5" x14ac:dyDescent="0.4">
      <c r="E4195"/>
    </row>
    <row r="4196" spans="5:5" x14ac:dyDescent="0.4">
      <c r="E4196"/>
    </row>
    <row r="4197" spans="5:5" x14ac:dyDescent="0.4">
      <c r="E4197"/>
    </row>
    <row r="4198" spans="5:5" x14ac:dyDescent="0.4">
      <c r="E4198"/>
    </row>
    <row r="4199" spans="5:5" x14ac:dyDescent="0.4">
      <c r="E4199"/>
    </row>
    <row r="4200" spans="5:5" x14ac:dyDescent="0.4">
      <c r="E4200"/>
    </row>
    <row r="4201" spans="5:5" x14ac:dyDescent="0.4">
      <c r="E4201"/>
    </row>
    <row r="4202" spans="5:5" x14ac:dyDescent="0.4">
      <c r="E4202"/>
    </row>
    <row r="4203" spans="5:5" x14ac:dyDescent="0.4">
      <c r="E4203"/>
    </row>
    <row r="4204" spans="5:5" x14ac:dyDescent="0.4">
      <c r="E4204"/>
    </row>
    <row r="4205" spans="5:5" x14ac:dyDescent="0.4">
      <c r="E4205"/>
    </row>
    <row r="4206" spans="5:5" x14ac:dyDescent="0.4">
      <c r="E4206"/>
    </row>
    <row r="4207" spans="5:5" x14ac:dyDescent="0.4">
      <c r="E4207"/>
    </row>
    <row r="4208" spans="5:5" x14ac:dyDescent="0.4">
      <c r="E4208"/>
    </row>
    <row r="4209" spans="5:5" x14ac:dyDescent="0.4">
      <c r="E4209"/>
    </row>
    <row r="4210" spans="5:5" x14ac:dyDescent="0.4">
      <c r="E4210"/>
    </row>
    <row r="4211" spans="5:5" x14ac:dyDescent="0.4">
      <c r="E4211"/>
    </row>
    <row r="4212" spans="5:5" x14ac:dyDescent="0.4">
      <c r="E4212"/>
    </row>
    <row r="4213" spans="5:5" x14ac:dyDescent="0.4">
      <c r="E4213"/>
    </row>
    <row r="4214" spans="5:5" x14ac:dyDescent="0.4">
      <c r="E4214"/>
    </row>
    <row r="4215" spans="5:5" x14ac:dyDescent="0.4">
      <c r="E4215"/>
    </row>
    <row r="4216" spans="5:5" x14ac:dyDescent="0.4">
      <c r="E4216"/>
    </row>
    <row r="4217" spans="5:5" x14ac:dyDescent="0.4">
      <c r="E4217"/>
    </row>
    <row r="4218" spans="5:5" x14ac:dyDescent="0.4">
      <c r="E4218"/>
    </row>
    <row r="4219" spans="5:5" x14ac:dyDescent="0.4">
      <c r="E4219"/>
    </row>
    <row r="4220" spans="5:5" x14ac:dyDescent="0.4">
      <c r="E4220"/>
    </row>
    <row r="4221" spans="5:5" x14ac:dyDescent="0.4">
      <c r="E4221"/>
    </row>
    <row r="4222" spans="5:5" x14ac:dyDescent="0.4">
      <c r="E4222"/>
    </row>
    <row r="4223" spans="5:5" x14ac:dyDescent="0.4">
      <c r="E4223"/>
    </row>
    <row r="4224" spans="5:5" x14ac:dyDescent="0.4">
      <c r="E4224"/>
    </row>
    <row r="4225" spans="5:5" x14ac:dyDescent="0.4">
      <c r="E4225"/>
    </row>
    <row r="4226" spans="5:5" x14ac:dyDescent="0.4">
      <c r="E4226"/>
    </row>
    <row r="4227" spans="5:5" x14ac:dyDescent="0.4">
      <c r="E4227"/>
    </row>
    <row r="4228" spans="5:5" x14ac:dyDescent="0.4">
      <c r="E4228"/>
    </row>
    <row r="4229" spans="5:5" x14ac:dyDescent="0.4">
      <c r="E4229"/>
    </row>
    <row r="4230" spans="5:5" x14ac:dyDescent="0.4">
      <c r="E4230"/>
    </row>
    <row r="4231" spans="5:5" x14ac:dyDescent="0.4">
      <c r="E4231"/>
    </row>
    <row r="4232" spans="5:5" x14ac:dyDescent="0.4">
      <c r="E4232"/>
    </row>
    <row r="4233" spans="5:5" x14ac:dyDescent="0.4">
      <c r="E4233"/>
    </row>
    <row r="4234" spans="5:5" x14ac:dyDescent="0.4">
      <c r="E4234"/>
    </row>
    <row r="4235" spans="5:5" x14ac:dyDescent="0.4">
      <c r="E4235"/>
    </row>
    <row r="4236" spans="5:5" x14ac:dyDescent="0.4">
      <c r="E4236"/>
    </row>
    <row r="4237" spans="5:5" x14ac:dyDescent="0.4">
      <c r="E4237"/>
    </row>
    <row r="4238" spans="5:5" x14ac:dyDescent="0.4">
      <c r="E4238"/>
    </row>
    <row r="4239" spans="5:5" x14ac:dyDescent="0.4">
      <c r="E4239"/>
    </row>
    <row r="4240" spans="5:5" x14ac:dyDescent="0.4">
      <c r="E4240"/>
    </row>
    <row r="4241" spans="5:5" x14ac:dyDescent="0.4">
      <c r="E4241"/>
    </row>
    <row r="4242" spans="5:5" x14ac:dyDescent="0.4">
      <c r="E4242"/>
    </row>
    <row r="4243" spans="5:5" x14ac:dyDescent="0.4">
      <c r="E4243"/>
    </row>
    <row r="4244" spans="5:5" x14ac:dyDescent="0.4">
      <c r="E4244"/>
    </row>
    <row r="4245" spans="5:5" x14ac:dyDescent="0.4">
      <c r="E4245"/>
    </row>
    <row r="4246" spans="5:5" x14ac:dyDescent="0.4">
      <c r="E4246"/>
    </row>
    <row r="4247" spans="5:5" x14ac:dyDescent="0.4">
      <c r="E4247"/>
    </row>
    <row r="4248" spans="5:5" x14ac:dyDescent="0.4">
      <c r="E4248"/>
    </row>
    <row r="4249" spans="5:5" x14ac:dyDescent="0.4">
      <c r="E4249"/>
    </row>
    <row r="4250" spans="5:5" x14ac:dyDescent="0.4">
      <c r="E4250"/>
    </row>
    <row r="4251" spans="5:5" x14ac:dyDescent="0.4">
      <c r="E4251"/>
    </row>
    <row r="4252" spans="5:5" x14ac:dyDescent="0.4">
      <c r="E4252"/>
    </row>
    <row r="4253" spans="5:5" x14ac:dyDescent="0.4">
      <c r="E4253"/>
    </row>
    <row r="4254" spans="5:5" x14ac:dyDescent="0.4">
      <c r="E4254"/>
    </row>
    <row r="4255" spans="5:5" x14ac:dyDescent="0.4">
      <c r="E4255"/>
    </row>
    <row r="4256" spans="5:5" x14ac:dyDescent="0.4">
      <c r="E4256"/>
    </row>
    <row r="4257" spans="5:5" x14ac:dyDescent="0.4">
      <c r="E4257"/>
    </row>
    <row r="4258" spans="5:5" x14ac:dyDescent="0.4">
      <c r="E4258"/>
    </row>
    <row r="4259" spans="5:5" x14ac:dyDescent="0.4">
      <c r="E4259"/>
    </row>
    <row r="4260" spans="5:5" x14ac:dyDescent="0.4">
      <c r="E4260"/>
    </row>
    <row r="4261" spans="5:5" x14ac:dyDescent="0.4">
      <c r="E4261"/>
    </row>
    <row r="4262" spans="5:5" x14ac:dyDescent="0.4">
      <c r="E4262"/>
    </row>
    <row r="4263" spans="5:5" x14ac:dyDescent="0.4">
      <c r="E4263"/>
    </row>
    <row r="4264" spans="5:5" x14ac:dyDescent="0.4">
      <c r="E4264"/>
    </row>
    <row r="4265" spans="5:5" x14ac:dyDescent="0.4">
      <c r="E4265"/>
    </row>
    <row r="4266" spans="5:5" x14ac:dyDescent="0.4">
      <c r="E4266"/>
    </row>
    <row r="4267" spans="5:5" x14ac:dyDescent="0.4">
      <c r="E4267"/>
    </row>
    <row r="4268" spans="5:5" x14ac:dyDescent="0.4">
      <c r="E4268"/>
    </row>
    <row r="4269" spans="5:5" x14ac:dyDescent="0.4">
      <c r="E4269"/>
    </row>
    <row r="4270" spans="5:5" x14ac:dyDescent="0.4">
      <c r="E4270"/>
    </row>
    <row r="4271" spans="5:5" x14ac:dyDescent="0.4">
      <c r="E4271"/>
    </row>
    <row r="4272" spans="5:5" x14ac:dyDescent="0.4">
      <c r="E4272"/>
    </row>
    <row r="4273" spans="5:5" x14ac:dyDescent="0.4">
      <c r="E4273"/>
    </row>
    <row r="4274" spans="5:5" x14ac:dyDescent="0.4">
      <c r="E4274"/>
    </row>
    <row r="4275" spans="5:5" x14ac:dyDescent="0.4">
      <c r="E4275"/>
    </row>
    <row r="4276" spans="5:5" x14ac:dyDescent="0.4">
      <c r="E4276"/>
    </row>
    <row r="4277" spans="5:5" x14ac:dyDescent="0.4">
      <c r="E4277"/>
    </row>
    <row r="4278" spans="5:5" x14ac:dyDescent="0.4">
      <c r="E4278"/>
    </row>
    <row r="4279" spans="5:5" x14ac:dyDescent="0.4">
      <c r="E4279"/>
    </row>
    <row r="4280" spans="5:5" x14ac:dyDescent="0.4">
      <c r="E4280"/>
    </row>
    <row r="4281" spans="5:5" x14ac:dyDescent="0.4">
      <c r="E4281"/>
    </row>
    <row r="4282" spans="5:5" x14ac:dyDescent="0.4">
      <c r="E4282"/>
    </row>
    <row r="4283" spans="5:5" x14ac:dyDescent="0.4">
      <c r="E4283"/>
    </row>
    <row r="4284" spans="5:5" x14ac:dyDescent="0.4">
      <c r="E4284"/>
    </row>
    <row r="4285" spans="5:5" x14ac:dyDescent="0.4">
      <c r="E4285"/>
    </row>
    <row r="4286" spans="5:5" x14ac:dyDescent="0.4">
      <c r="E4286"/>
    </row>
    <row r="4287" spans="5:5" x14ac:dyDescent="0.4">
      <c r="E4287"/>
    </row>
    <row r="4288" spans="5:5" x14ac:dyDescent="0.4">
      <c r="E4288"/>
    </row>
    <row r="4289" spans="5:5" x14ac:dyDescent="0.4">
      <c r="E4289"/>
    </row>
    <row r="4290" spans="5:5" x14ac:dyDescent="0.4">
      <c r="E4290"/>
    </row>
    <row r="4291" spans="5:5" x14ac:dyDescent="0.4">
      <c r="E4291"/>
    </row>
    <row r="4292" spans="5:5" x14ac:dyDescent="0.4">
      <c r="E4292"/>
    </row>
    <row r="4293" spans="5:5" x14ac:dyDescent="0.4">
      <c r="E4293"/>
    </row>
    <row r="4294" spans="5:5" x14ac:dyDescent="0.4">
      <c r="E4294"/>
    </row>
    <row r="4295" spans="5:5" x14ac:dyDescent="0.4">
      <c r="E4295"/>
    </row>
    <row r="4296" spans="5:5" x14ac:dyDescent="0.4">
      <c r="E4296"/>
    </row>
    <row r="4297" spans="5:5" x14ac:dyDescent="0.4">
      <c r="E4297"/>
    </row>
    <row r="4298" spans="5:5" x14ac:dyDescent="0.4">
      <c r="E4298"/>
    </row>
    <row r="4299" spans="5:5" x14ac:dyDescent="0.4">
      <c r="E4299"/>
    </row>
    <row r="4300" spans="5:5" x14ac:dyDescent="0.4">
      <c r="E4300"/>
    </row>
    <row r="4301" spans="5:5" x14ac:dyDescent="0.4">
      <c r="E4301"/>
    </row>
    <row r="4302" spans="5:5" x14ac:dyDescent="0.4">
      <c r="E4302"/>
    </row>
    <row r="4303" spans="5:5" x14ac:dyDescent="0.4">
      <c r="E4303"/>
    </row>
    <row r="4304" spans="5:5" x14ac:dyDescent="0.4">
      <c r="E4304"/>
    </row>
    <row r="4305" spans="5:5" x14ac:dyDescent="0.4">
      <c r="E4305"/>
    </row>
    <row r="4306" spans="5:5" x14ac:dyDescent="0.4">
      <c r="E4306"/>
    </row>
    <row r="4307" spans="5:5" x14ac:dyDescent="0.4">
      <c r="E4307"/>
    </row>
    <row r="4308" spans="5:5" x14ac:dyDescent="0.4">
      <c r="E4308"/>
    </row>
    <row r="4309" spans="5:5" x14ac:dyDescent="0.4">
      <c r="E4309"/>
    </row>
    <row r="4310" spans="5:5" x14ac:dyDescent="0.4">
      <c r="E4310"/>
    </row>
    <row r="4311" spans="5:5" x14ac:dyDescent="0.4">
      <c r="E4311"/>
    </row>
    <row r="4312" spans="5:5" x14ac:dyDescent="0.4">
      <c r="E4312"/>
    </row>
    <row r="4313" spans="5:5" x14ac:dyDescent="0.4">
      <c r="E4313"/>
    </row>
    <row r="4314" spans="5:5" x14ac:dyDescent="0.4">
      <c r="E4314"/>
    </row>
    <row r="4315" spans="5:5" x14ac:dyDescent="0.4">
      <c r="E4315"/>
    </row>
    <row r="4316" spans="5:5" x14ac:dyDescent="0.4">
      <c r="E4316"/>
    </row>
    <row r="4317" spans="5:5" x14ac:dyDescent="0.4">
      <c r="E4317"/>
    </row>
    <row r="4318" spans="5:5" x14ac:dyDescent="0.4">
      <c r="E4318"/>
    </row>
    <row r="4319" spans="5:5" x14ac:dyDescent="0.4">
      <c r="E4319"/>
    </row>
    <row r="4320" spans="5:5" x14ac:dyDescent="0.4">
      <c r="E4320"/>
    </row>
    <row r="4321" spans="5:5" x14ac:dyDescent="0.4">
      <c r="E4321"/>
    </row>
    <row r="4322" spans="5:5" x14ac:dyDescent="0.4">
      <c r="E4322"/>
    </row>
    <row r="4323" spans="5:5" x14ac:dyDescent="0.4">
      <c r="E4323"/>
    </row>
    <row r="4324" spans="5:5" x14ac:dyDescent="0.4">
      <c r="E4324"/>
    </row>
    <row r="4325" spans="5:5" x14ac:dyDescent="0.4">
      <c r="E4325"/>
    </row>
    <row r="4326" spans="5:5" x14ac:dyDescent="0.4">
      <c r="E4326"/>
    </row>
    <row r="4327" spans="5:5" x14ac:dyDescent="0.4">
      <c r="E4327"/>
    </row>
    <row r="4328" spans="5:5" x14ac:dyDescent="0.4">
      <c r="E4328"/>
    </row>
    <row r="4329" spans="5:5" x14ac:dyDescent="0.4">
      <c r="E4329"/>
    </row>
    <row r="4330" spans="5:5" x14ac:dyDescent="0.4">
      <c r="E4330"/>
    </row>
    <row r="4331" spans="5:5" x14ac:dyDescent="0.4">
      <c r="E4331"/>
    </row>
    <row r="4332" spans="5:5" x14ac:dyDescent="0.4">
      <c r="E4332"/>
    </row>
    <row r="4333" spans="5:5" x14ac:dyDescent="0.4">
      <c r="E4333"/>
    </row>
    <row r="4334" spans="5:5" x14ac:dyDescent="0.4">
      <c r="E4334"/>
    </row>
    <row r="4335" spans="5:5" x14ac:dyDescent="0.4">
      <c r="E4335"/>
    </row>
    <row r="4336" spans="5:5" x14ac:dyDescent="0.4">
      <c r="E4336"/>
    </row>
    <row r="4337" spans="5:5" x14ac:dyDescent="0.4">
      <c r="E4337"/>
    </row>
    <row r="4338" spans="5:5" x14ac:dyDescent="0.4">
      <c r="E4338"/>
    </row>
    <row r="4339" spans="5:5" x14ac:dyDescent="0.4">
      <c r="E4339"/>
    </row>
    <row r="4340" spans="5:5" x14ac:dyDescent="0.4">
      <c r="E4340"/>
    </row>
    <row r="4341" spans="5:5" x14ac:dyDescent="0.4">
      <c r="E4341"/>
    </row>
    <row r="4342" spans="5:5" x14ac:dyDescent="0.4">
      <c r="E4342"/>
    </row>
    <row r="4343" spans="5:5" x14ac:dyDescent="0.4">
      <c r="E4343"/>
    </row>
    <row r="4344" spans="5:5" x14ac:dyDescent="0.4">
      <c r="E4344"/>
    </row>
    <row r="4345" spans="5:5" x14ac:dyDescent="0.4">
      <c r="E434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I8" sqref="I8"/>
    </sheetView>
  </sheetViews>
  <sheetFormatPr defaultRowHeight="14.6" x14ac:dyDescent="0.4"/>
  <cols>
    <col min="1" max="1" width="32" bestFit="1" customWidth="1"/>
    <col min="2" max="2" width="38.84375" bestFit="1" customWidth="1"/>
    <col min="3" max="3" width="10.3828125" bestFit="1" customWidth="1"/>
    <col min="4" max="4" width="23.3828125" bestFit="1" customWidth="1"/>
    <col min="5" max="5" width="15.53515625" bestFit="1" customWidth="1"/>
    <col min="6" max="8" width="10.15234375" bestFit="1" customWidth="1"/>
    <col min="9" max="9" width="151.53515625" bestFit="1" customWidth="1"/>
  </cols>
  <sheetData>
    <row r="1" spans="1:9" x14ac:dyDescent="0.4">
      <c r="E1" s="1"/>
      <c r="F1" s="1" t="s">
        <v>304</v>
      </c>
      <c r="G1" s="1" t="s">
        <v>305</v>
      </c>
      <c r="H1" s="1" t="s">
        <v>306</v>
      </c>
      <c r="I1" t="s">
        <v>307</v>
      </c>
    </row>
    <row r="2" spans="1:9" x14ac:dyDescent="0.4">
      <c r="E2" s="1">
        <v>122385.12</v>
      </c>
      <c r="F2" s="1">
        <v>92670.41</v>
      </c>
      <c r="G2" s="1">
        <v>29714.71</v>
      </c>
      <c r="H2" s="1">
        <v>49972.100000000006</v>
      </c>
    </row>
    <row r="3" spans="1:9" x14ac:dyDescent="0.4">
      <c r="A3" t="s">
        <v>308</v>
      </c>
      <c r="B3" t="s">
        <v>309</v>
      </c>
      <c r="C3" t="s">
        <v>843</v>
      </c>
      <c r="D3" t="s">
        <v>311</v>
      </c>
      <c r="E3" s="1" t="s">
        <v>313</v>
      </c>
      <c r="F3" s="1"/>
      <c r="G3" s="1"/>
      <c r="H3" s="1"/>
    </row>
    <row r="4" spans="1:9" x14ac:dyDescent="0.4">
      <c r="A4" s="10" t="s">
        <v>1143</v>
      </c>
      <c r="E4" s="1"/>
      <c r="F4" s="1"/>
      <c r="G4" s="1"/>
      <c r="H4" s="1"/>
    </row>
    <row r="5" spans="1:9" x14ac:dyDescent="0.4">
      <c r="A5" s="10" t="s">
        <v>5</v>
      </c>
      <c r="E5" s="1"/>
      <c r="F5" s="1"/>
      <c r="G5" s="1"/>
      <c r="H5" s="1"/>
    </row>
    <row r="6" spans="1:9" x14ac:dyDescent="0.4">
      <c r="A6" s="11" t="s">
        <v>314</v>
      </c>
      <c r="B6" s="10" t="s">
        <v>774</v>
      </c>
      <c r="C6" s="10" t="s">
        <v>359</v>
      </c>
      <c r="D6" s="10" t="s">
        <v>773</v>
      </c>
      <c r="E6" s="1">
        <v>24992.23</v>
      </c>
      <c r="F6" s="1">
        <v>24992.23</v>
      </c>
      <c r="G6" s="1"/>
      <c r="H6" s="1"/>
      <c r="I6" t="s">
        <v>826</v>
      </c>
    </row>
    <row r="7" spans="1:9" x14ac:dyDescent="0.4">
      <c r="A7" s="11" t="s">
        <v>411</v>
      </c>
      <c r="B7" s="10" t="s">
        <v>781</v>
      </c>
      <c r="C7" s="10" t="s">
        <v>359</v>
      </c>
      <c r="D7" s="10" t="s">
        <v>768</v>
      </c>
      <c r="E7" s="1">
        <v>985</v>
      </c>
      <c r="F7" s="1"/>
      <c r="G7" s="1"/>
      <c r="H7" s="1">
        <v>985</v>
      </c>
      <c r="I7" t="s">
        <v>827</v>
      </c>
    </row>
    <row r="8" spans="1:9" x14ac:dyDescent="0.4">
      <c r="A8" s="11" t="s">
        <v>787</v>
      </c>
      <c r="B8" s="10" t="s">
        <v>788</v>
      </c>
      <c r="C8" s="10" t="s">
        <v>359</v>
      </c>
      <c r="D8" s="10" t="s">
        <v>773</v>
      </c>
      <c r="E8" s="1">
        <v>1013</v>
      </c>
      <c r="F8" s="1"/>
      <c r="G8" s="1">
        <v>1013</v>
      </c>
      <c r="H8" s="1"/>
      <c r="I8" t="s">
        <v>828</v>
      </c>
    </row>
    <row r="9" spans="1:9" x14ac:dyDescent="0.4">
      <c r="A9" s="11" t="s">
        <v>789</v>
      </c>
      <c r="B9" s="10" t="s">
        <v>792</v>
      </c>
      <c r="C9" s="10" t="s">
        <v>359</v>
      </c>
      <c r="D9" s="10" t="s">
        <v>780</v>
      </c>
      <c r="E9" s="1">
        <v>25507.21</v>
      </c>
      <c r="F9" s="1"/>
      <c r="G9" s="1">
        <v>25507.21</v>
      </c>
      <c r="H9" s="1"/>
      <c r="I9" t="s">
        <v>829</v>
      </c>
    </row>
    <row r="10" spans="1:9" x14ac:dyDescent="0.4">
      <c r="B10" s="10" t="s">
        <v>793</v>
      </c>
      <c r="C10" s="10" t="s">
        <v>359</v>
      </c>
      <c r="D10" s="10" t="s">
        <v>780</v>
      </c>
      <c r="E10" s="1">
        <v>29945.99</v>
      </c>
      <c r="F10" s="1"/>
      <c r="G10" s="1"/>
      <c r="H10" s="1">
        <v>29945.99</v>
      </c>
      <c r="I10" t="s">
        <v>830</v>
      </c>
    </row>
    <row r="11" spans="1:9" x14ac:dyDescent="0.4">
      <c r="A11" s="11" t="s">
        <v>1128</v>
      </c>
      <c r="B11" s="10" t="s">
        <v>1129</v>
      </c>
      <c r="C11" s="10" t="s">
        <v>359</v>
      </c>
      <c r="D11" s="10" t="s">
        <v>1097</v>
      </c>
      <c r="E11" s="1">
        <v>554.49</v>
      </c>
      <c r="F11" s="1">
        <v>554.49</v>
      </c>
      <c r="G11" s="1"/>
      <c r="H11" s="1"/>
      <c r="I11" t="s">
        <v>831</v>
      </c>
    </row>
    <row r="12" spans="1:9" x14ac:dyDescent="0.4">
      <c r="A12" s="11" t="s">
        <v>795</v>
      </c>
      <c r="B12" s="10" t="s">
        <v>796</v>
      </c>
      <c r="C12" s="10" t="s">
        <v>359</v>
      </c>
      <c r="D12" s="10" t="s">
        <v>770</v>
      </c>
      <c r="E12" s="1">
        <v>1000</v>
      </c>
      <c r="F12" s="1"/>
      <c r="G12" s="1"/>
      <c r="H12" s="1">
        <v>1000</v>
      </c>
      <c r="I12" t="s">
        <v>832</v>
      </c>
    </row>
    <row r="13" spans="1:9" x14ac:dyDescent="0.4">
      <c r="A13" s="11" t="s">
        <v>560</v>
      </c>
      <c r="B13" s="10" t="s">
        <v>1144</v>
      </c>
      <c r="C13" s="10" t="s">
        <v>1145</v>
      </c>
      <c r="D13" s="10" t="s">
        <v>773</v>
      </c>
      <c r="E13" s="1">
        <v>445</v>
      </c>
      <c r="F13" s="1">
        <v>445</v>
      </c>
      <c r="G13" s="1"/>
      <c r="H13" s="1"/>
    </row>
    <row r="14" spans="1:9" x14ac:dyDescent="0.4">
      <c r="A14" s="23" t="s">
        <v>798</v>
      </c>
      <c r="B14" s="10" t="s">
        <v>799</v>
      </c>
      <c r="C14" s="10" t="s">
        <v>359</v>
      </c>
      <c r="D14" s="10" t="s">
        <v>780</v>
      </c>
      <c r="E14" s="1">
        <v>6000</v>
      </c>
      <c r="F14" s="1">
        <v>6000</v>
      </c>
      <c r="G14" s="1"/>
      <c r="H14" s="1"/>
      <c r="I14" t="s">
        <v>833</v>
      </c>
    </row>
    <row r="15" spans="1:9" x14ac:dyDescent="0.4">
      <c r="A15" s="11" t="s">
        <v>197</v>
      </c>
      <c r="B15" s="10" t="s">
        <v>800</v>
      </c>
      <c r="C15" s="10" t="s">
        <v>359</v>
      </c>
      <c r="D15" s="10" t="s">
        <v>780</v>
      </c>
      <c r="E15" s="1">
        <v>3100</v>
      </c>
      <c r="F15" s="1"/>
      <c r="G15" s="1"/>
      <c r="H15" s="1">
        <v>3100</v>
      </c>
      <c r="I15" t="s">
        <v>834</v>
      </c>
    </row>
    <row r="16" spans="1:9" x14ac:dyDescent="0.4">
      <c r="A16" s="11" t="s">
        <v>594</v>
      </c>
      <c r="B16" s="10" t="s">
        <v>801</v>
      </c>
      <c r="C16" s="10" t="s">
        <v>359</v>
      </c>
      <c r="D16" s="10" t="s">
        <v>773</v>
      </c>
      <c r="E16" s="1">
        <v>310</v>
      </c>
      <c r="F16" s="1"/>
      <c r="G16" s="1"/>
      <c r="H16" s="1">
        <v>310</v>
      </c>
      <c r="I16" t="s">
        <v>834</v>
      </c>
    </row>
    <row r="17" spans="1:9" x14ac:dyDescent="0.4">
      <c r="A17" s="11" t="s">
        <v>802</v>
      </c>
      <c r="B17" s="10" t="s">
        <v>803</v>
      </c>
      <c r="C17" s="10" t="s">
        <v>359</v>
      </c>
      <c r="D17" s="10" t="s">
        <v>780</v>
      </c>
      <c r="E17" s="1">
        <v>3564</v>
      </c>
      <c r="F17" s="1"/>
      <c r="G17" s="1"/>
      <c r="H17" s="1">
        <v>3564</v>
      </c>
      <c r="I17" t="s">
        <v>835</v>
      </c>
    </row>
    <row r="18" spans="1:9" x14ac:dyDescent="0.4">
      <c r="B18" s="10" t="s">
        <v>1132</v>
      </c>
      <c r="C18" s="10" t="s">
        <v>359</v>
      </c>
      <c r="D18" s="10" t="s">
        <v>773</v>
      </c>
      <c r="E18" s="1">
        <v>600</v>
      </c>
      <c r="F18" s="1">
        <v>600</v>
      </c>
      <c r="G18" s="1"/>
      <c r="H18" s="1"/>
    </row>
    <row r="19" spans="1:9" x14ac:dyDescent="0.4">
      <c r="A19" s="11" t="s">
        <v>804</v>
      </c>
      <c r="B19" s="10" t="s">
        <v>805</v>
      </c>
      <c r="C19" s="10" t="s">
        <v>359</v>
      </c>
      <c r="D19" s="10" t="s">
        <v>806</v>
      </c>
      <c r="E19" s="1">
        <v>32</v>
      </c>
      <c r="F19" s="1"/>
      <c r="G19" s="1"/>
      <c r="H19" s="1">
        <v>32</v>
      </c>
      <c r="I19" t="s">
        <v>836</v>
      </c>
    </row>
    <row r="20" spans="1:9" x14ac:dyDescent="0.4">
      <c r="A20" s="11" t="s">
        <v>807</v>
      </c>
      <c r="B20" s="10" t="s">
        <v>808</v>
      </c>
      <c r="C20" s="10" t="s">
        <v>359</v>
      </c>
      <c r="D20" s="10" t="s">
        <v>770</v>
      </c>
      <c r="E20" s="1">
        <v>1550</v>
      </c>
      <c r="F20" s="1"/>
      <c r="G20" s="1">
        <v>1550</v>
      </c>
      <c r="H20" s="1"/>
      <c r="I20" t="s">
        <v>837</v>
      </c>
    </row>
    <row r="21" spans="1:9" x14ac:dyDescent="0.4">
      <c r="A21" s="11" t="s">
        <v>810</v>
      </c>
      <c r="B21" s="10" t="s">
        <v>812</v>
      </c>
      <c r="C21" s="10" t="s">
        <v>359</v>
      </c>
      <c r="D21" s="10" t="s">
        <v>773</v>
      </c>
      <c r="E21" s="1">
        <v>9578.69</v>
      </c>
      <c r="F21" s="1">
        <v>9578.69</v>
      </c>
      <c r="G21" s="1"/>
      <c r="H21" s="1"/>
      <c r="I21" t="s">
        <v>838</v>
      </c>
    </row>
    <row r="22" spans="1:9" x14ac:dyDescent="0.4">
      <c r="B22" s="10" t="s">
        <v>813</v>
      </c>
      <c r="C22" s="10" t="s">
        <v>359</v>
      </c>
      <c r="D22" s="10" t="s">
        <v>773</v>
      </c>
      <c r="E22" s="1">
        <v>5818.11</v>
      </c>
      <c r="F22" s="1"/>
      <c r="G22" s="1"/>
      <c r="H22" s="1">
        <v>5818.11</v>
      </c>
      <c r="I22" t="s">
        <v>830</v>
      </c>
    </row>
    <row r="23" spans="1:9" x14ac:dyDescent="0.4">
      <c r="A23" s="11" t="s">
        <v>628</v>
      </c>
      <c r="B23" s="10" t="s">
        <v>1132</v>
      </c>
      <c r="C23" s="10" t="s">
        <v>359</v>
      </c>
      <c r="D23" s="10" t="s">
        <v>773</v>
      </c>
      <c r="E23" s="1">
        <v>500</v>
      </c>
      <c r="F23" s="1">
        <v>500</v>
      </c>
      <c r="G23" s="1"/>
      <c r="H23" s="1"/>
      <c r="I23" t="s">
        <v>839</v>
      </c>
    </row>
    <row r="24" spans="1:9" x14ac:dyDescent="0.4">
      <c r="A24" s="11" t="s">
        <v>635</v>
      </c>
      <c r="B24" s="10" t="s">
        <v>1135</v>
      </c>
      <c r="C24" s="10" t="s">
        <v>359</v>
      </c>
      <c r="D24" s="10" t="s">
        <v>780</v>
      </c>
      <c r="E24" s="1">
        <v>1644.5</v>
      </c>
      <c r="F24" s="1"/>
      <c r="G24" s="1">
        <v>1644.5</v>
      </c>
      <c r="H24" s="1"/>
      <c r="I24" t="s">
        <v>840</v>
      </c>
    </row>
    <row r="25" spans="1:9" x14ac:dyDescent="0.4">
      <c r="A25" s="11" t="s">
        <v>814</v>
      </c>
      <c r="B25" s="10" t="s">
        <v>796</v>
      </c>
      <c r="C25" s="10" t="s">
        <v>359</v>
      </c>
      <c r="D25" s="10" t="s">
        <v>773</v>
      </c>
      <c r="E25" s="1">
        <v>567</v>
      </c>
      <c r="F25" s="1"/>
      <c r="G25" s="1"/>
      <c r="H25" s="1">
        <v>567</v>
      </c>
      <c r="I25" t="s">
        <v>841</v>
      </c>
    </row>
    <row r="26" spans="1:9" x14ac:dyDescent="0.4">
      <c r="A26" s="11" t="s">
        <v>815</v>
      </c>
      <c r="B26" s="10" t="s">
        <v>816</v>
      </c>
      <c r="C26" s="10" t="s">
        <v>359</v>
      </c>
      <c r="D26" s="10" t="s">
        <v>773</v>
      </c>
      <c r="E26" s="1">
        <v>4650</v>
      </c>
      <c r="F26" s="1"/>
      <c r="G26" s="1"/>
      <c r="H26" s="1">
        <v>4650</v>
      </c>
      <c r="I26" t="s">
        <v>842</v>
      </c>
    </row>
    <row r="27" spans="1:9" x14ac:dyDescent="0.4">
      <c r="B27" s="10" t="s">
        <v>1138</v>
      </c>
      <c r="C27" s="10" t="s">
        <v>359</v>
      </c>
      <c r="D27" s="10" t="s">
        <v>773</v>
      </c>
      <c r="E27" s="1">
        <v>50000</v>
      </c>
      <c r="F27" s="1">
        <v>50000</v>
      </c>
      <c r="G27" s="1"/>
      <c r="H27" s="1"/>
    </row>
    <row r="28" spans="1:9" x14ac:dyDescent="0.4">
      <c r="A28" s="11" t="s">
        <v>654</v>
      </c>
      <c r="B28" s="10" t="s">
        <v>1146</v>
      </c>
      <c r="C28" s="10" t="s">
        <v>1145</v>
      </c>
      <c r="D28" s="10" t="s">
        <v>773</v>
      </c>
      <c r="E28" s="1">
        <v>69</v>
      </c>
      <c r="F28" s="1"/>
      <c r="G28" s="1"/>
      <c r="H28" s="1"/>
    </row>
    <row r="29" spans="1:9" x14ac:dyDescent="0.4">
      <c r="A29" s="10" t="s">
        <v>6</v>
      </c>
      <c r="E29" s="1"/>
      <c r="F29" s="1"/>
      <c r="G29" s="1"/>
      <c r="H29" s="1"/>
    </row>
    <row r="30" spans="1:9" x14ac:dyDescent="0.4">
      <c r="A30" s="11" t="s">
        <v>384</v>
      </c>
      <c r="B30" s="10" t="s">
        <v>821</v>
      </c>
      <c r="C30" s="10" t="s">
        <v>822</v>
      </c>
      <c r="D30" s="10" t="s">
        <v>773</v>
      </c>
      <c r="E30" s="1">
        <v>300</v>
      </c>
      <c r="F30" s="1"/>
      <c r="G30" s="1"/>
      <c r="H30" s="1"/>
    </row>
    <row r="31" spans="1:9" x14ac:dyDescent="0.4">
      <c r="A31" s="11" t="s">
        <v>426</v>
      </c>
      <c r="B31" s="10" t="s">
        <v>823</v>
      </c>
      <c r="C31" s="10" t="s">
        <v>647</v>
      </c>
      <c r="D31" s="10" t="s">
        <v>776</v>
      </c>
      <c r="E31" s="1">
        <v>53430</v>
      </c>
      <c r="F31" s="1"/>
      <c r="G31" s="1"/>
      <c r="H31" s="1"/>
    </row>
    <row r="32" spans="1:9" x14ac:dyDescent="0.4">
      <c r="B32" s="10" t="s">
        <v>782</v>
      </c>
      <c r="C32" s="10" t="s">
        <v>415</v>
      </c>
      <c r="D32" s="10" t="s">
        <v>780</v>
      </c>
      <c r="E32" s="1">
        <v>2010</v>
      </c>
      <c r="F32" s="1"/>
      <c r="G32" s="1"/>
      <c r="H32" s="1"/>
    </row>
    <row r="33" spans="1:8" x14ac:dyDescent="0.4">
      <c r="B33" s="10" t="s">
        <v>783</v>
      </c>
      <c r="C33" s="10" t="s">
        <v>415</v>
      </c>
      <c r="D33" s="10" t="s">
        <v>780</v>
      </c>
      <c r="E33" s="1">
        <v>2010</v>
      </c>
      <c r="F33" s="1"/>
      <c r="G33" s="1"/>
      <c r="H33" s="1"/>
    </row>
    <row r="34" spans="1:8" x14ac:dyDescent="0.4">
      <c r="B34" s="10" t="s">
        <v>824</v>
      </c>
      <c r="C34" s="10" t="s">
        <v>825</v>
      </c>
      <c r="D34" s="10" t="s">
        <v>773</v>
      </c>
      <c r="E34" s="1">
        <v>2188</v>
      </c>
      <c r="F34" s="1"/>
      <c r="G34" s="1"/>
      <c r="H34" s="1"/>
    </row>
    <row r="35" spans="1:8" x14ac:dyDescent="0.4">
      <c r="A35" s="11" t="s">
        <v>438</v>
      </c>
      <c r="B35" s="10" t="s">
        <v>794</v>
      </c>
      <c r="C35" s="10" t="s">
        <v>415</v>
      </c>
      <c r="D35" s="10" t="s">
        <v>773</v>
      </c>
      <c r="E35" s="1">
        <v>2800</v>
      </c>
      <c r="F35" s="1"/>
      <c r="G35" s="1"/>
      <c r="H35" s="1"/>
    </row>
    <row r="36" spans="1:8" x14ac:dyDescent="0.4">
      <c r="A36" s="11" t="s">
        <v>568</v>
      </c>
      <c r="B36" s="10" t="s">
        <v>797</v>
      </c>
      <c r="C36" s="10" t="s">
        <v>415</v>
      </c>
      <c r="D36" s="10" t="s">
        <v>776</v>
      </c>
      <c r="E36" s="1">
        <v>265.79000000000002</v>
      </c>
      <c r="F36" s="1"/>
      <c r="G36" s="1"/>
      <c r="H36" s="1"/>
    </row>
    <row r="37" spans="1:8" x14ac:dyDescent="0.4">
      <c r="A37" s="11" t="s">
        <v>815</v>
      </c>
      <c r="B37" s="10" t="s">
        <v>819</v>
      </c>
      <c r="C37" s="10" t="s">
        <v>415</v>
      </c>
      <c r="D37" s="10" t="s">
        <v>773</v>
      </c>
      <c r="E37" s="1">
        <v>1000</v>
      </c>
      <c r="F37" s="1"/>
      <c r="G37" s="1"/>
      <c r="H3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8def0c-b567-451c-a21b-dcc6305ff87a">
      <Terms xmlns="http://schemas.microsoft.com/office/infopath/2007/PartnerControls"/>
    </lcf76f155ced4ddcb4097134ff3c332f>
    <TaxCatchAll xmlns="5830df2a-d0ef-4212-a6c8-0884caa0fc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71F44B1E4534A9DCA9534140AB6E5" ma:contentTypeVersion="15" ma:contentTypeDescription="Create a new document." ma:contentTypeScope="" ma:versionID="a24ef35780e0ad27758f390cb4cd8031">
  <xsd:schema xmlns:xsd="http://www.w3.org/2001/XMLSchema" xmlns:xs="http://www.w3.org/2001/XMLSchema" xmlns:p="http://schemas.microsoft.com/office/2006/metadata/properties" xmlns:ns2="4f8def0c-b567-451c-a21b-dcc6305ff87a" xmlns:ns3="5830df2a-d0ef-4212-a6c8-0884caa0fce2" targetNamespace="http://schemas.microsoft.com/office/2006/metadata/properties" ma:root="true" ma:fieldsID="5b2e9ab88150e9b9b8a2b840d7a2b981" ns2:_="" ns3:_="">
    <xsd:import namespace="4f8def0c-b567-451c-a21b-dcc6305ff87a"/>
    <xsd:import namespace="5830df2a-d0ef-4212-a6c8-0884caa0f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def0c-b567-451c-a21b-dcc6305ff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f7a4434-80cb-4079-b7da-10560b6600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0df2a-d0ef-4212-a6c8-0884caa0fce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f0d3979-0ad5-4731-a12a-ae3f197e3745}" ma:internalName="TaxCatchAll" ma:showField="CatchAllData" ma:web="5830df2a-d0ef-4212-a6c8-0884caa0fc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60D6E3-ADB9-43F3-8405-65DA8DCBC92C}">
  <ds:schemaRefs>
    <ds:schemaRef ds:uri="http://purl.org/dc/dcmitype/"/>
    <ds:schemaRef ds:uri="4f8def0c-b567-451c-a21b-dcc6305ff87a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830df2a-d0ef-4212-a6c8-0884caa0fce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A4B2B4-6E09-4DA5-8A77-CD1946C97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8def0c-b567-451c-a21b-dcc6305ff87a"/>
    <ds:schemaRef ds:uri="5830df2a-d0ef-4212-a6c8-0884caa0f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34C7C-B99D-408F-8065-D071743D7B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5</vt:i4>
      </vt:variant>
    </vt:vector>
  </HeadingPairs>
  <TitlesOfParts>
    <vt:vector size="30" baseType="lpstr">
      <vt:lpstr>2026 sandbox)</vt:lpstr>
      <vt:lpstr>Profitablility</vt:lpstr>
      <vt:lpstr>2026</vt:lpstr>
      <vt:lpstr>2025</vt:lpstr>
      <vt:lpstr>2024</vt:lpstr>
      <vt:lpstr>2023</vt:lpstr>
      <vt:lpstr>Categories</vt:lpstr>
      <vt:lpstr>5.1.18</vt:lpstr>
      <vt:lpstr>5.1.18-2</vt:lpstr>
      <vt:lpstr>5.9.18</vt:lpstr>
      <vt:lpstr>5.22.18 v2</vt:lpstr>
      <vt:lpstr>Sales Campaign Pivot</vt:lpstr>
      <vt:lpstr>Sales Campaign Overview</vt:lpstr>
      <vt:lpstr>Campaign Pivot</vt:lpstr>
      <vt:lpstr>Sheet1</vt:lpstr>
      <vt:lpstr>Invoice by Line Item Categories</vt:lpstr>
      <vt:lpstr>7.3.18</vt:lpstr>
      <vt:lpstr>6.19.18</vt:lpstr>
      <vt:lpstr>6.12.18v2</vt:lpstr>
      <vt:lpstr>6.12.18</vt:lpstr>
      <vt:lpstr>5.29.18v2</vt:lpstr>
      <vt:lpstr>5.22.28</vt:lpstr>
      <vt:lpstr>5.15.18v2</vt:lpstr>
      <vt:lpstr>5.15.18</vt:lpstr>
      <vt:lpstr>5.9.18-2</vt:lpstr>
      <vt:lpstr>'2023'!_MailAutoSig</vt:lpstr>
      <vt:lpstr>'2024'!_MailAutoSig</vt:lpstr>
      <vt:lpstr>'2025'!_MailAutoSig</vt:lpstr>
      <vt:lpstr>'2026'!_MailAutoSig</vt:lpstr>
      <vt:lpstr>'2026 sandbox)'!_MailAutoSig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LParker</dc:creator>
  <cp:keywords/>
  <dc:description/>
  <cp:lastModifiedBy>Paul Freeman</cp:lastModifiedBy>
  <cp:revision/>
  <dcterms:created xsi:type="dcterms:W3CDTF">2018-05-01T18:45:50Z</dcterms:created>
  <dcterms:modified xsi:type="dcterms:W3CDTF">2026-05-05T22:32:27Z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0x01010051D71F44B1E4534A9DCA9534140AB6E5</vt:lpwstr>
  </property>
  <property fmtid="{D5CDD505-2E9C-101B-9397-08002B2CF9AE}" pid="3" name="MediaServiceImageTags">
    <vt:lpwstr/>
  </property>
</Properties>
</file>